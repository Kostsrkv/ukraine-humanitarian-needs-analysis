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https://unitednations-my.sharepoint.com/personal/oleksandr_shcheglov_un_org/Documents/Desktop/"/>
    </mc:Choice>
  </mc:AlternateContent>
  <xr:revisionPtr revIDLastSave="9943" documentId="8_{D37ECD53-8A83-471D-9694-F1D508A33D84}" xr6:coauthVersionLast="47" xr6:coauthVersionMax="47" xr10:uidLastSave="{AB32B3D4-5FD4-4945-833A-437B65B6EACD}"/>
  <bookViews>
    <workbookView xWindow="-98" yWindow="-98" windowWidth="38596" windowHeight="15675" tabRatio="678" xr2:uid="{00000000-000D-0000-FFFF-FFFF00000000}"/>
  </bookViews>
  <sheets>
    <sheet name="ReadMe" sheetId="92" r:id="rId1"/>
    <sheet name="ActivityList" sheetId="59" r:id="rId2"/>
    <sheet name="Overall by Cluster" sheetId="62" r:id="rId3"/>
    <sheet name="Overall by SP and UoA" sheetId="78" r:id="rId4"/>
    <sheet name="IDPs" sheetId="76" r:id="rId5"/>
    <sheet name="WAND" sheetId="77" r:id="rId6"/>
    <sheet name="SP#1 Overall" sheetId="19" r:id="rId7"/>
    <sheet name="SP#1 IDPs" sheetId="20" r:id="rId8"/>
    <sheet name="SP#1 WAND" sheetId="21" r:id="rId9"/>
    <sheet name="SP#2" sheetId="56" r:id="rId10"/>
    <sheet name="SP#3" sheetId="57" r:id="rId11"/>
    <sheet name="SP#4 Overall" sheetId="82" r:id="rId12"/>
    <sheet name="SP#4 IDPs" sheetId="22" r:id="rId13"/>
    <sheet name="SP#4 WAND" sheetId="74" r:id="rId14"/>
    <sheet name="SADD for Prioritization" sheetId="60" r:id="rId15"/>
    <sheet name="SAD Baseline" sheetId="93" r:id="rId16"/>
    <sheet name="Household Size" sheetId="94" r:id="rId17"/>
    <sheet name="Ref ADM3" sheetId="16" r:id="rId18"/>
  </sheets>
  <externalReferences>
    <externalReference r:id="rId19"/>
  </externalReferences>
  <definedNames>
    <definedName name="s3target">[1]ActivityList!$AW$8</definedName>
    <definedName name="s4target">[1]ActivityList!$AW$7</definedName>
    <definedName name="s5target">[1]ActivityList!$AW$6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Q14" i="57" l="1"/>
  <c r="A3" i="16" l="1"/>
  <c r="A3" i="60"/>
  <c r="F59" i="78"/>
  <c r="F59" i="77"/>
  <c r="AE59" i="76"/>
  <c r="AC59" i="76"/>
  <c r="AB59" i="76"/>
  <c r="AD59" i="76"/>
  <c r="AA59" i="76"/>
  <c r="AG59" i="77"/>
  <c r="AF59" i="77"/>
  <c r="AE59" i="77"/>
  <c r="AD59" i="77"/>
  <c r="AC59" i="77"/>
  <c r="AG59" i="78"/>
  <c r="AD59" i="78"/>
  <c r="AE59" i="78"/>
  <c r="AF59" i="78"/>
  <c r="AC59" i="78"/>
  <c r="AA59" i="78"/>
  <c r="AB59" i="78"/>
  <c r="DM15" i="62"/>
  <c r="CA15" i="62"/>
  <c r="AO15" i="62"/>
  <c r="BF56" i="82" l="1"/>
  <c r="AT56" i="74"/>
  <c r="AU56" i="74"/>
  <c r="AV56" i="74"/>
  <c r="AW56" i="74"/>
  <c r="AX56" i="74"/>
  <c r="AY56" i="74"/>
  <c r="AZ56" i="74"/>
  <c r="BA56" i="74"/>
  <c r="BB56" i="74"/>
  <c r="BC56" i="74"/>
  <c r="BD56" i="74"/>
  <c r="BE56" i="74"/>
  <c r="BF56" i="74"/>
  <c r="BF56" i="22"/>
  <c r="AE8" i="56"/>
  <c r="AF8" i="56"/>
  <c r="AG8" i="56"/>
  <c r="AH8" i="56"/>
  <c r="AI8" i="56"/>
  <c r="AJ8" i="56"/>
  <c r="AK8" i="56"/>
  <c r="AL8" i="56"/>
  <c r="AM8" i="56"/>
  <c r="AN8" i="56"/>
  <c r="AO8" i="56"/>
  <c r="AP8" i="56"/>
  <c r="AQ8" i="56"/>
  <c r="BF56" i="19"/>
  <c r="BF56" i="21"/>
  <c r="BF56" i="20"/>
  <c r="G56" i="82" l="1"/>
  <c r="F56" i="82"/>
  <c r="Q3" i="82"/>
  <c r="P3" i="82"/>
  <c r="O3" i="82"/>
  <c r="N3" i="82"/>
  <c r="M3" i="82"/>
  <c r="L3" i="82"/>
  <c r="K3" i="82"/>
  <c r="J3" i="82"/>
  <c r="I3" i="82"/>
  <c r="A3" i="82"/>
  <c r="H56" i="82" l="1"/>
  <c r="A3" i="74" l="1"/>
  <c r="A3" i="22"/>
  <c r="A3" i="57"/>
  <c r="A3" i="56"/>
  <c r="A3" i="21"/>
  <c r="A3" i="20"/>
  <c r="A3" i="19"/>
  <c r="A3" i="62"/>
  <c r="A3" i="78"/>
  <c r="A3" i="77"/>
  <c r="A3" i="76"/>
  <c r="Y59" i="77" l="1"/>
  <c r="K59" i="77" l="1"/>
  <c r="G59" i="77"/>
  <c r="I59" i="77"/>
  <c r="J59" i="77"/>
  <c r="J59" i="76"/>
  <c r="G56" i="74"/>
  <c r="K59" i="78" l="1"/>
  <c r="Q59" i="78"/>
  <c r="Q59" i="77"/>
  <c r="I59" i="78"/>
  <c r="J59" i="78"/>
  <c r="G59" i="76"/>
  <c r="G59" i="78" l="1"/>
  <c r="P59" i="77"/>
  <c r="I59" i="76" l="1"/>
  <c r="AA59" i="77" l="1"/>
  <c r="M59" i="76"/>
  <c r="H59" i="76"/>
  <c r="K59" i="76" l="1"/>
  <c r="S8" i="19" l="1"/>
  <c r="S9" i="19"/>
  <c r="S10" i="19"/>
  <c r="S11" i="19"/>
  <c r="S12" i="19"/>
  <c r="S13" i="19"/>
  <c r="S14" i="19"/>
  <c r="S15" i="19"/>
  <c r="S16" i="19"/>
  <c r="S17" i="19"/>
  <c r="S18" i="19"/>
  <c r="S19" i="19"/>
  <c r="S20" i="19"/>
  <c r="S21" i="19"/>
  <c r="S22" i="19"/>
  <c r="S23" i="19"/>
  <c r="S24" i="19"/>
  <c r="S25" i="19"/>
  <c r="S26" i="19"/>
  <c r="S27" i="19"/>
  <c r="S28" i="19"/>
  <c r="S29" i="19"/>
  <c r="S30" i="19"/>
  <c r="S31" i="19"/>
  <c r="S32" i="19"/>
  <c r="S33" i="19"/>
  <c r="S34" i="19"/>
  <c r="S35" i="19"/>
  <c r="S36" i="19"/>
  <c r="S37" i="19"/>
  <c r="S38" i="19"/>
  <c r="S39" i="19"/>
  <c r="S40" i="19"/>
  <c r="S41" i="19"/>
  <c r="S42" i="19"/>
  <c r="S43" i="19"/>
  <c r="S44" i="19"/>
  <c r="S45" i="19"/>
  <c r="S46" i="19"/>
  <c r="S47" i="19"/>
  <c r="S48" i="19"/>
  <c r="S49" i="19"/>
  <c r="S50" i="19"/>
  <c r="S51" i="19"/>
  <c r="R8" i="19"/>
  <c r="R9" i="19"/>
  <c r="R10" i="19"/>
  <c r="R11" i="19"/>
  <c r="R12" i="19"/>
  <c r="R13" i="19"/>
  <c r="R14" i="19"/>
  <c r="R15" i="19"/>
  <c r="R16" i="19"/>
  <c r="R17" i="19"/>
  <c r="R18" i="19"/>
  <c r="R19" i="19"/>
  <c r="R20" i="19"/>
  <c r="R21" i="19"/>
  <c r="R22" i="19"/>
  <c r="R23" i="19"/>
  <c r="R24" i="19"/>
  <c r="R25" i="19"/>
  <c r="R26" i="19"/>
  <c r="R27" i="19"/>
  <c r="R28" i="19"/>
  <c r="R29" i="19"/>
  <c r="R30" i="19"/>
  <c r="R31" i="19"/>
  <c r="R32" i="19"/>
  <c r="R33" i="19"/>
  <c r="R34" i="19"/>
  <c r="R35" i="19"/>
  <c r="R36" i="19"/>
  <c r="R37" i="19"/>
  <c r="R38" i="19"/>
  <c r="R39" i="19"/>
  <c r="R40" i="19"/>
  <c r="R41" i="19"/>
  <c r="R42" i="19"/>
  <c r="R43" i="19"/>
  <c r="R44" i="19"/>
  <c r="R45" i="19"/>
  <c r="R46" i="19"/>
  <c r="R47" i="19"/>
  <c r="R48" i="19"/>
  <c r="R49" i="19"/>
  <c r="R50" i="19"/>
  <c r="R51" i="19"/>
  <c r="AR56" i="74" l="1"/>
  <c r="AQ56" i="74"/>
  <c r="AP56" i="74"/>
  <c r="AO56" i="74"/>
  <c r="AN56" i="74"/>
  <c r="AM56" i="74"/>
  <c r="AL56" i="74"/>
  <c r="AK56" i="74"/>
  <c r="AI56" i="74"/>
  <c r="AG56" i="74"/>
  <c r="S56" i="74"/>
  <c r="R56" i="74"/>
  <c r="Q56" i="74"/>
  <c r="P56" i="74"/>
  <c r="O56" i="74"/>
  <c r="N56" i="74"/>
  <c r="M56" i="74"/>
  <c r="K56" i="74"/>
  <c r="I56" i="74"/>
  <c r="H56" i="74"/>
  <c r="F56" i="74"/>
  <c r="Q3" i="74"/>
  <c r="P3" i="74"/>
  <c r="O3" i="74"/>
  <c r="N3" i="74"/>
  <c r="M3" i="74"/>
  <c r="L3" i="74"/>
  <c r="K3" i="74"/>
  <c r="J3" i="74"/>
  <c r="I3" i="74"/>
  <c r="J56" i="74" l="1"/>
  <c r="AJ56" i="74"/>
  <c r="L56" i="74"/>
  <c r="AH56" i="74"/>
  <c r="T56" i="74" l="1"/>
  <c r="AS56" i="74"/>
  <c r="AQ8" i="19" l="1"/>
  <c r="AQ9" i="19"/>
  <c r="AQ10" i="19"/>
  <c r="AQ11" i="19"/>
  <c r="AQ12" i="19"/>
  <c r="AQ13" i="19"/>
  <c r="AQ14" i="19"/>
  <c r="AQ15" i="19"/>
  <c r="AQ16" i="19"/>
  <c r="AQ17" i="19"/>
  <c r="AQ18" i="19"/>
  <c r="AQ19" i="19"/>
  <c r="AQ20" i="19"/>
  <c r="AQ21" i="19"/>
  <c r="AQ22" i="19"/>
  <c r="AQ23" i="19"/>
  <c r="AQ24" i="19"/>
  <c r="AQ25" i="19"/>
  <c r="AQ26" i="19"/>
  <c r="AQ27" i="19"/>
  <c r="AQ28" i="19"/>
  <c r="AQ29" i="19"/>
  <c r="AQ30" i="19"/>
  <c r="AQ31" i="19"/>
  <c r="AQ32" i="19"/>
  <c r="AQ33" i="19"/>
  <c r="AQ34" i="19"/>
  <c r="AQ35" i="19"/>
  <c r="AQ36" i="19"/>
  <c r="AQ37" i="19"/>
  <c r="AQ38" i="19"/>
  <c r="AQ39" i="19"/>
  <c r="AQ40" i="19"/>
  <c r="AQ41" i="19"/>
  <c r="AQ42" i="19"/>
  <c r="AQ43" i="19"/>
  <c r="AQ44" i="19"/>
  <c r="AQ45" i="19"/>
  <c r="AQ46" i="19"/>
  <c r="AQ47" i="19"/>
  <c r="AQ48" i="19"/>
  <c r="AQ49" i="19"/>
  <c r="AQ50" i="19"/>
  <c r="AQ51" i="19"/>
  <c r="AP8" i="19"/>
  <c r="AP9" i="19"/>
  <c r="AP10" i="19"/>
  <c r="AP11" i="19"/>
  <c r="AP12" i="19"/>
  <c r="AP13" i="19"/>
  <c r="AP14" i="19"/>
  <c r="AP15" i="19"/>
  <c r="AP16" i="19"/>
  <c r="AP17" i="19"/>
  <c r="AP18" i="19"/>
  <c r="AP19" i="19"/>
  <c r="AP20" i="19"/>
  <c r="AP21" i="19"/>
  <c r="AP22" i="19"/>
  <c r="AP23" i="19"/>
  <c r="AP24" i="19"/>
  <c r="AP25" i="19"/>
  <c r="AP26" i="19"/>
  <c r="AP27" i="19"/>
  <c r="AP28" i="19"/>
  <c r="AP29" i="19"/>
  <c r="AP30" i="19"/>
  <c r="AP31" i="19"/>
  <c r="AP32" i="19"/>
  <c r="AP33" i="19"/>
  <c r="AP34" i="19"/>
  <c r="AP35" i="19"/>
  <c r="AP36" i="19"/>
  <c r="AP37" i="19"/>
  <c r="AP38" i="19"/>
  <c r="AP39" i="19"/>
  <c r="AP40" i="19"/>
  <c r="AP41" i="19"/>
  <c r="AP42" i="19"/>
  <c r="AP43" i="19"/>
  <c r="AP44" i="19"/>
  <c r="AP45" i="19"/>
  <c r="AP46" i="19"/>
  <c r="AP47" i="19"/>
  <c r="AP48" i="19"/>
  <c r="AP49" i="19"/>
  <c r="AP50" i="19"/>
  <c r="AP51" i="19"/>
  <c r="O8" i="56" l="1"/>
  <c r="P8" i="56"/>
  <c r="AA8" i="56"/>
  <c r="AB8" i="56"/>
  <c r="AC8" i="56"/>
  <c r="I13" i="19" l="1"/>
  <c r="AM50" i="19" l="1"/>
  <c r="AN50" i="19"/>
  <c r="AM51" i="19"/>
  <c r="AN51" i="19"/>
  <c r="AM8" i="19"/>
  <c r="AN8" i="19"/>
  <c r="AM9" i="19"/>
  <c r="AN9" i="19"/>
  <c r="AM10" i="19"/>
  <c r="AM11" i="19"/>
  <c r="AM12" i="19"/>
  <c r="AM13" i="19"/>
  <c r="AM14" i="19"/>
  <c r="AM15" i="19"/>
  <c r="AM16" i="19"/>
  <c r="AM17" i="19"/>
  <c r="AM18" i="19"/>
  <c r="AM19" i="19"/>
  <c r="AM20" i="19"/>
  <c r="AM21" i="19"/>
  <c r="AM22" i="19"/>
  <c r="AM23" i="19"/>
  <c r="AM24" i="19"/>
  <c r="AM25" i="19"/>
  <c r="AM26" i="19"/>
  <c r="AM27" i="19"/>
  <c r="AM28" i="19"/>
  <c r="AM29" i="19"/>
  <c r="AM30" i="19"/>
  <c r="AM31" i="19"/>
  <c r="AM32" i="19"/>
  <c r="AM33" i="19"/>
  <c r="AM34" i="19"/>
  <c r="AM35" i="19"/>
  <c r="AM36" i="19"/>
  <c r="AM37" i="19"/>
  <c r="AM38" i="19"/>
  <c r="AM39" i="19"/>
  <c r="AM40" i="19"/>
  <c r="AM41" i="19"/>
  <c r="AM42" i="19"/>
  <c r="AM43" i="19"/>
  <c r="AM44" i="19"/>
  <c r="AM45" i="19"/>
  <c r="AM46" i="19"/>
  <c r="AM47" i="19"/>
  <c r="AM48" i="19"/>
  <c r="AM49" i="19"/>
  <c r="AR8" i="19" l="1"/>
  <c r="AR9" i="19"/>
  <c r="AR10" i="19"/>
  <c r="AR11" i="19"/>
  <c r="AR12" i="19"/>
  <c r="AR13" i="19"/>
  <c r="AR14" i="19"/>
  <c r="AR15" i="19"/>
  <c r="AR16" i="19"/>
  <c r="AR17" i="19"/>
  <c r="AR18" i="19"/>
  <c r="AR19" i="19"/>
  <c r="AR20" i="19"/>
  <c r="AR21" i="19"/>
  <c r="AR22" i="19"/>
  <c r="AR23" i="19"/>
  <c r="AR24" i="19"/>
  <c r="AR25" i="19"/>
  <c r="AR26" i="19"/>
  <c r="AR27" i="19"/>
  <c r="AR28" i="19"/>
  <c r="AR29" i="19"/>
  <c r="AR30" i="19"/>
  <c r="AR31" i="19"/>
  <c r="AR32" i="19"/>
  <c r="AR33" i="19"/>
  <c r="AR34" i="19"/>
  <c r="AR35" i="19"/>
  <c r="AR36" i="19"/>
  <c r="AR37" i="19"/>
  <c r="AR38" i="19"/>
  <c r="AR39" i="19"/>
  <c r="AR40" i="19"/>
  <c r="AR41" i="19"/>
  <c r="AR42" i="19"/>
  <c r="AR43" i="19"/>
  <c r="AR44" i="19"/>
  <c r="AR45" i="19"/>
  <c r="AR46" i="19"/>
  <c r="AR47" i="19"/>
  <c r="AR48" i="19"/>
  <c r="AR49" i="19"/>
  <c r="AR50" i="19"/>
  <c r="AR51" i="19"/>
  <c r="AO8" i="19"/>
  <c r="AO9" i="19"/>
  <c r="AO10" i="19"/>
  <c r="AO11" i="19"/>
  <c r="AO12" i="19"/>
  <c r="AO13" i="19"/>
  <c r="AO14" i="19"/>
  <c r="AO15" i="19"/>
  <c r="AO16" i="19"/>
  <c r="AO17" i="19"/>
  <c r="AO18" i="19"/>
  <c r="AO19" i="19"/>
  <c r="AO20" i="19"/>
  <c r="AO21" i="19"/>
  <c r="AO22" i="19"/>
  <c r="AO23" i="19"/>
  <c r="AO24" i="19"/>
  <c r="AO25" i="19"/>
  <c r="AO26" i="19"/>
  <c r="AO27" i="19"/>
  <c r="AO28" i="19"/>
  <c r="AO29" i="19"/>
  <c r="AO30" i="19"/>
  <c r="AO31" i="19"/>
  <c r="AO32" i="19"/>
  <c r="AO33" i="19"/>
  <c r="AO34" i="19"/>
  <c r="AO35" i="19"/>
  <c r="AO36" i="19"/>
  <c r="AO37" i="19"/>
  <c r="AO38" i="19"/>
  <c r="AO39" i="19"/>
  <c r="AO40" i="19"/>
  <c r="AO41" i="19"/>
  <c r="AO42" i="19"/>
  <c r="AO43" i="19"/>
  <c r="AO44" i="19"/>
  <c r="AO45" i="19"/>
  <c r="AO46" i="19"/>
  <c r="AO47" i="19"/>
  <c r="AO48" i="19"/>
  <c r="AO49" i="19"/>
  <c r="AO50" i="19"/>
  <c r="AO51" i="19"/>
  <c r="AN10" i="19"/>
  <c r="AN11" i="19"/>
  <c r="AN12" i="19"/>
  <c r="AN13" i="19"/>
  <c r="AN14" i="19"/>
  <c r="AN15" i="19"/>
  <c r="AN16" i="19"/>
  <c r="AN17" i="19"/>
  <c r="AN18" i="19"/>
  <c r="AN19" i="19"/>
  <c r="AN20" i="19"/>
  <c r="AN21" i="19"/>
  <c r="AN22" i="19"/>
  <c r="AN23" i="19"/>
  <c r="AN24" i="19"/>
  <c r="AN25" i="19"/>
  <c r="AN26" i="19"/>
  <c r="AN27" i="19"/>
  <c r="AN28" i="19"/>
  <c r="AN29" i="19"/>
  <c r="AN30" i="19"/>
  <c r="AN31" i="19"/>
  <c r="AN32" i="19"/>
  <c r="AN33" i="19"/>
  <c r="AN34" i="19"/>
  <c r="AN35" i="19"/>
  <c r="AN36" i="19"/>
  <c r="AN37" i="19"/>
  <c r="AN38" i="19"/>
  <c r="AN39" i="19"/>
  <c r="AN40" i="19"/>
  <c r="AN41" i="19"/>
  <c r="AN42" i="19"/>
  <c r="AN43" i="19"/>
  <c r="AN44" i="19"/>
  <c r="AN45" i="19"/>
  <c r="AN46" i="19"/>
  <c r="AN47" i="19"/>
  <c r="AN48" i="19"/>
  <c r="AN49" i="19"/>
  <c r="AL8" i="19"/>
  <c r="AL9" i="19"/>
  <c r="AL10" i="19"/>
  <c r="AL11" i="19"/>
  <c r="AL12" i="19"/>
  <c r="AL13" i="19"/>
  <c r="AL14" i="19"/>
  <c r="AL15" i="19"/>
  <c r="AL16" i="19"/>
  <c r="AL17" i="19"/>
  <c r="AL18" i="19"/>
  <c r="AL19" i="19"/>
  <c r="AL20" i="19"/>
  <c r="AL21" i="19"/>
  <c r="AL22" i="19"/>
  <c r="AL23" i="19"/>
  <c r="AL24" i="19"/>
  <c r="AL25" i="19"/>
  <c r="AL26" i="19"/>
  <c r="AL27" i="19"/>
  <c r="AL28" i="19"/>
  <c r="AL29" i="19"/>
  <c r="AL30" i="19"/>
  <c r="AL31" i="19"/>
  <c r="AL32" i="19"/>
  <c r="AL33" i="19"/>
  <c r="AL34" i="19"/>
  <c r="AL35" i="19"/>
  <c r="AL36" i="19"/>
  <c r="AL37" i="19"/>
  <c r="AL38" i="19"/>
  <c r="AL39" i="19"/>
  <c r="AL40" i="19"/>
  <c r="AL41" i="19"/>
  <c r="AL42" i="19"/>
  <c r="AL43" i="19"/>
  <c r="AL44" i="19"/>
  <c r="AL45" i="19"/>
  <c r="AL46" i="19"/>
  <c r="AL47" i="19"/>
  <c r="AL48" i="19"/>
  <c r="AL49" i="19"/>
  <c r="AL50" i="19"/>
  <c r="AL51" i="19"/>
  <c r="AK8" i="19"/>
  <c r="AK9" i="19"/>
  <c r="AK10" i="19"/>
  <c r="AK11" i="19"/>
  <c r="AK12" i="19"/>
  <c r="AK13" i="19"/>
  <c r="AK14" i="19"/>
  <c r="AK15" i="19"/>
  <c r="AK16" i="19"/>
  <c r="AK17" i="19"/>
  <c r="AK18" i="19"/>
  <c r="AK19" i="19"/>
  <c r="AK20" i="19"/>
  <c r="AK21" i="19"/>
  <c r="AK22" i="19"/>
  <c r="AK23" i="19"/>
  <c r="AK24" i="19"/>
  <c r="AK25" i="19"/>
  <c r="AK26" i="19"/>
  <c r="AK27" i="19"/>
  <c r="AK28" i="19"/>
  <c r="AK29" i="19"/>
  <c r="AK30" i="19"/>
  <c r="AK31" i="19"/>
  <c r="AK32" i="19"/>
  <c r="AK33" i="19"/>
  <c r="AK34" i="19"/>
  <c r="AK35" i="19"/>
  <c r="AK36" i="19"/>
  <c r="AK37" i="19"/>
  <c r="AK38" i="19"/>
  <c r="AK39" i="19"/>
  <c r="AK40" i="19"/>
  <c r="AK41" i="19"/>
  <c r="AK42" i="19"/>
  <c r="AK43" i="19"/>
  <c r="AK44" i="19"/>
  <c r="AK45" i="19"/>
  <c r="AK46" i="19"/>
  <c r="AK47" i="19"/>
  <c r="AK48" i="19"/>
  <c r="AK49" i="19"/>
  <c r="AK50" i="19"/>
  <c r="AK51" i="19"/>
  <c r="AI8" i="19"/>
  <c r="AI9" i="19"/>
  <c r="AI10" i="19"/>
  <c r="AI11" i="19"/>
  <c r="AI12" i="19"/>
  <c r="AI13" i="19"/>
  <c r="AI14" i="19"/>
  <c r="AI15" i="19"/>
  <c r="AI16" i="19"/>
  <c r="AI17" i="19"/>
  <c r="AI18" i="19"/>
  <c r="AI19" i="19"/>
  <c r="AI20" i="19"/>
  <c r="AI21" i="19"/>
  <c r="AI22" i="19"/>
  <c r="AI23" i="19"/>
  <c r="AI24" i="19"/>
  <c r="AI25" i="19"/>
  <c r="AI26" i="19"/>
  <c r="AI27" i="19"/>
  <c r="AI28" i="19"/>
  <c r="AI29" i="19"/>
  <c r="AI30" i="19"/>
  <c r="AI31" i="19"/>
  <c r="AI32" i="19"/>
  <c r="AI33" i="19"/>
  <c r="AI34" i="19"/>
  <c r="AI35" i="19"/>
  <c r="AI36" i="19"/>
  <c r="AI37" i="19"/>
  <c r="AI38" i="19"/>
  <c r="AI39" i="19"/>
  <c r="AI40" i="19"/>
  <c r="AI41" i="19"/>
  <c r="AI42" i="19"/>
  <c r="AI43" i="19"/>
  <c r="AI44" i="19"/>
  <c r="AI45" i="19"/>
  <c r="AI46" i="19"/>
  <c r="AI47" i="19"/>
  <c r="AI48" i="19"/>
  <c r="AI49" i="19"/>
  <c r="AI50" i="19"/>
  <c r="AI51" i="19"/>
  <c r="AH8" i="19"/>
  <c r="AH9" i="19"/>
  <c r="AH10" i="19"/>
  <c r="AH11" i="19"/>
  <c r="AH12" i="19"/>
  <c r="AH13" i="19"/>
  <c r="AH14" i="19"/>
  <c r="AH15" i="19"/>
  <c r="AH16" i="19"/>
  <c r="AH17" i="19"/>
  <c r="AH18" i="19"/>
  <c r="AH19" i="19"/>
  <c r="AH20" i="19"/>
  <c r="AH21" i="19"/>
  <c r="AH22" i="19"/>
  <c r="AH23" i="19"/>
  <c r="AH24" i="19"/>
  <c r="AH25" i="19"/>
  <c r="AH26" i="19"/>
  <c r="AH27" i="19"/>
  <c r="AH28" i="19"/>
  <c r="AH29" i="19"/>
  <c r="AH30" i="19"/>
  <c r="AH31" i="19"/>
  <c r="AH32" i="19"/>
  <c r="AH33" i="19"/>
  <c r="AH34" i="19"/>
  <c r="AH35" i="19"/>
  <c r="AH36" i="19"/>
  <c r="AH37" i="19"/>
  <c r="AH38" i="19"/>
  <c r="AH39" i="19"/>
  <c r="AH40" i="19"/>
  <c r="AH41" i="19"/>
  <c r="AH42" i="19"/>
  <c r="AH43" i="19"/>
  <c r="AH44" i="19"/>
  <c r="AH45" i="19"/>
  <c r="AH46" i="19"/>
  <c r="AH47" i="19"/>
  <c r="AH48" i="19"/>
  <c r="AH49" i="19"/>
  <c r="AH50" i="19"/>
  <c r="AH51" i="19"/>
  <c r="AG8" i="19"/>
  <c r="AG9" i="19"/>
  <c r="AG10" i="19"/>
  <c r="AG11" i="19"/>
  <c r="AG12" i="19"/>
  <c r="AG13" i="19"/>
  <c r="AG14" i="19"/>
  <c r="AG15" i="19"/>
  <c r="AG16" i="19"/>
  <c r="AG17" i="19"/>
  <c r="AG18" i="19"/>
  <c r="AG19" i="19"/>
  <c r="AG20" i="19"/>
  <c r="AG21" i="19"/>
  <c r="AG22" i="19"/>
  <c r="AG23" i="19"/>
  <c r="AG24" i="19"/>
  <c r="AG25" i="19"/>
  <c r="AG26" i="19"/>
  <c r="AG27" i="19"/>
  <c r="AG28" i="19"/>
  <c r="AG29" i="19"/>
  <c r="AG30" i="19"/>
  <c r="AG31" i="19"/>
  <c r="AG32" i="19"/>
  <c r="AG33" i="19"/>
  <c r="AG34" i="19"/>
  <c r="AG35" i="19"/>
  <c r="AG36" i="19"/>
  <c r="AG37" i="19"/>
  <c r="AG38" i="19"/>
  <c r="AG39" i="19"/>
  <c r="AG40" i="19"/>
  <c r="AG41" i="19"/>
  <c r="AG42" i="19"/>
  <c r="AG43" i="19"/>
  <c r="AG44" i="19"/>
  <c r="AG45" i="19"/>
  <c r="AG46" i="19"/>
  <c r="AG47" i="19"/>
  <c r="AG48" i="19"/>
  <c r="AG49" i="19"/>
  <c r="AG50" i="19"/>
  <c r="AG51" i="19"/>
  <c r="AJ31" i="19" l="1"/>
  <c r="AJ32" i="19"/>
  <c r="AJ34" i="19"/>
  <c r="AJ33" i="19"/>
  <c r="AJ46" i="19"/>
  <c r="AJ14" i="19"/>
  <c r="AJ45" i="19"/>
  <c r="AJ13" i="19"/>
  <c r="AJ40" i="19"/>
  <c r="AJ8" i="19"/>
  <c r="AJ38" i="19"/>
  <c r="AJ37" i="19"/>
  <c r="AJ39" i="19"/>
  <c r="AJ36" i="19"/>
  <c r="AJ35" i="19"/>
  <c r="AJ28" i="19"/>
  <c r="AJ27" i="19"/>
  <c r="AJ26" i="19"/>
  <c r="AJ25" i="19"/>
  <c r="AJ20" i="19"/>
  <c r="AJ51" i="19"/>
  <c r="AJ19" i="19"/>
  <c r="AJ50" i="19"/>
  <c r="AJ18" i="19"/>
  <c r="AJ49" i="19"/>
  <c r="AJ17" i="19"/>
  <c r="AJ48" i="19"/>
  <c r="AJ16" i="19"/>
  <c r="AJ47" i="19"/>
  <c r="AJ15" i="19"/>
  <c r="AJ24" i="19"/>
  <c r="AJ23" i="19"/>
  <c r="AJ22" i="19"/>
  <c r="AJ21" i="19"/>
  <c r="AJ44" i="19"/>
  <c r="AJ12" i="19"/>
  <c r="AJ43" i="19"/>
  <c r="AJ11" i="19"/>
  <c r="AJ42" i="19"/>
  <c r="AJ10" i="19"/>
  <c r="AJ41" i="19"/>
  <c r="AJ9" i="19"/>
  <c r="AJ30" i="19"/>
  <c r="AJ29" i="19"/>
  <c r="AS56" i="82" l="1"/>
  <c r="AS8" i="19"/>
  <c r="AS25" i="19"/>
  <c r="AS23" i="19"/>
  <c r="AS47" i="19"/>
  <c r="AS33" i="19"/>
  <c r="AS36" i="19"/>
  <c r="AS32" i="19"/>
  <c r="AS40" i="19"/>
  <c r="AS31" i="19"/>
  <c r="AS14" i="19"/>
  <c r="AS15" i="19"/>
  <c r="AS51" i="19"/>
  <c r="AS29" i="19"/>
  <c r="AS46" i="19"/>
  <c r="AS26" i="19"/>
  <c r="AS18" i="19"/>
  <c r="AS34" i="19"/>
  <c r="AS43" i="19"/>
  <c r="AS28" i="19"/>
  <c r="AS54" i="19"/>
  <c r="AS35" i="19"/>
  <c r="AS39" i="19"/>
  <c r="AS41" i="19"/>
  <c r="AS42" i="19"/>
  <c r="AS50" i="19"/>
  <c r="AS20" i="19"/>
  <c r="AS52" i="19"/>
  <c r="AS17" i="19"/>
  <c r="AS9" i="19"/>
  <c r="AS13" i="19"/>
  <c r="AS48" i="19"/>
  <c r="AS45" i="19"/>
  <c r="AS19" i="19"/>
  <c r="AS24" i="19"/>
  <c r="AS37" i="19"/>
  <c r="AS12" i="19"/>
  <c r="AS44" i="19"/>
  <c r="AS27" i="19"/>
  <c r="AS22" i="19"/>
  <c r="AS21" i="19"/>
  <c r="AS55" i="19"/>
  <c r="AS49" i="19"/>
  <c r="AS56" i="20"/>
  <c r="AS38" i="19"/>
  <c r="AS16" i="19"/>
  <c r="AS30" i="19"/>
  <c r="AS53" i="19"/>
  <c r="AS10" i="19"/>
  <c r="AS11" i="19"/>
  <c r="G8" i="56"/>
  <c r="H8" i="56"/>
  <c r="I8" i="56"/>
  <c r="J8" i="56"/>
  <c r="K8" i="56"/>
  <c r="L8" i="56"/>
  <c r="M8" i="56"/>
  <c r="N8" i="56"/>
  <c r="R8" i="56"/>
  <c r="S8" i="56"/>
  <c r="T8" i="56"/>
  <c r="U8" i="56"/>
  <c r="V8" i="56"/>
  <c r="W8" i="56"/>
  <c r="X8" i="56"/>
  <c r="Y8" i="56"/>
  <c r="Z8" i="56"/>
  <c r="F8" i="56"/>
  <c r="AS56" i="21"/>
  <c r="AS56" i="22"/>
  <c r="X54" i="19"/>
  <c r="X55" i="19"/>
  <c r="V59" i="76" l="1"/>
  <c r="X59" i="77"/>
  <c r="Q8" i="56"/>
  <c r="Y59" i="76"/>
  <c r="AD8" i="56"/>
  <c r="AD14" i="57"/>
  <c r="AS56" i="19"/>
  <c r="Q14" i="57"/>
  <c r="X59" i="78" l="1"/>
  <c r="T54" i="19"/>
  <c r="T55" i="19"/>
  <c r="N59" i="76" l="1"/>
  <c r="Z59" i="76"/>
  <c r="X59" i="76"/>
  <c r="Y59" i="78"/>
  <c r="W59" i="76"/>
  <c r="AB15" i="62"/>
  <c r="O59" i="78" l="1"/>
  <c r="O59" i="77"/>
  <c r="Z59" i="77"/>
  <c r="BN15" i="62"/>
  <c r="Z59" i="78" l="1"/>
  <c r="AB59" i="77"/>
  <c r="CZ15" i="62"/>
  <c r="D14" i="57"/>
  <c r="D8" i="56"/>
  <c r="N59" i="77" l="1"/>
  <c r="N59" i="78"/>
  <c r="H59" i="77"/>
  <c r="H59" i="78"/>
  <c r="L59" i="77" l="1"/>
  <c r="L59" i="78" l="1"/>
  <c r="T9" i="19" l="1"/>
  <c r="T49" i="19"/>
  <c r="T56" i="20"/>
  <c r="T16" i="19"/>
  <c r="T8" i="19"/>
  <c r="T18" i="19"/>
  <c r="T11" i="19"/>
  <c r="T10" i="19"/>
  <c r="T17" i="19"/>
  <c r="T13" i="19"/>
  <c r="T45" i="19"/>
  <c r="T26" i="19"/>
  <c r="T37" i="19"/>
  <c r="T28" i="19"/>
  <c r="T24" i="19"/>
  <c r="T35" i="19"/>
  <c r="T33" i="19"/>
  <c r="T20" i="19"/>
  <c r="T42" i="19"/>
  <c r="T19" i="19"/>
  <c r="T30" i="19"/>
  <c r="T27" i="19"/>
  <c r="T32" i="19"/>
  <c r="T41" i="19"/>
  <c r="T50" i="19"/>
  <c r="T38" i="19"/>
  <c r="T12" i="19"/>
  <c r="T44" i="19"/>
  <c r="T31" i="19"/>
  <c r="T36" i="19"/>
  <c r="T34" i="19"/>
  <c r="T40" i="19"/>
  <c r="T43" i="19"/>
  <c r="T21" i="19"/>
  <c r="T23" i="19"/>
  <c r="T52" i="19"/>
  <c r="T53" i="19"/>
  <c r="T51" i="19"/>
  <c r="T29" i="19"/>
  <c r="T48" i="19"/>
  <c r="T25" i="19"/>
  <c r="T14" i="19"/>
  <c r="T46" i="19"/>
  <c r="T39" i="19"/>
  <c r="T22" i="19"/>
  <c r="T15" i="19"/>
  <c r="T47" i="19"/>
  <c r="T56" i="82" l="1"/>
  <c r="L59" i="76"/>
  <c r="O59" i="76"/>
  <c r="P59" i="78"/>
  <c r="M59" i="77"/>
  <c r="BA15" i="62"/>
  <c r="M59" i="78" l="1"/>
  <c r="R59" i="77"/>
  <c r="X8" i="19"/>
  <c r="X9" i="19"/>
  <c r="X10" i="19"/>
  <c r="X11" i="19"/>
  <c r="X12" i="19"/>
  <c r="X13" i="19"/>
  <c r="X14" i="19"/>
  <c r="X15" i="19"/>
  <c r="X16" i="19"/>
  <c r="X17" i="19"/>
  <c r="X18" i="19"/>
  <c r="X19" i="19"/>
  <c r="X20" i="19"/>
  <c r="X21" i="19"/>
  <c r="X22" i="19"/>
  <c r="X23" i="19"/>
  <c r="X24" i="19"/>
  <c r="X25" i="19"/>
  <c r="X26" i="19"/>
  <c r="X27" i="19"/>
  <c r="X28" i="19"/>
  <c r="X29" i="19"/>
  <c r="X30" i="19"/>
  <c r="X31" i="19"/>
  <c r="X32" i="19"/>
  <c r="X33" i="19"/>
  <c r="X34" i="19"/>
  <c r="X35" i="19"/>
  <c r="X36" i="19"/>
  <c r="X37" i="19"/>
  <c r="X38" i="19"/>
  <c r="X39" i="19"/>
  <c r="X40" i="19"/>
  <c r="X41" i="19"/>
  <c r="X42" i="19"/>
  <c r="X43" i="19"/>
  <c r="X44" i="19"/>
  <c r="X45" i="19"/>
  <c r="X46" i="19"/>
  <c r="X47" i="19"/>
  <c r="X48" i="19"/>
  <c r="X49" i="19"/>
  <c r="X50" i="19"/>
  <c r="X51" i="19"/>
  <c r="P59" i="76" l="1"/>
  <c r="R59" i="78"/>
  <c r="I8" i="19" l="1"/>
  <c r="G56" i="22"/>
  <c r="F56" i="22"/>
  <c r="Q3" i="22"/>
  <c r="P3" i="22"/>
  <c r="O3" i="22"/>
  <c r="N3" i="22"/>
  <c r="M3" i="22"/>
  <c r="L3" i="22"/>
  <c r="K3" i="22"/>
  <c r="J3" i="22"/>
  <c r="I3" i="22"/>
  <c r="H56" i="22" l="1"/>
  <c r="T56" i="22" l="1"/>
  <c r="O15" i="62" l="1"/>
  <c r="Q8" i="19"/>
  <c r="Q9" i="19"/>
  <c r="Q10" i="19"/>
  <c r="Q11" i="19"/>
  <c r="Q12" i="19"/>
  <c r="Q13" i="19"/>
  <c r="Q14" i="19"/>
  <c r="Q15" i="19"/>
  <c r="Q16" i="19"/>
  <c r="Q17" i="19"/>
  <c r="Q18" i="19"/>
  <c r="Q19" i="19"/>
  <c r="Q20" i="19"/>
  <c r="Q21" i="19"/>
  <c r="Q22" i="19"/>
  <c r="Q23" i="19"/>
  <c r="Q24" i="19"/>
  <c r="Q25" i="19"/>
  <c r="Q26" i="19"/>
  <c r="Q27" i="19"/>
  <c r="Q28" i="19"/>
  <c r="Q29" i="19"/>
  <c r="Q30" i="19"/>
  <c r="Q31" i="19"/>
  <c r="Q32" i="19"/>
  <c r="Q33" i="19"/>
  <c r="Q34" i="19"/>
  <c r="Q35" i="19"/>
  <c r="Q36" i="19"/>
  <c r="Q37" i="19"/>
  <c r="Q38" i="19"/>
  <c r="Q39" i="19"/>
  <c r="Q40" i="19"/>
  <c r="Q41" i="19"/>
  <c r="Q42" i="19"/>
  <c r="Q43" i="19"/>
  <c r="Q44" i="19"/>
  <c r="Q45" i="19"/>
  <c r="Q46" i="19"/>
  <c r="Q47" i="19"/>
  <c r="Q48" i="19"/>
  <c r="Q49" i="19"/>
  <c r="Q50" i="19"/>
  <c r="Q51" i="19"/>
  <c r="P8" i="19"/>
  <c r="P9" i="19"/>
  <c r="P10" i="19"/>
  <c r="P11" i="19"/>
  <c r="P12" i="19"/>
  <c r="P13" i="19"/>
  <c r="P14" i="19"/>
  <c r="P15" i="19"/>
  <c r="P16" i="19"/>
  <c r="P17" i="19"/>
  <c r="P18" i="19"/>
  <c r="P19" i="19"/>
  <c r="P20" i="19"/>
  <c r="P21" i="19"/>
  <c r="P22" i="19"/>
  <c r="P23" i="19"/>
  <c r="P24" i="19"/>
  <c r="P25" i="19"/>
  <c r="P26" i="19"/>
  <c r="P27" i="19"/>
  <c r="P28" i="19"/>
  <c r="P29" i="19"/>
  <c r="P30" i="19"/>
  <c r="P31" i="19"/>
  <c r="P32" i="19"/>
  <c r="P33" i="19"/>
  <c r="P34" i="19"/>
  <c r="P35" i="19"/>
  <c r="P36" i="19"/>
  <c r="P37" i="19"/>
  <c r="P38" i="19"/>
  <c r="P39" i="19"/>
  <c r="P40" i="19"/>
  <c r="P41" i="19"/>
  <c r="P42" i="19"/>
  <c r="P43" i="19"/>
  <c r="P44" i="19"/>
  <c r="P45" i="19"/>
  <c r="P46" i="19"/>
  <c r="P47" i="19"/>
  <c r="P48" i="19"/>
  <c r="P49" i="19"/>
  <c r="P50" i="19"/>
  <c r="P51" i="19"/>
  <c r="O8" i="19"/>
  <c r="O9" i="19"/>
  <c r="O10" i="19"/>
  <c r="O11" i="19"/>
  <c r="O12" i="19"/>
  <c r="O13" i="19"/>
  <c r="O14" i="19"/>
  <c r="O15" i="19"/>
  <c r="O16" i="19"/>
  <c r="O17" i="19"/>
  <c r="O18" i="19"/>
  <c r="O19" i="19"/>
  <c r="O20" i="19"/>
  <c r="O21" i="19"/>
  <c r="O22" i="19"/>
  <c r="O23" i="19"/>
  <c r="O24" i="19"/>
  <c r="O25" i="19"/>
  <c r="O26" i="19"/>
  <c r="O27" i="19"/>
  <c r="O28" i="19"/>
  <c r="O29" i="19"/>
  <c r="O30" i="19"/>
  <c r="O31" i="19"/>
  <c r="O32" i="19"/>
  <c r="O33" i="19"/>
  <c r="O34" i="19"/>
  <c r="O35" i="19"/>
  <c r="O36" i="19"/>
  <c r="O37" i="19"/>
  <c r="O38" i="19"/>
  <c r="O39" i="19"/>
  <c r="O40" i="19"/>
  <c r="O41" i="19"/>
  <c r="O42" i="19"/>
  <c r="O43" i="19"/>
  <c r="O44" i="19"/>
  <c r="O45" i="19"/>
  <c r="O46" i="19"/>
  <c r="O47" i="19"/>
  <c r="O48" i="19"/>
  <c r="O49" i="19"/>
  <c r="O50" i="19"/>
  <c r="O51" i="19"/>
  <c r="N8" i="19"/>
  <c r="N9" i="19"/>
  <c r="N10" i="19"/>
  <c r="N11" i="19"/>
  <c r="N12" i="19"/>
  <c r="N13" i="19"/>
  <c r="N14" i="19"/>
  <c r="N15" i="19"/>
  <c r="N16" i="19"/>
  <c r="N17" i="19"/>
  <c r="N18" i="19"/>
  <c r="N19" i="19"/>
  <c r="N20" i="19"/>
  <c r="N21" i="19"/>
  <c r="N22" i="19"/>
  <c r="N23" i="19"/>
  <c r="N24" i="19"/>
  <c r="N25" i="19"/>
  <c r="N26" i="19"/>
  <c r="N27" i="19"/>
  <c r="N28" i="19"/>
  <c r="N29" i="19"/>
  <c r="N30" i="19"/>
  <c r="N31" i="19"/>
  <c r="N32" i="19"/>
  <c r="N33" i="19"/>
  <c r="N34" i="19"/>
  <c r="N35" i="19"/>
  <c r="N36" i="19"/>
  <c r="N37" i="19"/>
  <c r="N38" i="19"/>
  <c r="N39" i="19"/>
  <c r="N40" i="19"/>
  <c r="N41" i="19"/>
  <c r="N42" i="19"/>
  <c r="N43" i="19"/>
  <c r="N44" i="19"/>
  <c r="N45" i="19"/>
  <c r="N46" i="19"/>
  <c r="N47" i="19"/>
  <c r="N48" i="19"/>
  <c r="N49" i="19"/>
  <c r="N50" i="19"/>
  <c r="N51" i="19"/>
  <c r="M8" i="19"/>
  <c r="M9" i="19"/>
  <c r="M10" i="19"/>
  <c r="M11" i="19"/>
  <c r="M12" i="19"/>
  <c r="M13" i="19"/>
  <c r="M14" i="19"/>
  <c r="M15" i="19"/>
  <c r="M16" i="19"/>
  <c r="M17" i="19"/>
  <c r="M18" i="19"/>
  <c r="M19" i="19"/>
  <c r="M20" i="19"/>
  <c r="M21" i="19"/>
  <c r="M22" i="19"/>
  <c r="M23" i="19"/>
  <c r="M24" i="19"/>
  <c r="M25" i="19"/>
  <c r="M26" i="19"/>
  <c r="M27" i="19"/>
  <c r="M28" i="19"/>
  <c r="M29" i="19"/>
  <c r="M30" i="19"/>
  <c r="M31" i="19"/>
  <c r="M32" i="19"/>
  <c r="M33" i="19"/>
  <c r="M34" i="19"/>
  <c r="M35" i="19"/>
  <c r="M36" i="19"/>
  <c r="M37" i="19"/>
  <c r="M38" i="19"/>
  <c r="M39" i="19"/>
  <c r="M40" i="19"/>
  <c r="M41" i="19"/>
  <c r="M42" i="19"/>
  <c r="M43" i="19"/>
  <c r="M44" i="19"/>
  <c r="M45" i="19"/>
  <c r="M46" i="19"/>
  <c r="M47" i="19"/>
  <c r="M48" i="19"/>
  <c r="M49" i="19"/>
  <c r="M50" i="19"/>
  <c r="M51" i="19"/>
  <c r="L8" i="19"/>
  <c r="L9" i="19"/>
  <c r="L10" i="19"/>
  <c r="L11" i="19"/>
  <c r="L12" i="19"/>
  <c r="L13" i="19"/>
  <c r="L14" i="19"/>
  <c r="L15" i="19"/>
  <c r="L16" i="19"/>
  <c r="L17" i="19"/>
  <c r="L18" i="19"/>
  <c r="L19" i="19"/>
  <c r="L20" i="19"/>
  <c r="L21" i="19"/>
  <c r="L22" i="19"/>
  <c r="L23" i="19"/>
  <c r="L24" i="19"/>
  <c r="L25" i="19"/>
  <c r="L26" i="19"/>
  <c r="L27" i="19"/>
  <c r="L28" i="19"/>
  <c r="L29" i="19"/>
  <c r="L30" i="19"/>
  <c r="L31" i="19"/>
  <c r="L32" i="19"/>
  <c r="L33" i="19"/>
  <c r="L34" i="19"/>
  <c r="L35" i="19"/>
  <c r="L36" i="19"/>
  <c r="L37" i="19"/>
  <c r="L38" i="19"/>
  <c r="L39" i="19"/>
  <c r="L40" i="19"/>
  <c r="L41" i="19"/>
  <c r="L42" i="19"/>
  <c r="L43" i="19"/>
  <c r="L44" i="19"/>
  <c r="L45" i="19"/>
  <c r="L46" i="19"/>
  <c r="L47" i="19"/>
  <c r="L48" i="19"/>
  <c r="L49" i="19"/>
  <c r="L50" i="19"/>
  <c r="L51" i="19"/>
  <c r="K8" i="19"/>
  <c r="K9" i="19"/>
  <c r="K10" i="19"/>
  <c r="K11" i="19"/>
  <c r="K12" i="19"/>
  <c r="K13" i="19"/>
  <c r="K14" i="19"/>
  <c r="K15" i="19"/>
  <c r="K16" i="19"/>
  <c r="K17" i="19"/>
  <c r="K18" i="19"/>
  <c r="K19" i="19"/>
  <c r="K20" i="19"/>
  <c r="K21" i="19"/>
  <c r="K22" i="19"/>
  <c r="K23" i="19"/>
  <c r="K24" i="19"/>
  <c r="K25" i="19"/>
  <c r="K26" i="19"/>
  <c r="K27" i="19"/>
  <c r="K28" i="19"/>
  <c r="K29" i="19"/>
  <c r="K30" i="19"/>
  <c r="K31" i="19"/>
  <c r="K32" i="19"/>
  <c r="K33" i="19"/>
  <c r="K34" i="19"/>
  <c r="K35" i="19"/>
  <c r="K36" i="19"/>
  <c r="K37" i="19"/>
  <c r="K38" i="19"/>
  <c r="K39" i="19"/>
  <c r="K40" i="19"/>
  <c r="K41" i="19"/>
  <c r="K42" i="19"/>
  <c r="K43" i="19"/>
  <c r="K44" i="19"/>
  <c r="K45" i="19"/>
  <c r="K46" i="19"/>
  <c r="K47" i="19"/>
  <c r="K48" i="19"/>
  <c r="K49" i="19"/>
  <c r="K50" i="19"/>
  <c r="K51" i="19"/>
  <c r="J8" i="19"/>
  <c r="J9" i="19"/>
  <c r="J10" i="19"/>
  <c r="J11" i="19"/>
  <c r="J12" i="19"/>
  <c r="J13" i="19"/>
  <c r="J14" i="19"/>
  <c r="J15" i="19"/>
  <c r="J16" i="19"/>
  <c r="J17" i="19"/>
  <c r="J18" i="19"/>
  <c r="J19" i="19"/>
  <c r="J20" i="19"/>
  <c r="J21" i="19"/>
  <c r="J22" i="19"/>
  <c r="J23" i="19"/>
  <c r="J24" i="19"/>
  <c r="J25" i="19"/>
  <c r="J26" i="19"/>
  <c r="J27" i="19"/>
  <c r="J28" i="19"/>
  <c r="J29" i="19"/>
  <c r="J30" i="19"/>
  <c r="J31" i="19"/>
  <c r="J32" i="19"/>
  <c r="J33" i="19"/>
  <c r="J34" i="19"/>
  <c r="J35" i="19"/>
  <c r="J36" i="19"/>
  <c r="J37" i="19"/>
  <c r="J38" i="19"/>
  <c r="J39" i="19"/>
  <c r="J40" i="19"/>
  <c r="J41" i="19"/>
  <c r="J42" i="19"/>
  <c r="J43" i="19"/>
  <c r="J44" i="19"/>
  <c r="J45" i="19"/>
  <c r="J46" i="19"/>
  <c r="J47" i="19"/>
  <c r="J48" i="19"/>
  <c r="J49" i="19"/>
  <c r="J50" i="19"/>
  <c r="J51" i="19"/>
  <c r="I9" i="19"/>
  <c r="I10" i="19"/>
  <c r="I11" i="19"/>
  <c r="I12" i="19"/>
  <c r="I14" i="19"/>
  <c r="I15" i="19"/>
  <c r="I16" i="19"/>
  <c r="I17" i="19"/>
  <c r="I18" i="19"/>
  <c r="I19" i="19"/>
  <c r="I20" i="19"/>
  <c r="I21" i="19"/>
  <c r="I22" i="19"/>
  <c r="I23" i="19"/>
  <c r="I24" i="19"/>
  <c r="I25" i="19"/>
  <c r="I26" i="19"/>
  <c r="I27" i="19"/>
  <c r="I28" i="19"/>
  <c r="I29" i="19"/>
  <c r="I30" i="19"/>
  <c r="I31" i="19"/>
  <c r="I32" i="19"/>
  <c r="I33" i="19"/>
  <c r="I34" i="19"/>
  <c r="I35" i="19"/>
  <c r="I36" i="19"/>
  <c r="I37" i="19"/>
  <c r="I38" i="19"/>
  <c r="I39" i="19"/>
  <c r="I40" i="19"/>
  <c r="I41" i="19"/>
  <c r="I42" i="19"/>
  <c r="I43" i="19"/>
  <c r="I44" i="19"/>
  <c r="I45" i="19"/>
  <c r="I46" i="19"/>
  <c r="I47" i="19"/>
  <c r="I48" i="19"/>
  <c r="I49" i="19"/>
  <c r="I50" i="19"/>
  <c r="I51" i="19"/>
  <c r="H56" i="21"/>
  <c r="G56" i="21"/>
  <c r="F56" i="21"/>
  <c r="Q3" i="21"/>
  <c r="P3" i="21"/>
  <c r="O3" i="21"/>
  <c r="N3" i="21"/>
  <c r="M3" i="21"/>
  <c r="L3" i="21"/>
  <c r="K3" i="21"/>
  <c r="J3" i="21"/>
  <c r="I3" i="21"/>
  <c r="H56" i="20"/>
  <c r="G56" i="20"/>
  <c r="F56" i="20"/>
  <c r="Q3" i="20"/>
  <c r="P3" i="20"/>
  <c r="O3" i="20"/>
  <c r="N3" i="20"/>
  <c r="M3" i="20"/>
  <c r="L3" i="20"/>
  <c r="K3" i="20"/>
  <c r="J3" i="20"/>
  <c r="I3" i="20"/>
  <c r="CM15" i="62" l="1"/>
  <c r="T56" i="19" l="1"/>
  <c r="T56" i="21"/>
  <c r="J3" i="19" l="1"/>
  <c r="K3" i="19"/>
  <c r="L3" i="19"/>
  <c r="M3" i="19"/>
  <c r="N3" i="19"/>
  <c r="O3" i="19"/>
  <c r="P3" i="19"/>
  <c r="Q3" i="19"/>
  <c r="I3" i="19"/>
  <c r="H56" i="19" l="1"/>
  <c r="G56" i="19"/>
  <c r="F56" i="19"/>
  <c r="F59" i="7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EA08F9F-4327-445D-BDB5-B7C93F054D0D}" keepAlive="1" name="Query - HA_data" description="Connection to the 'HA_data' query in the workbook." type="5" refreshedVersion="0" background="1" saveData="1">
    <dbPr connection="Provider=Microsoft.Mashup.OleDb.1;Data Source=$Workbook$;Location=HA_data;Extended Properties=&quot;&quot;" command="SELECT * FROM [HA_data]"/>
  </connection>
</connections>
</file>

<file path=xl/sharedStrings.xml><?xml version="1.0" encoding="utf-8"?>
<sst xmlns="http://schemas.openxmlformats.org/spreadsheetml/2006/main" count="21500" uniqueCount="4345">
  <si>
    <t>#</t>
  </si>
  <si>
    <t>Cluster</t>
  </si>
  <si>
    <t>Activity Name</t>
  </si>
  <si>
    <t>Strategic Objective</t>
  </si>
  <si>
    <t>Modality</t>
  </si>
  <si>
    <t>Recipient</t>
  </si>
  <si>
    <t>Strategic Priority</t>
  </si>
  <si>
    <t>Target (individuals to be reached)</t>
  </si>
  <si>
    <t>Activity Unit</t>
  </si>
  <si>
    <t>IDPs</t>
  </si>
  <si>
    <t>Non-Displaced</t>
  </si>
  <si>
    <t>Overall</t>
  </si>
  <si>
    <t>Cost (USD)</t>
  </si>
  <si>
    <t>activity</t>
  </si>
  <si>
    <t>so</t>
  </si>
  <si>
    <t>modality_group</t>
  </si>
  <si>
    <t>needs</t>
  </si>
  <si>
    <t>recipient</t>
  </si>
  <si>
    <t>sp</t>
  </si>
  <si>
    <t>act_unit</t>
  </si>
  <si>
    <t>target_idp</t>
  </si>
  <si>
    <t>target_ndp</t>
  </si>
  <si>
    <t>target_overall</t>
  </si>
  <si>
    <t>cost_total</t>
  </si>
  <si>
    <t>Education</t>
  </si>
  <si>
    <t>EDU</t>
  </si>
  <si>
    <t>Provision of social emotional learning support to children affected by war</t>
  </si>
  <si>
    <t>SO1</t>
  </si>
  <si>
    <t>In-kind / Service</t>
  </si>
  <si>
    <t>Specific</t>
  </si>
  <si>
    <t>Individual</t>
  </si>
  <si>
    <t>SP1</t>
  </si>
  <si>
    <t>Support schools with emergency learning shelters and quick repair and rehabilitation of education institutions damaged by strikes</t>
  </si>
  <si>
    <t>OT</t>
  </si>
  <si>
    <t>Provision of rapid catch-up learning for children whose education was disrupted by the war</t>
  </si>
  <si>
    <t>SO2</t>
  </si>
  <si>
    <t>SP2</t>
  </si>
  <si>
    <t>SP3</t>
  </si>
  <si>
    <t>SP4</t>
  </si>
  <si>
    <t>Food Security</t>
  </si>
  <si>
    <t>FSL_FS</t>
  </si>
  <si>
    <t>Distribution of recurrent emergency life-saving food assistance</t>
  </si>
  <si>
    <t>Cash / Voucher</t>
  </si>
  <si>
    <t>Generic</t>
  </si>
  <si>
    <t>Ready to Eat Kits (Survival Kit)</t>
  </si>
  <si>
    <t>Hot Meals</t>
  </si>
  <si>
    <t>Ready to Eat Kits</t>
  </si>
  <si>
    <t>Livelihoods</t>
  </si>
  <si>
    <t>Emergency Livestock Relocation</t>
  </si>
  <si>
    <t>Household Income Protection Kit</t>
  </si>
  <si>
    <t>Emergency food production kit (crop)</t>
  </si>
  <si>
    <t>Emergency food production kit (livestock and animal health)</t>
  </si>
  <si>
    <t>Emergency food production kit (mixed)</t>
  </si>
  <si>
    <t>Health</t>
  </si>
  <si>
    <t>HEA</t>
  </si>
  <si>
    <t>HE101 - Improve access to lifesaving integrated quality and integrated healthcare including MHPSS and nutrition</t>
  </si>
  <si>
    <t>HE102 - Provide financial support for health care related costs - cash or vouchers</t>
  </si>
  <si>
    <t>HE103 - Support risk communication and community engagement and provision of Information Education and Communication (IEC) to improve health outcomes for patients, caregivers and health care providers</t>
  </si>
  <si>
    <t>HE104 - Procure, preposition and distribute essential medications, medical equipment and medical commodities to health facilities (PHC and Secondary/tertiary level)</t>
  </si>
  <si>
    <t>HE105 - Engage in capacity building for health care providers and first responders and other community members to improve their ability to respond to the needs of vulnerable populations</t>
  </si>
  <si>
    <t>HE201 - Provide support to improve readiness, preparedness, and response to all hazards, including outbreaks of disease</t>
  </si>
  <si>
    <t>Institution</t>
  </si>
  <si>
    <t>Protection</t>
  </si>
  <si>
    <t>P1_PRT</t>
  </si>
  <si>
    <t>Deliver targeted life-saving information and provide critical guidance that supports improved protection outcomes</t>
  </si>
  <si>
    <t>Implement and support case manegement actions</t>
  </si>
  <si>
    <t>Implement referral actions to respond to critical protection risks</t>
  </si>
  <si>
    <t>Monitoring and consultation activities, including incidents, protection, human rights violations or displacement</t>
  </si>
  <si>
    <t>Provide psychosocial and Social-Emotional Support Activities for Men, Women, Children, Adolescents, and Caregivers</t>
  </si>
  <si>
    <t>Provide specific support through transportation and provision of essential protection-related kits or items</t>
  </si>
  <si>
    <t>Provision of financial, cash and voucher / CVA assistance for protection outcomes</t>
  </si>
  <si>
    <t>Provision of legal assistance, including on legal identity and HLP</t>
  </si>
  <si>
    <t>Reinforce or establish community mechanisms, including local structures and networks</t>
  </si>
  <si>
    <t>Support to localization, quality programming and complementarity with Government</t>
  </si>
  <si>
    <t>Carry out advocacy actions on protection</t>
  </si>
  <si>
    <t>Intervention</t>
  </si>
  <si>
    <t>Provision of site management services in CS &amp; TC</t>
  </si>
  <si>
    <t>Support dignified, voluntary, and informed transitions from displacement sites by creating conditions that reduce vulnerabilities, promoting safe relocations where necessary, and ensuring coordinated, protection-sensitive site closure processes</t>
  </si>
  <si>
    <t>Child Protection</t>
  </si>
  <si>
    <t>P2_CP</t>
  </si>
  <si>
    <t>Provide mental health and psychosocial Support Activities for Men, Women, Children, Adolescents, and Caregivers</t>
  </si>
  <si>
    <t>Provide specific support through transportation (evacuations and access to services) and provision of essential protection-related kits or items</t>
  </si>
  <si>
    <t>Service for children and caregivers affected by explosive ordnance (EO)/victim assistance</t>
  </si>
  <si>
    <t>Support family tracing and reunification</t>
  </si>
  <si>
    <t>Supporting unaccompanied children or children at risk in alternative family-based care</t>
  </si>
  <si>
    <t>Provide training and capacity building of non-protection humanitarian actors on service provision</t>
  </si>
  <si>
    <t>Support to localization, quality programmіng and complementarity with Government</t>
  </si>
  <si>
    <t>Support family reunification, placement into family-based care, case management, MHPSS and access to reintegration services for children returned to Ukraine from evacuation or other vulnerable returnee children</t>
  </si>
  <si>
    <t>Gender Based Violence</t>
  </si>
  <si>
    <t>P3_GBV</t>
  </si>
  <si>
    <t>Deliver targeted, life-saving GBV information and guidance sessions on GBV risks and response</t>
  </si>
  <si>
    <t>Implement and support GBV case management actions</t>
  </si>
  <si>
    <t>Implement referral actions to respond to critical GBV risks</t>
  </si>
  <si>
    <t>Provide GBV- specialized psychosocial and social-emotional support activities for GBV survivors and those-at risk</t>
  </si>
  <si>
    <t>Provision of dignity kits to the most vulnerable women and girls</t>
  </si>
  <si>
    <t>Provision of financial, cash or voucher / CVA assistance as part of specialized care for GBV survivors and those at-risk</t>
  </si>
  <si>
    <t>Support affected-peoples' safety through GBV crisis interventions and accommodations</t>
  </si>
  <si>
    <t>Support affected-women and girls in Women and Girls Safe Spaces (WGSS)</t>
  </si>
  <si>
    <t>Conduct GBV risks assessments</t>
  </si>
  <si>
    <t>Assessment</t>
  </si>
  <si>
    <t>Provision of GBV-specialized legal counselling to individuals</t>
  </si>
  <si>
    <t>Provide training and capacity building of GBV service providers or frontline actors on service provision</t>
  </si>
  <si>
    <t>Provide training and capacity building of non-GBV humanitarian actors on service provision</t>
  </si>
  <si>
    <t>Carry out GBV advocacy actions (strategic engagement, events, meetings, messages, documents) with other stakeholders</t>
  </si>
  <si>
    <t>Shelter &amp; Non-Food Items</t>
  </si>
  <si>
    <t>SNFI</t>
  </si>
  <si>
    <t>Emergency Non-Food Item (NFI) Support</t>
  </si>
  <si>
    <t>Emergency Non-Food Item (NFI) Support (communal)</t>
  </si>
  <si>
    <t>Emergency Shelter Support</t>
  </si>
  <si>
    <t>Humanitarian Repair</t>
  </si>
  <si>
    <t>Personal Insulation</t>
  </si>
  <si>
    <t>Winter Heating</t>
  </si>
  <si>
    <t>Refurbishment of Collective Sites</t>
  </si>
  <si>
    <t>Rental Support</t>
  </si>
  <si>
    <t>Shelter Insulation</t>
  </si>
  <si>
    <t xml:space="preserve">Institution </t>
  </si>
  <si>
    <t>Water, Sanitation and Hygiene</t>
  </si>
  <si>
    <t>WASH</t>
  </si>
  <si>
    <t>Distribution of hygiene kits, menstrual hygiene materials, and replenishment supplies</t>
  </si>
  <si>
    <t>Emergency provision, storage, and treatment of safe water at household and community level</t>
  </si>
  <si>
    <t>Support to essential service providers in repair and stabilization of water, waste water systems</t>
  </si>
  <si>
    <t>Support to essential service providers in winterization, repair and stabilization of district heating systems</t>
  </si>
  <si>
    <t>Support to Social Institutions (Transit Centers, Health, Schools, Collective Centers, etc.)</t>
  </si>
  <si>
    <t>Unified Cash Transfers for vulnerable people living in the frontline</t>
  </si>
  <si>
    <t>Group Cash Transfers</t>
  </si>
  <si>
    <t>Cash Transfer</t>
  </si>
  <si>
    <t>Unified Cash Transfers for Evacuees</t>
  </si>
  <si>
    <t>Unified Cash Transfer for Strikes Response</t>
  </si>
  <si>
    <t>Unified cash transfers for vulnerable IDPs in hosting communities and collective sites</t>
  </si>
  <si>
    <t>Coordination, Thematic and System Support</t>
  </si>
  <si>
    <t>Z2_CCS</t>
  </si>
  <si>
    <t>N/A</t>
  </si>
  <si>
    <t>ETC</t>
  </si>
  <si>
    <t>Z3_ETC</t>
  </si>
  <si>
    <t>Service / ETC</t>
  </si>
  <si>
    <t>Logistics</t>
  </si>
  <si>
    <t>Z4_LOG</t>
  </si>
  <si>
    <t>Service / Logistics</t>
  </si>
  <si>
    <t>Code</t>
  </si>
  <si>
    <t>Sector</t>
  </si>
  <si>
    <t>ED</t>
  </si>
  <si>
    <t>Total</t>
  </si>
  <si>
    <t>FS</t>
  </si>
  <si>
    <t>CP</t>
  </si>
  <si>
    <t>LI</t>
  </si>
  <si>
    <t>HE</t>
  </si>
  <si>
    <t>PR</t>
  </si>
  <si>
    <t>CW</t>
  </si>
  <si>
    <t>WA</t>
  </si>
  <si>
    <t>GB</t>
  </si>
  <si>
    <t>SN</t>
  </si>
  <si>
    <t>Cash Working Group</t>
  </si>
  <si>
    <t>Prioritized Target</t>
  </si>
  <si>
    <t>IDP</t>
  </si>
  <si>
    <t>ed</t>
  </si>
  <si>
    <t>fs</t>
  </si>
  <si>
    <t>he</t>
  </si>
  <si>
    <t>pr</t>
  </si>
  <si>
    <t>wa</t>
  </si>
  <si>
    <t>Oblast</t>
  </si>
  <si>
    <t>Analysis Zones</t>
  </si>
  <si>
    <t>Name (English)</t>
  </si>
  <si>
    <t>Pcode</t>
  </si>
  <si>
    <t>Geo Zone</t>
  </si>
  <si>
    <t>WAND 50+</t>
  </si>
  <si>
    <t>ADM1_EN</t>
  </si>
  <si>
    <t>ADM1_PCODE</t>
  </si>
  <si>
    <t>geo_zone</t>
  </si>
  <si>
    <t>swath</t>
  </si>
  <si>
    <t>UoA_code</t>
  </si>
  <si>
    <t>idp_pin_sp1_joint</t>
  </si>
  <si>
    <t>idp_pin_sp2_joint</t>
  </si>
  <si>
    <t>idp_pin_sp3_joint</t>
  </si>
  <si>
    <t>idp_pin_sp4_joint</t>
  </si>
  <si>
    <t>idp_pin_total_joint</t>
  </si>
  <si>
    <t>idp_sev_sp1_joint</t>
  </si>
  <si>
    <t>idp_sev_sp2_joint</t>
  </si>
  <si>
    <t>idp_sev_sp3_joint</t>
  </si>
  <si>
    <t>idp_sev_sp4_joint</t>
  </si>
  <si>
    <t>idp_sev_total_joint</t>
  </si>
  <si>
    <t>ndp_pin_sp1_joint</t>
  </si>
  <si>
    <t>ndp_pin_sp2_joint</t>
  </si>
  <si>
    <t>ndp_pin_sp3_joint</t>
  </si>
  <si>
    <t>ndp_pin_sp4_joint</t>
  </si>
  <si>
    <t>ndp_pin_sp5_joint</t>
  </si>
  <si>
    <t>ndp_pin_total_joint</t>
  </si>
  <si>
    <t>ndp_sev_sp1_joint</t>
  </si>
  <si>
    <t>ndp_sev_sp2_joint</t>
  </si>
  <si>
    <t>ndp_sev_sp3_joint</t>
  </si>
  <si>
    <t>ndp_sev_sp4_joint</t>
  </si>
  <si>
    <t>ndp_sev_total_joint</t>
  </si>
  <si>
    <t>UAOT</t>
  </si>
  <si>
    <t>OT 0-20 km</t>
  </si>
  <si>
    <t>0-20km</t>
  </si>
  <si>
    <t>UAOT_O20A</t>
  </si>
  <si>
    <t>OT 21-50 km</t>
  </si>
  <si>
    <t>20-50km</t>
  </si>
  <si>
    <t>UAOT_O50A</t>
  </si>
  <si>
    <t>51+ km (occupied after 2022)</t>
  </si>
  <si>
    <t>50+</t>
  </si>
  <si>
    <t>UAOT_O51N</t>
  </si>
  <si>
    <t>51+ km (occupied before 2022)</t>
  </si>
  <si>
    <t>UAOT_O51O</t>
  </si>
  <si>
    <t>GCA 0-20 km</t>
  </si>
  <si>
    <t>UAGC</t>
  </si>
  <si>
    <t>0-20 km GCA</t>
  </si>
  <si>
    <t>UAGC_U20A</t>
  </si>
  <si>
    <t>GCA 21-50 km</t>
  </si>
  <si>
    <t>21-50 km GCA</t>
  </si>
  <si>
    <t>UAGC_U50A</t>
  </si>
  <si>
    <t>UAGC_U51P</t>
  </si>
  <si>
    <t>Geographical Zone</t>
  </si>
  <si>
    <t>code</t>
  </si>
  <si>
    <t>sp3_overall_pin</t>
  </si>
  <si>
    <t>GCA 51+ km</t>
  </si>
  <si>
    <t>% Girls (0-17)</t>
  </si>
  <si>
    <t>% Boys (0-17)</t>
  </si>
  <si>
    <t>% Women (18-59)</t>
  </si>
  <si>
    <t>% Men (18-59)</t>
  </si>
  <si>
    <t>% Older Women (60+)</t>
  </si>
  <si>
    <t>% Older Men (60+)</t>
  </si>
  <si>
    <t>SP1 Total</t>
  </si>
  <si>
    <t>SP3 Total</t>
  </si>
  <si>
    <t>SP4 Total</t>
  </si>
  <si>
    <t># People in Need (Individuals)</t>
  </si>
  <si>
    <t>Severity Phase</t>
  </si>
  <si>
    <t># Target (Individuals)</t>
  </si>
  <si>
    <t>overall_pin_sp1_joint</t>
  </si>
  <si>
    <t>overall_pin_sp2_joint</t>
  </si>
  <si>
    <t>overall_pin_sp3_joint</t>
  </si>
  <si>
    <t>overall_pin_sp4_joint</t>
  </si>
  <si>
    <t>overall_pin_sp5_joint</t>
  </si>
  <si>
    <t>overall_pin_total_joint</t>
  </si>
  <si>
    <t>overall_sev_sp1_joint</t>
  </si>
  <si>
    <t>overall_sev_sp2_joint</t>
  </si>
  <si>
    <t>overall_sev_sp3_joint</t>
  </si>
  <si>
    <t>overall_sev_sp4_joint</t>
  </si>
  <si>
    <t>overall_sev_total_joint</t>
  </si>
  <si>
    <t>overall_target_sp1_joint</t>
  </si>
  <si>
    <t>overall_target_sp2_joint</t>
  </si>
  <si>
    <t>overall_target_sp3_joint</t>
  </si>
  <si>
    <t>overall_target_sp4_joint</t>
  </si>
  <si>
    <t>overall_target_total_joint</t>
  </si>
  <si>
    <t>Vinnytska</t>
  </si>
  <si>
    <t>UA05</t>
  </si>
  <si>
    <t>All oblast</t>
  </si>
  <si>
    <t>UA05_UALL</t>
  </si>
  <si>
    <t>Volynska</t>
  </si>
  <si>
    <t>UA07</t>
  </si>
  <si>
    <t>UA07_UALL</t>
  </si>
  <si>
    <t>Dnipropetrovska</t>
  </si>
  <si>
    <t>UA12</t>
  </si>
  <si>
    <t>0-20 km</t>
  </si>
  <si>
    <t>UA12_U20A</t>
  </si>
  <si>
    <t>21-50 km</t>
  </si>
  <si>
    <t>UA12_U50A</t>
  </si>
  <si>
    <t>51+ km</t>
  </si>
  <si>
    <t>UA12_U51P</t>
  </si>
  <si>
    <t>Donetska</t>
  </si>
  <si>
    <t>UA14</t>
  </si>
  <si>
    <t>UA14_U20A</t>
  </si>
  <si>
    <t>UA14_U50A</t>
  </si>
  <si>
    <t>Zhytomyrska</t>
  </si>
  <si>
    <t>UA18</t>
  </si>
  <si>
    <t>UA18_UALL</t>
  </si>
  <si>
    <t>Zakarpatska</t>
  </si>
  <si>
    <t>UA21</t>
  </si>
  <si>
    <t>UA21_UALL</t>
  </si>
  <si>
    <t>Zaporizka</t>
  </si>
  <si>
    <t>UA23</t>
  </si>
  <si>
    <t>UA23_U20A</t>
  </si>
  <si>
    <t>21-50 km (w/o Zaporizhzhia)</t>
  </si>
  <si>
    <t>UA23_U50X</t>
  </si>
  <si>
    <t>UA23_U51P</t>
  </si>
  <si>
    <t>Zaporizhzhia city</t>
  </si>
  <si>
    <t>UA23_UCAP</t>
  </si>
  <si>
    <t>Ivano-Frankivska</t>
  </si>
  <si>
    <t>UA26</t>
  </si>
  <si>
    <t>UA26_UALL</t>
  </si>
  <si>
    <t>Kyivska</t>
  </si>
  <si>
    <t>UA32</t>
  </si>
  <si>
    <t>UA32_UALL</t>
  </si>
  <si>
    <t>Kirovohradska</t>
  </si>
  <si>
    <t>UA35</t>
  </si>
  <si>
    <t>UA35_UALL</t>
  </si>
  <si>
    <t>Lvivska</t>
  </si>
  <si>
    <t>UA46</t>
  </si>
  <si>
    <t>UA46_UALL</t>
  </si>
  <si>
    <t>Mykolaivska</t>
  </si>
  <si>
    <t>UA48</t>
  </si>
  <si>
    <t>UA48_U20A</t>
  </si>
  <si>
    <t>21-50 km (w/o Mykolaiv)</t>
  </si>
  <si>
    <t>UA48_U50X</t>
  </si>
  <si>
    <t>UA48_U51P</t>
  </si>
  <si>
    <t>Mykolaiv city</t>
  </si>
  <si>
    <t>UA48_UCAP</t>
  </si>
  <si>
    <t>Odeska</t>
  </si>
  <si>
    <t>UA51</t>
  </si>
  <si>
    <t>UA51_UALL</t>
  </si>
  <si>
    <t>Poltavska</t>
  </si>
  <si>
    <t>UA53</t>
  </si>
  <si>
    <t>UA53_UALL</t>
  </si>
  <si>
    <t>Rivnenska</t>
  </si>
  <si>
    <t>UA56</t>
  </si>
  <si>
    <t>UA56_UALL</t>
  </si>
  <si>
    <t>Sumska</t>
  </si>
  <si>
    <t>UA59</t>
  </si>
  <si>
    <t>0-20 km (w/o Sumy)</t>
  </si>
  <si>
    <t>UA59_U20X</t>
  </si>
  <si>
    <t>UA59_U50A</t>
  </si>
  <si>
    <t>UA59_U51P</t>
  </si>
  <si>
    <t>Sumy city</t>
  </si>
  <si>
    <t>UA59_UCAP</t>
  </si>
  <si>
    <t>Ternopilska</t>
  </si>
  <si>
    <t>UA61</t>
  </si>
  <si>
    <t>UA61_UALL</t>
  </si>
  <si>
    <t>Kharkivska</t>
  </si>
  <si>
    <t>UA63</t>
  </si>
  <si>
    <t>UA63_U20A</t>
  </si>
  <si>
    <t>21-50 km (w/o Kharkiv)</t>
  </si>
  <si>
    <t>UA63_U50X</t>
  </si>
  <si>
    <t>UA63_U51P</t>
  </si>
  <si>
    <t>Kharkiv city</t>
  </si>
  <si>
    <t>UA63_UCAP</t>
  </si>
  <si>
    <t>Khersonska</t>
  </si>
  <si>
    <t>UA65</t>
  </si>
  <si>
    <t>0-20 km (w/o Kherson)</t>
  </si>
  <si>
    <t>UA65_U20X</t>
  </si>
  <si>
    <t>UA65_U50A</t>
  </si>
  <si>
    <t>UA65_U51P</t>
  </si>
  <si>
    <t>Kherson city</t>
  </si>
  <si>
    <t>UA65_UCAP</t>
  </si>
  <si>
    <t>Khmelnytska</t>
  </si>
  <si>
    <t>UA68</t>
  </si>
  <si>
    <t>UA68_UALL</t>
  </si>
  <si>
    <t>Cherkaska</t>
  </si>
  <si>
    <t>UA71</t>
  </si>
  <si>
    <t>UA71_UALL</t>
  </si>
  <si>
    <t>Chernivetska</t>
  </si>
  <si>
    <t>UA73</t>
  </si>
  <si>
    <t>UA73_UALL</t>
  </si>
  <si>
    <t>Chernihivska</t>
  </si>
  <si>
    <t>UA74</t>
  </si>
  <si>
    <t>UA74_U20A</t>
  </si>
  <si>
    <t>UA74_U50A</t>
  </si>
  <si>
    <t>UA74_U51P</t>
  </si>
  <si>
    <t>Kyiv</t>
  </si>
  <si>
    <t>UA80</t>
  </si>
  <si>
    <t>UA80_UALL</t>
  </si>
  <si>
    <t>51+ km GCA</t>
  </si>
  <si>
    <t>Cluster Severity Phase</t>
  </si>
  <si>
    <t>Protection AoRs</t>
  </si>
  <si>
    <t>FSL AoRs</t>
  </si>
  <si>
    <t>Adopted Severity</t>
  </si>
  <si>
    <t>GP</t>
  </si>
  <si>
    <t>FD</t>
  </si>
  <si>
    <t>sp4_idp_sev_ed</t>
  </si>
  <si>
    <t>sp4_idp_sev_fs</t>
  </si>
  <si>
    <t>sp4_idp_sev_he</t>
  </si>
  <si>
    <t>sp4_idp_sev_pr</t>
  </si>
  <si>
    <t>sp4_idp_sev_sn</t>
  </si>
  <si>
    <t>sp4_idp_sev_wa</t>
  </si>
  <si>
    <t>sp4_idp_sev_gp</t>
  </si>
  <si>
    <t>sp4_idp_sev_cp</t>
  </si>
  <si>
    <t>sp4_idp_sev_gb</t>
  </si>
  <si>
    <t>sp4_idp_sev_li</t>
  </si>
  <si>
    <t>sp4_idp_sev_adopted</t>
  </si>
  <si>
    <t>sp4_idp_target_joint</t>
  </si>
  <si>
    <t>FL</t>
  </si>
  <si>
    <t>Baseline</t>
  </si>
  <si>
    <t># Affected IDPs</t>
  </si>
  <si>
    <t>idp_all_total_joint</t>
  </si>
  <si>
    <t>idp_aff_sp1_joint</t>
  </si>
  <si>
    <t>idp_aff_sp2_joint</t>
  </si>
  <si>
    <t>idp_aff_sp3_joint</t>
  </si>
  <si>
    <t>idp_aff_sp4_joint</t>
  </si>
  <si>
    <t>idp_aff_total_joint</t>
  </si>
  <si>
    <t>idp_target_sp1_joint</t>
  </si>
  <si>
    <t>idp_target_sp2_joint</t>
  </si>
  <si>
    <t>idp_target_sp3_joint</t>
  </si>
  <si>
    <t>idp_target_sp4_joint</t>
  </si>
  <si>
    <t>idp_target_total_joint</t>
  </si>
  <si>
    <t>sn</t>
  </si>
  <si>
    <t># Affected WAND</t>
  </si>
  <si>
    <t>ndp_all_total_joint</t>
  </si>
  <si>
    <t>ndp_aff_sp1_joint</t>
  </si>
  <si>
    <t>ndp_aff_sp2_joint</t>
  </si>
  <si>
    <t>ndp_aff_sp3_joint</t>
  </si>
  <si>
    <t>ndp_aff_sp4_joint</t>
  </si>
  <si>
    <t>ndp_aff_sp5_joint</t>
  </si>
  <si>
    <t>ndp_aff_total_joint</t>
  </si>
  <si>
    <t>ndp_target_sp1_joint</t>
  </si>
  <si>
    <t>ndp_target_sp2_joint</t>
  </si>
  <si>
    <t>ndp_target_sp3_joint</t>
  </si>
  <si>
    <t>ndp_target_sp4_joint</t>
  </si>
  <si>
    <t>ndp_target_total_joint</t>
  </si>
  <si>
    <t># Affected Overall</t>
  </si>
  <si>
    <t>overall_all_total_joint</t>
  </si>
  <si>
    <t>overall_aff_sp1_joint</t>
  </si>
  <si>
    <t>overall_aff_sp2_joint</t>
  </si>
  <si>
    <t>overall_aff_sp3_joint</t>
  </si>
  <si>
    <t>overall_aff_sp4_joint</t>
  </si>
  <si>
    <t>overall_aff_sp5_joint</t>
  </si>
  <si>
    <t>overall_aff_total_joint</t>
  </si>
  <si>
    <t>Internally Displaced People</t>
  </si>
  <si>
    <t xml:space="preserve"> War-Affected Non-Displaced </t>
  </si>
  <si>
    <t># People in Need (IDP)</t>
  </si>
  <si>
    <t>Joint
PiN</t>
  </si>
  <si>
    <t># Target (IDP)</t>
  </si>
  <si>
    <t># People in Need (WAND)</t>
  </si>
  <si>
    <t># People in Need (Overall)</t>
  </si>
  <si>
    <t># Target (Overall)</t>
  </si>
  <si>
    <t>spAll_idp_pin_ed</t>
  </si>
  <si>
    <t>spAll_idp_pin_fs</t>
  </si>
  <si>
    <t>spAll_idp_pin_he</t>
  </si>
  <si>
    <t>spAll_idp_pin_pr</t>
  </si>
  <si>
    <t>spAll_idp_pin_sn</t>
  </si>
  <si>
    <t>spAll_idp_pin_wa</t>
  </si>
  <si>
    <t>spAll_idp_pin_gp</t>
  </si>
  <si>
    <t>spAll_idp_pin_cp</t>
  </si>
  <si>
    <t>spAll_idp_pin_gb</t>
  </si>
  <si>
    <t>spAll_idp_pin_li</t>
  </si>
  <si>
    <t>spAll_idp_pin_adopted</t>
  </si>
  <si>
    <t>spAll_idp_target_ed</t>
  </si>
  <si>
    <t>spAll_idp_target_fs</t>
  </si>
  <si>
    <t>spAll_idp_target_he</t>
  </si>
  <si>
    <t>spAll_idp_target_pr</t>
  </si>
  <si>
    <t>spAll_idp_target_sn</t>
  </si>
  <si>
    <t>spAll_idp_target_wa</t>
  </si>
  <si>
    <t>spAll_idp_target_gp</t>
  </si>
  <si>
    <t>spAll_idp_target_cp</t>
  </si>
  <si>
    <t>spAll_idp_target_gb</t>
  </si>
  <si>
    <t>spAll_idp_target_li</t>
  </si>
  <si>
    <t>spAll_idp_target_joint</t>
  </si>
  <si>
    <t>spAll_ndp_pin_ed</t>
  </si>
  <si>
    <t>spAll_ndp_pin_fs</t>
  </si>
  <si>
    <t>spAll_ndp_pin_he</t>
  </si>
  <si>
    <t>spAll_ndp_pin_pr</t>
  </si>
  <si>
    <t>spAll_ndp_pin_sn</t>
  </si>
  <si>
    <t>spAll_ndp_pin_wa</t>
  </si>
  <si>
    <t>spAll_ndp_pin_gp</t>
  </si>
  <si>
    <t>spAll_ndp_pin_cp</t>
  </si>
  <si>
    <t>spAll_ndp_pin_gb</t>
  </si>
  <si>
    <t>spAll_ndp_pin_li</t>
  </si>
  <si>
    <t>spAll_ndp_pin_adopted</t>
  </si>
  <si>
    <t>spAll_ndp_target_ed</t>
  </si>
  <si>
    <t>spAll_ndp_target_fs</t>
  </si>
  <si>
    <t>spAll_ndp_target_he</t>
  </si>
  <si>
    <t>spAll_ndp_target_pr</t>
  </si>
  <si>
    <t>spAll_ndp_target_sn</t>
  </si>
  <si>
    <t>spAll_ndp_target_wa</t>
  </si>
  <si>
    <t>spAll_ndp_target_gp</t>
  </si>
  <si>
    <t>spAll_ndp_target_cp</t>
  </si>
  <si>
    <t>spAll_ndp_target_gb</t>
  </si>
  <si>
    <t>spAll_ndp_target_li</t>
  </si>
  <si>
    <t>spAll_ndp_target_joint</t>
  </si>
  <si>
    <t>spAll_overall_pin_ed</t>
  </si>
  <si>
    <t>spAll_overall_pin_fs</t>
  </si>
  <si>
    <t>spAll_overall_pin_he</t>
  </si>
  <si>
    <t>spAll_overall_pin_pr</t>
  </si>
  <si>
    <t>spAll_overall_pin_sn</t>
  </si>
  <si>
    <t>spAll_overall_pin_wa</t>
  </si>
  <si>
    <t>spAll_overall_pin_gp</t>
  </si>
  <si>
    <t>spAll_overall_pin_cp</t>
  </si>
  <si>
    <t>spAll_overall_pin_gb</t>
  </si>
  <si>
    <t>spAll_overall_pin_li</t>
  </si>
  <si>
    <t>spAll_overall_pin_adopted</t>
  </si>
  <si>
    <t>spAll_overall_target_ed</t>
  </si>
  <si>
    <t>spAll_overall_target_fs</t>
  </si>
  <si>
    <t>spAll_overall_target_he</t>
  </si>
  <si>
    <t>spAll_overall_target_pr</t>
  </si>
  <si>
    <t>spAll_overall_target_sn</t>
  </si>
  <si>
    <t>spAll_overall_target_wa</t>
  </si>
  <si>
    <t>spAll_overall_target_gp</t>
  </si>
  <si>
    <t>spAll_overall_target_cp</t>
  </si>
  <si>
    <t>spAll_overall_target_gb</t>
  </si>
  <si>
    <t>spAll_overall_target_li</t>
  </si>
  <si>
    <t>spAll_overall_target_joint</t>
  </si>
  <si>
    <t>gp</t>
  </si>
  <si>
    <t>cp</t>
  </si>
  <si>
    <t>gb</t>
  </si>
  <si>
    <t># Affected People</t>
  </si>
  <si>
    <t>Non-Displ.</t>
  </si>
  <si>
    <t>adopted</t>
  </si>
  <si>
    <t/>
  </si>
  <si>
    <t>Adopted PiN</t>
  </si>
  <si>
    <t>idp_aff_sp1</t>
  </si>
  <si>
    <t>ndp_aff_sp1</t>
  </si>
  <si>
    <t>overall_aff_sp1</t>
  </si>
  <si>
    <t>sp1_idp_pin_ed</t>
  </si>
  <si>
    <t>sp1_idp_pin_fs</t>
  </si>
  <si>
    <t>sp1_idp_pin_he</t>
  </si>
  <si>
    <t>sp1_idp_pin_pr</t>
  </si>
  <si>
    <t>sp1_idp_pin_sn</t>
  </si>
  <si>
    <t>sp1_idp_pin_wa</t>
  </si>
  <si>
    <t>sp1_idp_pin_gp</t>
  </si>
  <si>
    <t>sp1_idp_pin_cp</t>
  </si>
  <si>
    <t>sp1_idp_pin_gb</t>
  </si>
  <si>
    <t>sp1_idp_pin_li</t>
  </si>
  <si>
    <t>sp1_idp_pin_adopted</t>
  </si>
  <si>
    <t>sp1_idp_sev_ed</t>
  </si>
  <si>
    <t>sp1_idp_sev_fs</t>
  </si>
  <si>
    <t>sp1_idp_sev_he</t>
  </si>
  <si>
    <t>sp1_idp_sev_pr</t>
  </si>
  <si>
    <t>sp1_idp_sev_sn</t>
  </si>
  <si>
    <t>sp1_idp_sev_wa</t>
  </si>
  <si>
    <t>sp1_idp_sev_gp</t>
  </si>
  <si>
    <t>sp1_idp_sev_cp</t>
  </si>
  <si>
    <t>sp1_idp_sev_gb</t>
  </si>
  <si>
    <t>sp1_idp_sev_li</t>
  </si>
  <si>
    <t>sp1_idp_sev_adopted</t>
  </si>
  <si>
    <t>sp1_idp_target_ed</t>
  </si>
  <si>
    <t>sp1_idp_target_fs</t>
  </si>
  <si>
    <t>sp1_idp_target_he</t>
  </si>
  <si>
    <t>sp1_idp_target_pr</t>
  </si>
  <si>
    <t>sp1_idp_target_sn</t>
  </si>
  <si>
    <t>sp1_idp_target_wa</t>
  </si>
  <si>
    <t>sp1_idp_target_gp</t>
  </si>
  <si>
    <t>sp1_idp_target_cp</t>
  </si>
  <si>
    <t>sp1_idp_target_gb</t>
  </si>
  <si>
    <t>sp1_idp_target_li</t>
  </si>
  <si>
    <t>sp1_idp_target_joint</t>
  </si>
  <si>
    <t>sp1_ndp_pin_ed</t>
  </si>
  <si>
    <t>sp1_ndp_pin_fs</t>
  </si>
  <si>
    <t>sp1_ndp_pin_he</t>
  </si>
  <si>
    <t>sp1_ndp_pin_pr</t>
  </si>
  <si>
    <t>sp1_ndp_pin_sn</t>
  </si>
  <si>
    <t>sp1_ndp_pin_wa</t>
  </si>
  <si>
    <t>sp1_ndp_pin_gp</t>
  </si>
  <si>
    <t>sp1_ndp_pin_cp</t>
  </si>
  <si>
    <t>sp1_ndp_pin_gb</t>
  </si>
  <si>
    <t>sp1_ndp_pin_li</t>
  </si>
  <si>
    <t>sp1_ndp_pin_adopted</t>
  </si>
  <si>
    <t>sp1_ndp_sev_ed</t>
  </si>
  <si>
    <t>sp1_ndp_sev_fs</t>
  </si>
  <si>
    <t>sp1_ndp_sev_he</t>
  </si>
  <si>
    <t>sp1_ndp_sev_pr</t>
  </si>
  <si>
    <t>sp1_ndp_sev_sn</t>
  </si>
  <si>
    <t>sp1_ndp_sev_wa</t>
  </si>
  <si>
    <t>sp1_ndp_sev_gp</t>
  </si>
  <si>
    <t>sp1_ndp_sev_cp</t>
  </si>
  <si>
    <t>sp1_ndp_sev_gb</t>
  </si>
  <si>
    <t>sp1_ndp_sev_li</t>
  </si>
  <si>
    <t>sp1_ndp_sev_adopted</t>
  </si>
  <si>
    <t>sp1_ndp_target_ed</t>
  </si>
  <si>
    <t>sp1_ndp_target_fs</t>
  </si>
  <si>
    <t>sp1_ndp_target_he</t>
  </si>
  <si>
    <t>sp1_ndp_target_pr</t>
  </si>
  <si>
    <t>sp1_ndp_target_sn</t>
  </si>
  <si>
    <t>sp1_ndp_target_wa</t>
  </si>
  <si>
    <t>sp1_ndp_target_gp</t>
  </si>
  <si>
    <t>sp1_ndp_target_cp</t>
  </si>
  <si>
    <t>sp1_ndp_target_gb</t>
  </si>
  <si>
    <t>sp1_ndp_target_li</t>
  </si>
  <si>
    <t>sp1_ndp_target_joint</t>
  </si>
  <si>
    <t>sp1_overall_pin_ed</t>
  </si>
  <si>
    <t>sp1_overall_pin_fs</t>
  </si>
  <si>
    <t>sp1_overall_pin_he</t>
  </si>
  <si>
    <t>sp1_overall_pin_pr</t>
  </si>
  <si>
    <t>sp1_overall_pin_sn</t>
  </si>
  <si>
    <t>sp1_overall_pin_wa</t>
  </si>
  <si>
    <t>sp1_overall_pin_gp</t>
  </si>
  <si>
    <t>sp1_overall_pin_cp</t>
  </si>
  <si>
    <t>sp1_overall_pin_gb</t>
  </si>
  <si>
    <t>sp1_overall_pin_li</t>
  </si>
  <si>
    <t>sp1_overall_pin_adopted</t>
  </si>
  <si>
    <t>sp1_overall_sev_ed</t>
  </si>
  <si>
    <t>sp1_overall_sev_fs</t>
  </si>
  <si>
    <t>sp1_overall_sev_he</t>
  </si>
  <si>
    <t>sp1_overall_sev_pr</t>
  </si>
  <si>
    <t>sp1_overall_sev_sn</t>
  </si>
  <si>
    <t>sp1_overall_sev_wa</t>
  </si>
  <si>
    <t>sp1_overall_sev_gp</t>
  </si>
  <si>
    <t>sp1_overall_sev_cp</t>
  </si>
  <si>
    <t>sp1_overall_sev_gb</t>
  </si>
  <si>
    <t>sp1_overall_sev_li</t>
  </si>
  <si>
    <t>sp1_overall_sev_adopted</t>
  </si>
  <si>
    <t>sp1_overall_target_ed</t>
  </si>
  <si>
    <t>sp1_overall_target_fs</t>
  </si>
  <si>
    <t>sp1_overall_target_he</t>
  </si>
  <si>
    <t>sp1_overall_target_pr</t>
  </si>
  <si>
    <t>sp1_overall_target_sn</t>
  </si>
  <si>
    <t>sp1_overall_target_wa</t>
  </si>
  <si>
    <t>sp1_overall_target_gp</t>
  </si>
  <si>
    <t>sp1_overall_target_cp</t>
  </si>
  <si>
    <t>sp1_overall_target_gb</t>
  </si>
  <si>
    <t>sp1_overall_target_li</t>
  </si>
  <si>
    <t>sp1_overall_target_joint</t>
  </si>
  <si>
    <t># Projected PIN</t>
  </si>
  <si>
    <t>Severity of Needs</t>
  </si>
  <si>
    <t>sp2_udp_pin</t>
  </si>
  <si>
    <t>sp2_udp_sev</t>
  </si>
  <si>
    <t>sp2_idp_pin_ed</t>
  </si>
  <si>
    <t>sp2_idp_pin_fs</t>
  </si>
  <si>
    <t>sp2_idp_pin_he</t>
  </si>
  <si>
    <t>sp2_idp_pin_pr</t>
  </si>
  <si>
    <t>sp2_idp_pin_sn</t>
  </si>
  <si>
    <t>sp2_idp_pin_wa</t>
  </si>
  <si>
    <t>sp2_idp_pin_gp</t>
  </si>
  <si>
    <t>sp2_idp_pin_cp</t>
  </si>
  <si>
    <t>sp2_idp_pin_gb</t>
  </si>
  <si>
    <t>sp2_idp_pin_li</t>
  </si>
  <si>
    <t>sp2_idp_pin_adopted</t>
  </si>
  <si>
    <t>sp2_idp_target_ed</t>
  </si>
  <si>
    <t>sp2_idp_target_fs</t>
  </si>
  <si>
    <t>sp2_idp_target_he</t>
  </si>
  <si>
    <t>sp2_idp_target_pr</t>
  </si>
  <si>
    <t>sp2_idp_target_sn</t>
  </si>
  <si>
    <t>sp2_idp_target_wa</t>
  </si>
  <si>
    <t>sp2_idp_target_gp</t>
  </si>
  <si>
    <t>sp2_idp_target_cp</t>
  </si>
  <si>
    <t>sp2_idp_target_gb</t>
  </si>
  <si>
    <t>sp2_idp_target_li</t>
  </si>
  <si>
    <t>sp2_idp_target_joint</t>
  </si>
  <si>
    <t>Overall (IDP + WAND)</t>
  </si>
  <si>
    <t># People in Need (TOTAL)</t>
  </si>
  <si>
    <t># Target (TOTAL)</t>
  </si>
  <si>
    <t>sp3_overall_sev</t>
  </si>
  <si>
    <t>sp3_overall_pin_ed</t>
  </si>
  <si>
    <t>sp3_overall_pin_fs</t>
  </si>
  <si>
    <t>sp3_overall_pin_he</t>
  </si>
  <si>
    <t>sp3_overall_pin_pr</t>
  </si>
  <si>
    <t>sp3_overall_pin_sn</t>
  </si>
  <si>
    <t>sp3_overall_pin_wa</t>
  </si>
  <si>
    <t>sp3_overall_pin_gp</t>
  </si>
  <si>
    <t>sp3_overall_pin_cp</t>
  </si>
  <si>
    <t>sp3_overall_pin_gb</t>
  </si>
  <si>
    <t>sp3_overall_pin_li</t>
  </si>
  <si>
    <t>sp3_overall_pin_adopted</t>
  </si>
  <si>
    <t>sp3_overall_target_ed</t>
  </si>
  <si>
    <t>sp3_overall_target_fs</t>
  </si>
  <si>
    <t>sp3_overall_target_he</t>
  </si>
  <si>
    <t>sp3_overall_target_pr</t>
  </si>
  <si>
    <t>sp3_overall_target_sn</t>
  </si>
  <si>
    <t>sp3_overall_target_wa</t>
  </si>
  <si>
    <t>sp3_overall_target_gp</t>
  </si>
  <si>
    <t>sp3_overall_target_cp</t>
  </si>
  <si>
    <t>sp3_overall_target_gb</t>
  </si>
  <si>
    <t>sp3_overall_target_li</t>
  </si>
  <si>
    <t>sp3_overall_target_joint</t>
  </si>
  <si>
    <t>idp_aff_sp4</t>
  </si>
  <si>
    <t>ndp_aff_sp4</t>
  </si>
  <si>
    <t>overall_aff_sp4</t>
  </si>
  <si>
    <t>sp4_idp_pin_ed</t>
  </si>
  <si>
    <t>sp4_idp_pin_fs</t>
  </si>
  <si>
    <t>sp4_idp_pin_he</t>
  </si>
  <si>
    <t>sp4_idp_pin_pr</t>
  </si>
  <si>
    <t>sp4_idp_pin_sn</t>
  </si>
  <si>
    <t>sp4_idp_pin_wa</t>
  </si>
  <si>
    <t>sp4_idp_pin_gp</t>
  </si>
  <si>
    <t>sp4_idp_pin_cp</t>
  </si>
  <si>
    <t>sp4_idp_pin_gb</t>
  </si>
  <si>
    <t>sp4_idp_pin_li</t>
  </si>
  <si>
    <t>sp4_idp_pin_adopted</t>
  </si>
  <si>
    <t>sp4_idp_target_ed</t>
  </si>
  <si>
    <t>sp4_idp_target_fs</t>
  </si>
  <si>
    <t>sp4_idp_target_he</t>
  </si>
  <si>
    <t>sp4_idp_target_pr</t>
  </si>
  <si>
    <t>sp4_idp_target_sn</t>
  </si>
  <si>
    <t>sp4_idp_target_wa</t>
  </si>
  <si>
    <t>sp4_idp_target_gp</t>
  </si>
  <si>
    <t>sp4_idp_target_cp</t>
  </si>
  <si>
    <t>sp4_idp_target_gb</t>
  </si>
  <si>
    <t>sp4_idp_target_li</t>
  </si>
  <si>
    <t>sp4_ndp_pin_ed</t>
  </si>
  <si>
    <t>sp4_ndp_pin_fs</t>
  </si>
  <si>
    <t>sp4_ndp_pin_he</t>
  </si>
  <si>
    <t>sp4_ndp_pin_pr</t>
  </si>
  <si>
    <t>sp4_ndp_pin_sn</t>
  </si>
  <si>
    <t>sp4_ndp_pin_wa</t>
  </si>
  <si>
    <t>sp4_ndp_pin_gp</t>
  </si>
  <si>
    <t>sp4_ndp_pin_cp</t>
  </si>
  <si>
    <t>sp4_ndp_pin_gb</t>
  </si>
  <si>
    <t>sp4_ndp_pin_li</t>
  </si>
  <si>
    <t>sp4_ndp_pin_adopted</t>
  </si>
  <si>
    <t>sp4_ndp_sev_ed</t>
  </si>
  <si>
    <t>sp4_ndp_sev_fs</t>
  </si>
  <si>
    <t>sp4_ndp_sev_he</t>
  </si>
  <si>
    <t>sp4_ndp_sev_pr</t>
  </si>
  <si>
    <t>sp4_ndp_sev_sn</t>
  </si>
  <si>
    <t>sp4_ndp_sev_wa</t>
  </si>
  <si>
    <t>sp4_ndp_sev_gp</t>
  </si>
  <si>
    <t>sp4_ndp_sev_cp</t>
  </si>
  <si>
    <t>sp4_ndp_sev_gb</t>
  </si>
  <si>
    <t>sp4_ndp_sev_li</t>
  </si>
  <si>
    <t>sp4_ndp_sev_adopted</t>
  </si>
  <si>
    <t>sp4_ndp_target_ed</t>
  </si>
  <si>
    <t>sp4_ndp_target_fs</t>
  </si>
  <si>
    <t>sp4_ndp_target_he</t>
  </si>
  <si>
    <t>sp4_ndp_target_pr</t>
  </si>
  <si>
    <t>sp4_ndp_target_sn</t>
  </si>
  <si>
    <t>sp4_ndp_target_wa</t>
  </si>
  <si>
    <t>sp4_ndp_target_gp</t>
  </si>
  <si>
    <t>sp4_ndp_target_cp</t>
  </si>
  <si>
    <t>sp4_ndp_target_gb</t>
  </si>
  <si>
    <t>sp4_ndp_target_li</t>
  </si>
  <si>
    <t>sp4_ndp_target_joint</t>
  </si>
  <si>
    <t>sp4_overall_pin_ed</t>
  </si>
  <si>
    <t>sp4_overall_pin_fs</t>
  </si>
  <si>
    <t>sp4_overall_pin_he</t>
  </si>
  <si>
    <t>sp4_overall_pin_pr</t>
  </si>
  <si>
    <t>sp4_overall_pin_sn</t>
  </si>
  <si>
    <t>sp4_overall_pin_wa</t>
  </si>
  <si>
    <t>sp4_overall_pin_gp</t>
  </si>
  <si>
    <t>sp4_overall_pin_cp</t>
  </si>
  <si>
    <t>sp4_overall_pin_gb</t>
  </si>
  <si>
    <t>sp4_overall_pin_li</t>
  </si>
  <si>
    <t>sp4_overall_pin_adopted</t>
  </si>
  <si>
    <t>sp4_overall_sev_ed</t>
  </si>
  <si>
    <t>sp4_overall_sev_fs</t>
  </si>
  <si>
    <t>sp4_overall_sev_he</t>
  </si>
  <si>
    <t>sp4_overall_sev_pr</t>
  </si>
  <si>
    <t>sp4_overall_sev_sn</t>
  </si>
  <si>
    <t>sp4_overall_sev_wa</t>
  </si>
  <si>
    <t>sp4_overall_sev_gp</t>
  </si>
  <si>
    <t>sp4_overall_sev_cp</t>
  </si>
  <si>
    <t>sp4_overall_sev_gb</t>
  </si>
  <si>
    <t>sp4_overall_sev_li</t>
  </si>
  <si>
    <t>sp4_overall_sev_adopted</t>
  </si>
  <si>
    <t>sp4_overall_target_ed</t>
  </si>
  <si>
    <t>sp4_overall_target_fs</t>
  </si>
  <si>
    <t>sp4_overall_target_he</t>
  </si>
  <si>
    <t>sp4_overall_target_pr</t>
  </si>
  <si>
    <t>sp4_overall_target_sn</t>
  </si>
  <si>
    <t>sp4_overall_target_wa</t>
  </si>
  <si>
    <t>sp4_overall_target_gp</t>
  </si>
  <si>
    <t>sp4_overall_target_cp</t>
  </si>
  <si>
    <t>sp4_overall_target_gb</t>
  </si>
  <si>
    <t>sp4_overall_target_li</t>
  </si>
  <si>
    <t>sp4_overall_target_joint</t>
  </si>
  <si>
    <t>UKRAINE 2026 HNRP</t>
  </si>
  <si>
    <t>Hromada Name</t>
  </si>
  <si>
    <t>Hromada Pcode</t>
  </si>
  <si>
    <t>Raion Name</t>
  </si>
  <si>
    <t>Raion Pcode</t>
  </si>
  <si>
    <t>Admin1 Name</t>
  </si>
  <si>
    <t>Admin1 Pcode</t>
  </si>
  <si>
    <t>UA Controlled or Occupied (OT)</t>
  </si>
  <si>
    <t>Description of UoA Zone</t>
  </si>
  <si>
    <t>Unit of Analysis Code</t>
  </si>
  <si>
    <t>ADM3_EN</t>
  </si>
  <si>
    <t>ADM3_PCODE</t>
  </si>
  <si>
    <t>ADM2_EN</t>
  </si>
  <si>
    <t>ADM2_PCODE</t>
  </si>
  <si>
    <t>control</t>
  </si>
  <si>
    <t>zone_desc</t>
  </si>
  <si>
    <t>Ahronomichna</t>
  </si>
  <si>
    <t>UA0502001</t>
  </si>
  <si>
    <t>Vinnytskyi</t>
  </si>
  <si>
    <t>UA0502</t>
  </si>
  <si>
    <t>UA</t>
  </si>
  <si>
    <t>51+ km (not frontline region)</t>
  </si>
  <si>
    <t>UA0502003</t>
  </si>
  <si>
    <t>Voronovytska</t>
  </si>
  <si>
    <t>UA0502005</t>
  </si>
  <si>
    <t>Hnivanska</t>
  </si>
  <si>
    <t>UA0502007</t>
  </si>
  <si>
    <t>Illinetska</t>
  </si>
  <si>
    <t>UA0502009</t>
  </si>
  <si>
    <t>Lypovetska</t>
  </si>
  <si>
    <t>UA0502011</t>
  </si>
  <si>
    <t>Litynska</t>
  </si>
  <si>
    <t>UA0502013</t>
  </si>
  <si>
    <t>Luka-Meleshkivska</t>
  </si>
  <si>
    <t>UA0502015</t>
  </si>
  <si>
    <t>Nemyrivska</t>
  </si>
  <si>
    <t>UA0502017</t>
  </si>
  <si>
    <t>Orativska</t>
  </si>
  <si>
    <t>UA0502019</t>
  </si>
  <si>
    <t>Pohrebyshchenska</t>
  </si>
  <si>
    <t>UA0502021</t>
  </si>
  <si>
    <t>Stryzhavska</t>
  </si>
  <si>
    <t>UA0502023</t>
  </si>
  <si>
    <t>Sutyskivska</t>
  </si>
  <si>
    <t>UA0502025</t>
  </si>
  <si>
    <t>Tyvrivska</t>
  </si>
  <si>
    <t>UA0502027</t>
  </si>
  <si>
    <t>Turbivska</t>
  </si>
  <si>
    <t>UA0502029</t>
  </si>
  <si>
    <t>Yakushynetska</t>
  </si>
  <si>
    <t>UA0502031</t>
  </si>
  <si>
    <t>Bershadska</t>
  </si>
  <si>
    <t>UA0504001</t>
  </si>
  <si>
    <t>Haisynskyi</t>
  </si>
  <si>
    <t>UA0504</t>
  </si>
  <si>
    <t>Haisynska</t>
  </si>
  <si>
    <t>UA0504003</t>
  </si>
  <si>
    <t>Dashivska</t>
  </si>
  <si>
    <t>UA0504005</t>
  </si>
  <si>
    <t>Dzhulynska</t>
  </si>
  <si>
    <t>UA0504007</t>
  </si>
  <si>
    <t>Krasnopilska</t>
  </si>
  <si>
    <t>UA0504009</t>
  </si>
  <si>
    <t>Kunkivska</t>
  </si>
  <si>
    <t>UA0504011</t>
  </si>
  <si>
    <t>Ladyzhynska</t>
  </si>
  <si>
    <t>UA0504013</t>
  </si>
  <si>
    <t>Obodivska</t>
  </si>
  <si>
    <t>UA0504015</t>
  </si>
  <si>
    <t>Olhopilska</t>
  </si>
  <si>
    <t>UA0504017</t>
  </si>
  <si>
    <t>Raihorodska</t>
  </si>
  <si>
    <t>UA0504019</t>
  </si>
  <si>
    <t>Sobolivska</t>
  </si>
  <si>
    <t>UA0504021</t>
  </si>
  <si>
    <t>Teplytska</t>
  </si>
  <si>
    <t>UA0504023</t>
  </si>
  <si>
    <t>Trostianetska</t>
  </si>
  <si>
    <t>UA0504025</t>
  </si>
  <si>
    <t>Chechelnytska</t>
  </si>
  <si>
    <t>UA0504027</t>
  </si>
  <si>
    <t>Barska</t>
  </si>
  <si>
    <t>UA0506001</t>
  </si>
  <si>
    <t>Zhmerynskyi</t>
  </si>
  <si>
    <t>UA0506</t>
  </si>
  <si>
    <t>Dzhurynska</t>
  </si>
  <si>
    <t>UA0506003</t>
  </si>
  <si>
    <t>Zhmerynska</t>
  </si>
  <si>
    <t>UA0506005</t>
  </si>
  <si>
    <t>Kopaihorodska</t>
  </si>
  <si>
    <t>UA0506007</t>
  </si>
  <si>
    <t>Murafska</t>
  </si>
  <si>
    <t>UA0506009</t>
  </si>
  <si>
    <t>Severynivska</t>
  </si>
  <si>
    <t>UA0506011</t>
  </si>
  <si>
    <t>Stanislavchytska</t>
  </si>
  <si>
    <t>UA0506013</t>
  </si>
  <si>
    <t>Sharhorodska</t>
  </si>
  <si>
    <t>UA0506015</t>
  </si>
  <si>
    <t>Babchynetska</t>
  </si>
  <si>
    <t>UA0508001</t>
  </si>
  <si>
    <t>Mohyliv-Podilskyi</t>
  </si>
  <si>
    <t>UA0508</t>
  </si>
  <si>
    <t>Vendychanska</t>
  </si>
  <si>
    <t>UA0508003</t>
  </si>
  <si>
    <t>Mohyliv-Podilska</t>
  </si>
  <si>
    <t>UA0508005</t>
  </si>
  <si>
    <t>Murovanokurylovetska</t>
  </si>
  <si>
    <t>UA0508007</t>
  </si>
  <si>
    <t>UA0508009</t>
  </si>
  <si>
    <t>Yampilska</t>
  </si>
  <si>
    <t>UA0508011</t>
  </si>
  <si>
    <t>Yaryshivska</t>
  </si>
  <si>
    <t>UA0508013</t>
  </si>
  <si>
    <t>Bratslavska</t>
  </si>
  <si>
    <t>UA0510001</t>
  </si>
  <si>
    <t>Tulchynskyi</t>
  </si>
  <si>
    <t>UA0510</t>
  </si>
  <si>
    <t>Vapniarska</t>
  </si>
  <si>
    <t>UA0510003</t>
  </si>
  <si>
    <t>Horodkivska</t>
  </si>
  <si>
    <t>UA0510005</t>
  </si>
  <si>
    <t>Kryzhopilska</t>
  </si>
  <si>
    <t>UA0510007</t>
  </si>
  <si>
    <t>Pishchanska</t>
  </si>
  <si>
    <t>UA0510009</t>
  </si>
  <si>
    <t>Studenianska</t>
  </si>
  <si>
    <t>UA0510011</t>
  </si>
  <si>
    <t>Tomashpilska</t>
  </si>
  <si>
    <t>UA0510013</t>
  </si>
  <si>
    <t>Tulchynska</t>
  </si>
  <si>
    <t>UA0510015</t>
  </si>
  <si>
    <t>Shpykivska</t>
  </si>
  <si>
    <t>UA0510017</t>
  </si>
  <si>
    <t>Hlukhovetska</t>
  </si>
  <si>
    <t>UA0512001</t>
  </si>
  <si>
    <t>Khmilnytskyi</t>
  </si>
  <si>
    <t>UA0512</t>
  </si>
  <si>
    <t>Zhdanivska</t>
  </si>
  <si>
    <t>UA0512003</t>
  </si>
  <si>
    <t>Ivanivska</t>
  </si>
  <si>
    <t>UA0512005</t>
  </si>
  <si>
    <t>Kalynivska</t>
  </si>
  <si>
    <t>UA0512007</t>
  </si>
  <si>
    <t>Koziatynska</t>
  </si>
  <si>
    <t>UA0512009</t>
  </si>
  <si>
    <t>Makhnivska</t>
  </si>
  <si>
    <t>UA0512011</t>
  </si>
  <si>
    <t>Samhorodotska</t>
  </si>
  <si>
    <t>UA0512013</t>
  </si>
  <si>
    <t>Ulanivska</t>
  </si>
  <si>
    <t>UA0512015</t>
  </si>
  <si>
    <t>Khmilnytska</t>
  </si>
  <si>
    <t>UA0512017</t>
  </si>
  <si>
    <t>Volodymyr-Volynska</t>
  </si>
  <si>
    <t>UA0702001</t>
  </si>
  <si>
    <t>Volodymyrskyi</t>
  </si>
  <si>
    <t>UA0702</t>
  </si>
  <si>
    <t>Zaturtsivska</t>
  </si>
  <si>
    <t>UA0702003</t>
  </si>
  <si>
    <t>Zymnivska</t>
  </si>
  <si>
    <t>UA0702005</t>
  </si>
  <si>
    <t>Ivanychivska</t>
  </si>
  <si>
    <t>UA0702007</t>
  </si>
  <si>
    <t>Lytovezka</t>
  </si>
  <si>
    <t>UA0702009</t>
  </si>
  <si>
    <t>Lokachynska</t>
  </si>
  <si>
    <t>UA0702011</t>
  </si>
  <si>
    <t>Novovolynska</t>
  </si>
  <si>
    <t>UA0702013</t>
  </si>
  <si>
    <t>Ovadnivska</t>
  </si>
  <si>
    <t>UA0702015</t>
  </si>
  <si>
    <t>Pavlivska</t>
  </si>
  <si>
    <t>UA0702017</t>
  </si>
  <si>
    <t>Poromivska</t>
  </si>
  <si>
    <t>UA0702019</t>
  </si>
  <si>
    <t>Ustyluzka</t>
  </si>
  <si>
    <t>UA0702021</t>
  </si>
  <si>
    <t>Kamin-Kashyrska</t>
  </si>
  <si>
    <t>UA0704001</t>
  </si>
  <si>
    <t>Kamin-Kashyrskyi</t>
  </si>
  <si>
    <t>UA0704</t>
  </si>
  <si>
    <t>Liubeshivska</t>
  </si>
  <si>
    <t>UA0704003</t>
  </si>
  <si>
    <t>Manevytska</t>
  </si>
  <si>
    <t>UA0704005</t>
  </si>
  <si>
    <t>Prylisnenska</t>
  </si>
  <si>
    <t>UA0704007</t>
  </si>
  <si>
    <t>Soshychnenska</t>
  </si>
  <si>
    <t>UA0704009</t>
  </si>
  <si>
    <t>Velymchenska</t>
  </si>
  <si>
    <t>UA0706001</t>
  </si>
  <si>
    <t>Kovelskyi</t>
  </si>
  <si>
    <t>UA0706</t>
  </si>
  <si>
    <t>Velytska</t>
  </si>
  <si>
    <t>UA0706003</t>
  </si>
  <si>
    <t>Vyshnivska</t>
  </si>
  <si>
    <t>UA0706005</t>
  </si>
  <si>
    <t>Holobska</t>
  </si>
  <si>
    <t>UA0706007</t>
  </si>
  <si>
    <t>Holovnenska</t>
  </si>
  <si>
    <t>UA0706009</t>
  </si>
  <si>
    <t>Dubechnenska</t>
  </si>
  <si>
    <t>UA0706011</t>
  </si>
  <si>
    <t>Dubivska</t>
  </si>
  <si>
    <t>UA0706013</t>
  </si>
  <si>
    <t>Zabolottivska</t>
  </si>
  <si>
    <t>UA0706015</t>
  </si>
  <si>
    <t>Zabrodivska</t>
  </si>
  <si>
    <t>UA0706017</t>
  </si>
  <si>
    <t>Kovelska</t>
  </si>
  <si>
    <t>UA0706019</t>
  </si>
  <si>
    <t>Kolodiazhnenska</t>
  </si>
  <si>
    <t>UA0706021</t>
  </si>
  <si>
    <t>Lukivska</t>
  </si>
  <si>
    <t>UA0706023</t>
  </si>
  <si>
    <t>Liublynetska</t>
  </si>
  <si>
    <t>UA0706025</t>
  </si>
  <si>
    <t>Liubomlska</t>
  </si>
  <si>
    <t>UA0706027</t>
  </si>
  <si>
    <t>Povorska</t>
  </si>
  <si>
    <t>UA0706029</t>
  </si>
  <si>
    <t>Ratnivska</t>
  </si>
  <si>
    <t>UA0706031</t>
  </si>
  <si>
    <t>UA0706033</t>
  </si>
  <si>
    <t>Samarivska</t>
  </si>
  <si>
    <t>UA0706035</t>
  </si>
  <si>
    <t>Serekhovychivska</t>
  </si>
  <si>
    <t>UA0706037</t>
  </si>
  <si>
    <t>Smidynska</t>
  </si>
  <si>
    <t>UA0706039</t>
  </si>
  <si>
    <t>Starovyzhivska</t>
  </si>
  <si>
    <t>UA0706041</t>
  </si>
  <si>
    <t>Turiiska</t>
  </si>
  <si>
    <t>UA0706043</t>
  </si>
  <si>
    <t>Shatska</t>
  </si>
  <si>
    <t>UA0706045</t>
  </si>
  <si>
    <t>Berestechkivska</t>
  </si>
  <si>
    <t>UA0708001</t>
  </si>
  <si>
    <t>Lutskyi</t>
  </si>
  <si>
    <t>UA0708</t>
  </si>
  <si>
    <t>Boratynska</t>
  </si>
  <si>
    <t>UA0708003</t>
  </si>
  <si>
    <t>Horodyshchenska</t>
  </si>
  <si>
    <t>UA0708005</t>
  </si>
  <si>
    <t>Horokhivska</t>
  </si>
  <si>
    <t>UA0708007</t>
  </si>
  <si>
    <t>Dorosynivska</t>
  </si>
  <si>
    <t>UA0708009</t>
  </si>
  <si>
    <t>Kivertsivska</t>
  </si>
  <si>
    <t>UA0708011</t>
  </si>
  <si>
    <t>Kolkivska</t>
  </si>
  <si>
    <t>UA0708013</t>
  </si>
  <si>
    <t>Kopachivska</t>
  </si>
  <si>
    <t>UA0708015</t>
  </si>
  <si>
    <t>Lutska</t>
  </si>
  <si>
    <t>UA0708017</t>
  </si>
  <si>
    <t>Marianivska</t>
  </si>
  <si>
    <t>UA0708019</t>
  </si>
  <si>
    <t>Olytska</t>
  </si>
  <si>
    <t>UA0708021</t>
  </si>
  <si>
    <t>Pidhaitsivska</t>
  </si>
  <si>
    <t>UA0708023</t>
  </si>
  <si>
    <t>Rozhyshchenska</t>
  </si>
  <si>
    <t>UA0708025</t>
  </si>
  <si>
    <t>Torchynska</t>
  </si>
  <si>
    <t>UA0708027</t>
  </si>
  <si>
    <t>Tsumanska</t>
  </si>
  <si>
    <t>UA0708029</t>
  </si>
  <si>
    <t>Dniprovska</t>
  </si>
  <si>
    <t>UA1202001</t>
  </si>
  <si>
    <t>Dniprovskyi</t>
  </si>
  <si>
    <t>UA1202</t>
  </si>
  <si>
    <t>51+ km (frontline region)</t>
  </si>
  <si>
    <t>Kytaihorodska</t>
  </si>
  <si>
    <t>UA1202003</t>
  </si>
  <si>
    <t>Liubymivska</t>
  </si>
  <si>
    <t>UA1202005</t>
  </si>
  <si>
    <t>Liashkivska</t>
  </si>
  <si>
    <t>UA1202007</t>
  </si>
  <si>
    <t>UA1202009</t>
  </si>
  <si>
    <t>Mohylivska</t>
  </si>
  <si>
    <t>UA1202011</t>
  </si>
  <si>
    <t>Novooleksandrivska</t>
  </si>
  <si>
    <t>UA1202013</t>
  </si>
  <si>
    <t>Novopokrovska</t>
  </si>
  <si>
    <t>UA1202015</t>
  </si>
  <si>
    <t>Obukhivska</t>
  </si>
  <si>
    <t>UA1202017</t>
  </si>
  <si>
    <t>Petrykivska</t>
  </si>
  <si>
    <t>UA1202019</t>
  </si>
  <si>
    <t>Pidhorodnenska</t>
  </si>
  <si>
    <t>UA1202021</t>
  </si>
  <si>
    <t>Sviatovasylivska</t>
  </si>
  <si>
    <t>UA1202023</t>
  </si>
  <si>
    <t>Slobozhanska</t>
  </si>
  <si>
    <t>UA1202025</t>
  </si>
  <si>
    <t>Solonianska</t>
  </si>
  <si>
    <t>UA1202027</t>
  </si>
  <si>
    <t>Sursko-Lytovska</t>
  </si>
  <si>
    <t>UA1202029</t>
  </si>
  <si>
    <t>Tsarychanska</t>
  </si>
  <si>
    <t>UA1202031</t>
  </si>
  <si>
    <t>Chumakivska</t>
  </si>
  <si>
    <t>UA1202033</t>
  </si>
  <si>
    <t>Bozhedarivska</t>
  </si>
  <si>
    <t>UA1204001</t>
  </si>
  <si>
    <t>Kamianskyi</t>
  </si>
  <si>
    <t>UA1204</t>
  </si>
  <si>
    <t>Verkhivtsivska</t>
  </si>
  <si>
    <t>UA1204003</t>
  </si>
  <si>
    <t>Verkhnodniprovska</t>
  </si>
  <si>
    <t>UA1204005</t>
  </si>
  <si>
    <t>UA1204007</t>
  </si>
  <si>
    <t>Vilnohirska</t>
  </si>
  <si>
    <t>UA1204009</t>
  </si>
  <si>
    <t>Zhovtovodska</t>
  </si>
  <si>
    <t>UA1204011</t>
  </si>
  <si>
    <t>Zatyshnianska</t>
  </si>
  <si>
    <t>UA1204013</t>
  </si>
  <si>
    <t>Kamianska</t>
  </si>
  <si>
    <t>UA1204015</t>
  </si>
  <si>
    <t>Krynychanska</t>
  </si>
  <si>
    <t>UA1204017</t>
  </si>
  <si>
    <t>Lykhivska</t>
  </si>
  <si>
    <t>UA1204019</t>
  </si>
  <si>
    <t>Piatykhatska</t>
  </si>
  <si>
    <t>UA1204021</t>
  </si>
  <si>
    <t>Saksahanska</t>
  </si>
  <si>
    <t>UA1204023</t>
  </si>
  <si>
    <t>Apostolivska</t>
  </si>
  <si>
    <t>UA1206001</t>
  </si>
  <si>
    <t>Kryvorizkyi</t>
  </si>
  <si>
    <t>UA1206</t>
  </si>
  <si>
    <t>Vakulivska</t>
  </si>
  <si>
    <t>UA1206003</t>
  </si>
  <si>
    <t>Hleiuvatska</t>
  </si>
  <si>
    <t>UA1206005</t>
  </si>
  <si>
    <t>Hrechanopodivska</t>
  </si>
  <si>
    <t>UA1206007</t>
  </si>
  <si>
    <t>Hrushivska</t>
  </si>
  <si>
    <t>UA1206009</t>
  </si>
  <si>
    <t>Devladivska</t>
  </si>
  <si>
    <t>UA1206011</t>
  </si>
  <si>
    <t>Zelenodolska</t>
  </si>
  <si>
    <t>UA1206013</t>
  </si>
  <si>
    <t>Karpivska</t>
  </si>
  <si>
    <t>UA1206015</t>
  </si>
  <si>
    <t>Kryvorizka</t>
  </si>
  <si>
    <t>UA1206017</t>
  </si>
  <si>
    <t>Lozuvatska</t>
  </si>
  <si>
    <t>UA1206019</t>
  </si>
  <si>
    <t>Nyvotrudivska</t>
  </si>
  <si>
    <t>UA1206021</t>
  </si>
  <si>
    <t>Novolativska</t>
  </si>
  <si>
    <t>UA1206023</t>
  </si>
  <si>
    <t>Novopilska</t>
  </si>
  <si>
    <t>UA1206025</t>
  </si>
  <si>
    <t>Sofiivska</t>
  </si>
  <si>
    <t>UA1206027</t>
  </si>
  <si>
    <t>Shyrokivska</t>
  </si>
  <si>
    <t>UA1206029</t>
  </si>
  <si>
    <t>Marhanetska</t>
  </si>
  <si>
    <t>UA1208001</t>
  </si>
  <si>
    <t>Nikopolskyi</t>
  </si>
  <si>
    <t>UA1208</t>
  </si>
  <si>
    <t>Myrivska</t>
  </si>
  <si>
    <t>UA1208003</t>
  </si>
  <si>
    <t>Nikopolska</t>
  </si>
  <si>
    <t>UA1208005</t>
  </si>
  <si>
    <t>Mozolevska</t>
  </si>
  <si>
    <t>UA1208007</t>
  </si>
  <si>
    <t>Pokrovska</t>
  </si>
  <si>
    <t>UA1208009</t>
  </si>
  <si>
    <t>UA1208011</t>
  </si>
  <si>
    <t>Tomakivska</t>
  </si>
  <si>
    <t>UA1208013</t>
  </si>
  <si>
    <t>Chervonohryhorivska</t>
  </si>
  <si>
    <t>UA1208015</t>
  </si>
  <si>
    <t>Hubynyska</t>
  </si>
  <si>
    <t>UA1210001</t>
  </si>
  <si>
    <t>Samarivskyi</t>
  </si>
  <si>
    <t>UA1210</t>
  </si>
  <si>
    <t>Lychkivska</t>
  </si>
  <si>
    <t>UA1210003</t>
  </si>
  <si>
    <t>Mahdalynivska</t>
  </si>
  <si>
    <t>UA1210005</t>
  </si>
  <si>
    <t>UA1210007</t>
  </si>
  <si>
    <t>Pereshchepynska</t>
  </si>
  <si>
    <t>UA1210009</t>
  </si>
  <si>
    <t>UA1210011</t>
  </si>
  <si>
    <t>UA1210013</t>
  </si>
  <si>
    <t>Chernechchynska</t>
  </si>
  <si>
    <t>UA1210015</t>
  </si>
  <si>
    <t>Bohdanivska</t>
  </si>
  <si>
    <t>UA1212001</t>
  </si>
  <si>
    <t>Pavlohradskyi</t>
  </si>
  <si>
    <t>UA1212</t>
  </si>
  <si>
    <t>Verbkivska</t>
  </si>
  <si>
    <t>UA1212003</t>
  </si>
  <si>
    <t>Mezhyritska</t>
  </si>
  <si>
    <t>UA1212005</t>
  </si>
  <si>
    <t>Pavlohradska</t>
  </si>
  <si>
    <t>UA1212007</t>
  </si>
  <si>
    <t>Ternivska</t>
  </si>
  <si>
    <t>UA1212009</t>
  </si>
  <si>
    <t>Troitska</t>
  </si>
  <si>
    <t>UA1212011</t>
  </si>
  <si>
    <t>Yuriivska</t>
  </si>
  <si>
    <t>UA1212013</t>
  </si>
  <si>
    <t>Brahynivska</t>
  </si>
  <si>
    <t>UA1214001</t>
  </si>
  <si>
    <t>Synelnykivskyi</t>
  </si>
  <si>
    <t>UA1214</t>
  </si>
  <si>
    <t>Vasylkivska</t>
  </si>
  <si>
    <t>UA1214003</t>
  </si>
  <si>
    <t>Velykomykhailivska</t>
  </si>
  <si>
    <t>UA1214005</t>
  </si>
  <si>
    <t>Dubovykivska</t>
  </si>
  <si>
    <t>UA1214007</t>
  </si>
  <si>
    <t>Zaitsivska</t>
  </si>
  <si>
    <t>UA1214009</t>
  </si>
  <si>
    <t>Yavornytska</t>
  </si>
  <si>
    <t>UA1214011</t>
  </si>
  <si>
    <t>Malomykhailivska</t>
  </si>
  <si>
    <t>UA1214013</t>
  </si>
  <si>
    <t>Mezhivska</t>
  </si>
  <si>
    <t>UA1214015</t>
  </si>
  <si>
    <t>UA1214017</t>
  </si>
  <si>
    <t>Novopavlivska</t>
  </si>
  <si>
    <t>UA1214019</t>
  </si>
  <si>
    <t>Shakhtarska</t>
  </si>
  <si>
    <t>UA1214021</t>
  </si>
  <si>
    <t>Petropavlivska</t>
  </si>
  <si>
    <t>UA1214023</t>
  </si>
  <si>
    <t>UA1214025</t>
  </si>
  <si>
    <t>Raivska</t>
  </si>
  <si>
    <t>UA1214027</t>
  </si>
  <si>
    <t>Rozdorska</t>
  </si>
  <si>
    <t>UA1214029</t>
  </si>
  <si>
    <t>Synelnykivska</t>
  </si>
  <si>
    <t>UA1214031</t>
  </si>
  <si>
    <t>Slavhorodska</t>
  </si>
  <si>
    <t>UA1214033</t>
  </si>
  <si>
    <t>Slovianska</t>
  </si>
  <si>
    <t>UA1214035</t>
  </si>
  <si>
    <t>Ukrainska</t>
  </si>
  <si>
    <t>UA1214037</t>
  </si>
  <si>
    <t>Bakhmutska</t>
  </si>
  <si>
    <t>UA1402001</t>
  </si>
  <si>
    <t>Bakhmutskyi</t>
  </si>
  <si>
    <t>UA1402</t>
  </si>
  <si>
    <t>Zvanivska</t>
  </si>
  <si>
    <t>UA1402003</t>
  </si>
  <si>
    <t>Svitlodarska</t>
  </si>
  <si>
    <t>UA1402005</t>
  </si>
  <si>
    <t>Siverska</t>
  </si>
  <si>
    <t>UA1402007</t>
  </si>
  <si>
    <t>Soledarska</t>
  </si>
  <si>
    <t>UA1402009</t>
  </si>
  <si>
    <t>Toretska</t>
  </si>
  <si>
    <t>UA1402011</t>
  </si>
  <si>
    <t>Chasovoiarska</t>
  </si>
  <si>
    <t>UA1402013</t>
  </si>
  <si>
    <t>Velykonovosilkivska</t>
  </si>
  <si>
    <t>UA1404001</t>
  </si>
  <si>
    <t>Volnovaskyi</t>
  </si>
  <si>
    <t>UA1404</t>
  </si>
  <si>
    <t>Volnovaska</t>
  </si>
  <si>
    <t>UA1404003</t>
  </si>
  <si>
    <t>Vuhledarska</t>
  </si>
  <si>
    <t>UA1404005</t>
  </si>
  <si>
    <t>Komarska</t>
  </si>
  <si>
    <t>UA1404007</t>
  </si>
  <si>
    <t>Myrnenska</t>
  </si>
  <si>
    <t>UA1404009</t>
  </si>
  <si>
    <t>Olhynska</t>
  </si>
  <si>
    <t>UA1404011</t>
  </si>
  <si>
    <t>Staromlynivska</t>
  </si>
  <si>
    <t>UA1404013</t>
  </si>
  <si>
    <t>Khlibodarivska</t>
  </si>
  <si>
    <t>UA1404015</t>
  </si>
  <si>
    <t>Vuhlehirska</t>
  </si>
  <si>
    <t>UA1406001</t>
  </si>
  <si>
    <t>Horlivskyi</t>
  </si>
  <si>
    <t>UA1406</t>
  </si>
  <si>
    <t>Horlivska</t>
  </si>
  <si>
    <t>UA1406003</t>
  </si>
  <si>
    <t>Debaltsivska</t>
  </si>
  <si>
    <t>UA1406005</t>
  </si>
  <si>
    <t>Yenakiievska</t>
  </si>
  <si>
    <t>UA1406007</t>
  </si>
  <si>
    <t>UA1406009</t>
  </si>
  <si>
    <t>Snizhnianska</t>
  </si>
  <si>
    <t>UA1406011</t>
  </si>
  <si>
    <t>Khrestivska</t>
  </si>
  <si>
    <t>UA1406013</t>
  </si>
  <si>
    <t>Chystiakivska</t>
  </si>
  <si>
    <t>UA1406015</t>
  </si>
  <si>
    <t>UA1406017</t>
  </si>
  <si>
    <t>Amvrosiivska</t>
  </si>
  <si>
    <t>UA1408001</t>
  </si>
  <si>
    <t>Donetskyi</t>
  </si>
  <si>
    <t>UA1408</t>
  </si>
  <si>
    <t>UA1408003</t>
  </si>
  <si>
    <t>Ilovaiska</t>
  </si>
  <si>
    <t>UA1408005</t>
  </si>
  <si>
    <t>Makiivska</t>
  </si>
  <si>
    <t>UA1408007</t>
  </si>
  <si>
    <t>Khartsyzka</t>
  </si>
  <si>
    <t>UA1408009</t>
  </si>
  <si>
    <t>Yasynuvatska</t>
  </si>
  <si>
    <t>UA1408011</t>
  </si>
  <si>
    <t>Boikivska</t>
  </si>
  <si>
    <t>UA1410001</t>
  </si>
  <si>
    <t>Kalmiuskyi</t>
  </si>
  <si>
    <t>UA1410</t>
  </si>
  <si>
    <t>Dokuchaievska</t>
  </si>
  <si>
    <t>UA1410003</t>
  </si>
  <si>
    <t>Kalmiuska</t>
  </si>
  <si>
    <t>UA1410005</t>
  </si>
  <si>
    <t>Novoazovska</t>
  </si>
  <si>
    <t>UA1410007</t>
  </si>
  <si>
    <t>Starobeshivska</t>
  </si>
  <si>
    <t>UA1410009</t>
  </si>
  <si>
    <t>Andriivska</t>
  </si>
  <si>
    <t>UA1412001</t>
  </si>
  <si>
    <t>Kramatorskyi</t>
  </si>
  <si>
    <t>UA1412</t>
  </si>
  <si>
    <t>Druzhkivska</t>
  </si>
  <si>
    <t>UA1412003</t>
  </si>
  <si>
    <t>Illinivska</t>
  </si>
  <si>
    <t>UA1412005</t>
  </si>
  <si>
    <t>Kostiantynivska</t>
  </si>
  <si>
    <t>UA1412007</t>
  </si>
  <si>
    <t>Kramatorska</t>
  </si>
  <si>
    <t>UA1412009</t>
  </si>
  <si>
    <t>Lymanska</t>
  </si>
  <si>
    <t>UA1412011</t>
  </si>
  <si>
    <t>UA1412013</t>
  </si>
  <si>
    <t>Novodonetska</t>
  </si>
  <si>
    <t>UA1412015</t>
  </si>
  <si>
    <t>Oleksandrivska</t>
  </si>
  <si>
    <t>UA1412017</t>
  </si>
  <si>
    <t>Sviatohirska</t>
  </si>
  <si>
    <t>UA1412019</t>
  </si>
  <si>
    <t>UA1412021</t>
  </si>
  <si>
    <t>UA1412023</t>
  </si>
  <si>
    <t>Kalchytska</t>
  </si>
  <si>
    <t>UA1414001</t>
  </si>
  <si>
    <t>Mariupolskyi</t>
  </si>
  <si>
    <t>UA1414</t>
  </si>
  <si>
    <t>Manhushska</t>
  </si>
  <si>
    <t>UA1414003</t>
  </si>
  <si>
    <t>Mariupolska</t>
  </si>
  <si>
    <t>UA1414005</t>
  </si>
  <si>
    <t>Mykilska</t>
  </si>
  <si>
    <t>UA1414007</t>
  </si>
  <si>
    <t>Sartanska</t>
  </si>
  <si>
    <t>UA1414009</t>
  </si>
  <si>
    <t>Avdiivska</t>
  </si>
  <si>
    <t>UA1416001</t>
  </si>
  <si>
    <t>Pokrovskyi</t>
  </si>
  <si>
    <t>UA1416</t>
  </si>
  <si>
    <t>Bilozerska</t>
  </si>
  <si>
    <t>UA1416003</t>
  </si>
  <si>
    <t>Hrodivska</t>
  </si>
  <si>
    <t>UA1416005</t>
  </si>
  <si>
    <t>Dobropilska</t>
  </si>
  <si>
    <t>UA1416007</t>
  </si>
  <si>
    <t>UA1416009</t>
  </si>
  <si>
    <t>Kurakhivska</t>
  </si>
  <si>
    <t>UA1416011</t>
  </si>
  <si>
    <t>Marinska</t>
  </si>
  <si>
    <t>UA1416013</t>
  </si>
  <si>
    <t>Myrnohradska</t>
  </si>
  <si>
    <t>UA1416015</t>
  </si>
  <si>
    <t>Novohrodivska</t>
  </si>
  <si>
    <t>UA1416017</t>
  </si>
  <si>
    <t>Ocheretynska</t>
  </si>
  <si>
    <t>UA1416019</t>
  </si>
  <si>
    <t>UA1416021</t>
  </si>
  <si>
    <t>Selydivska</t>
  </si>
  <si>
    <t>UA1416023</t>
  </si>
  <si>
    <t>Udachnenska</t>
  </si>
  <si>
    <t>UA1416025</t>
  </si>
  <si>
    <t>Shakhivska</t>
  </si>
  <si>
    <t>UA1416027</t>
  </si>
  <si>
    <t>Andrushivska</t>
  </si>
  <si>
    <t>UA1802001</t>
  </si>
  <si>
    <t>Berdychivskyi</t>
  </si>
  <si>
    <t>UA1802</t>
  </si>
  <si>
    <t>Berdychivska</t>
  </si>
  <si>
    <t>UA1802003</t>
  </si>
  <si>
    <t>Vchoraishenska</t>
  </si>
  <si>
    <t>UA1802005</t>
  </si>
  <si>
    <t>Hryshkovetska</t>
  </si>
  <si>
    <t>UA1802007</t>
  </si>
  <si>
    <t>UA1802009</t>
  </si>
  <si>
    <t>Raihorodotska</t>
  </si>
  <si>
    <t>UA1802011</t>
  </si>
  <si>
    <t>Ruzhynska</t>
  </si>
  <si>
    <t>UA1802013</t>
  </si>
  <si>
    <t>Semenivska</t>
  </si>
  <si>
    <t>UA1802015</t>
  </si>
  <si>
    <t>Chervonenska</t>
  </si>
  <si>
    <t>UA1802017</t>
  </si>
  <si>
    <t>Shvaikivska</t>
  </si>
  <si>
    <t>UA1802019</t>
  </si>
  <si>
    <t>Andrushkivska</t>
  </si>
  <si>
    <t>UA1804001</t>
  </si>
  <si>
    <t>Zhytomyrskyi</t>
  </si>
  <si>
    <t>UA1804</t>
  </si>
  <si>
    <t>Berezivska</t>
  </si>
  <si>
    <t>UA1804003</t>
  </si>
  <si>
    <t>Brusylivska</t>
  </si>
  <si>
    <t>UA1804005</t>
  </si>
  <si>
    <t>Vysokivska</t>
  </si>
  <si>
    <t>UA1804007</t>
  </si>
  <si>
    <t>Vyshevytska</t>
  </si>
  <si>
    <t>UA1804009</t>
  </si>
  <si>
    <t>Vilshanska</t>
  </si>
  <si>
    <t>UA1804011</t>
  </si>
  <si>
    <t>Volytska</t>
  </si>
  <si>
    <t>UA1804013</t>
  </si>
  <si>
    <t>Hlybochytska</t>
  </si>
  <si>
    <t>UA1804015</t>
  </si>
  <si>
    <t>Horodotska</t>
  </si>
  <si>
    <t>UA1804017</t>
  </si>
  <si>
    <t>UA1804019</t>
  </si>
  <si>
    <t>Kvitneva</t>
  </si>
  <si>
    <t>UA1804021</t>
  </si>
  <si>
    <t>Kornynska</t>
  </si>
  <si>
    <t>UA1804023</t>
  </si>
  <si>
    <t>Korostyshivska</t>
  </si>
  <si>
    <t>UA1804025</t>
  </si>
  <si>
    <t>Kurnenska</t>
  </si>
  <si>
    <t>UA1804027</t>
  </si>
  <si>
    <t>Liubarska</t>
  </si>
  <si>
    <t>UA1804029</t>
  </si>
  <si>
    <t>Myropilska</t>
  </si>
  <si>
    <t>UA1804031</t>
  </si>
  <si>
    <t>Novoborivska</t>
  </si>
  <si>
    <t>UA1804033</t>
  </si>
  <si>
    <t>Novohuivynska</t>
  </si>
  <si>
    <t>UA1804035</t>
  </si>
  <si>
    <t>Oliivska</t>
  </si>
  <si>
    <t>UA1804037</t>
  </si>
  <si>
    <t>Popilnianska</t>
  </si>
  <si>
    <t>UA1804039</t>
  </si>
  <si>
    <t>Potiivska</t>
  </si>
  <si>
    <t>UA1804041</t>
  </si>
  <si>
    <t>Pulynska</t>
  </si>
  <si>
    <t>UA1804043</t>
  </si>
  <si>
    <t>Radomyshlska</t>
  </si>
  <si>
    <t>UA1804045</t>
  </si>
  <si>
    <t>Romanivska</t>
  </si>
  <si>
    <t>UA1804047</t>
  </si>
  <si>
    <t>Stanyshivska</t>
  </si>
  <si>
    <t>UA1804049</t>
  </si>
  <si>
    <t>Starosiletska</t>
  </si>
  <si>
    <t>UA1804051</t>
  </si>
  <si>
    <t>Teterivska</t>
  </si>
  <si>
    <t>UA1804053</t>
  </si>
  <si>
    <t>Kharytonivska</t>
  </si>
  <si>
    <t>UA1804055</t>
  </si>
  <si>
    <t>Khoroshivska</t>
  </si>
  <si>
    <t>UA1804057</t>
  </si>
  <si>
    <t>Cherniakhivska</t>
  </si>
  <si>
    <t>UA1804059</t>
  </si>
  <si>
    <t>Chudnivska</t>
  </si>
  <si>
    <t>UA1804061</t>
  </si>
  <si>
    <t>Bilokorovytska</t>
  </si>
  <si>
    <t>UA1806001</t>
  </si>
  <si>
    <t>Korostenskyi</t>
  </si>
  <si>
    <t>UA1806</t>
  </si>
  <si>
    <t>Hladkovytska</t>
  </si>
  <si>
    <t>UA1806003</t>
  </si>
  <si>
    <t>Horshchykivska</t>
  </si>
  <si>
    <t>UA1806005</t>
  </si>
  <si>
    <t>Irshanska</t>
  </si>
  <si>
    <t>UA1806007</t>
  </si>
  <si>
    <t>Korostenska</t>
  </si>
  <si>
    <t>UA1806009</t>
  </si>
  <si>
    <t>Luhynska</t>
  </si>
  <si>
    <t>UA1806011</t>
  </si>
  <si>
    <t>Malynska</t>
  </si>
  <si>
    <t>UA1806013</t>
  </si>
  <si>
    <t>Narodytska</t>
  </si>
  <si>
    <t>UA1806015</t>
  </si>
  <si>
    <t>Ovrutska</t>
  </si>
  <si>
    <t>UA1806017</t>
  </si>
  <si>
    <t>Olevska</t>
  </si>
  <si>
    <t>UA1806019</t>
  </si>
  <si>
    <t>Slovechanska</t>
  </si>
  <si>
    <t>UA1806021</t>
  </si>
  <si>
    <t>Ushomyrska</t>
  </si>
  <si>
    <t>UA1806023</t>
  </si>
  <si>
    <t>Chopovytska</t>
  </si>
  <si>
    <t>UA1806025</t>
  </si>
  <si>
    <t>Baranivska</t>
  </si>
  <si>
    <t>UA1808001</t>
  </si>
  <si>
    <t>Zviahelskyi</t>
  </si>
  <si>
    <t>UA1808</t>
  </si>
  <si>
    <t>Barashivska</t>
  </si>
  <si>
    <t>UA1808003</t>
  </si>
  <si>
    <t>Bronykivska</t>
  </si>
  <si>
    <t>UA1808005</t>
  </si>
  <si>
    <t>Horodnytska</t>
  </si>
  <si>
    <t>UA1808007</t>
  </si>
  <si>
    <t>Dovbyska</t>
  </si>
  <si>
    <t>UA1808009</t>
  </si>
  <si>
    <t>Dubrivska</t>
  </si>
  <si>
    <t>UA1808011</t>
  </si>
  <si>
    <t>Yemilchynska</t>
  </si>
  <si>
    <t>UA1808013</t>
  </si>
  <si>
    <t>Zviahelska</t>
  </si>
  <si>
    <t>UA1808015</t>
  </si>
  <si>
    <t>Pishchivska</t>
  </si>
  <si>
    <t>UA1808017</t>
  </si>
  <si>
    <t>Stryivska</t>
  </si>
  <si>
    <t>UA1808019</t>
  </si>
  <si>
    <t>Chyzhivska</t>
  </si>
  <si>
    <t>UA1808021</t>
  </si>
  <si>
    <t>Yarunska</t>
  </si>
  <si>
    <t>UA1808023</t>
  </si>
  <si>
    <t>Bativska</t>
  </si>
  <si>
    <t>UA2102001</t>
  </si>
  <si>
    <t>Berehivskyi</t>
  </si>
  <si>
    <t>UA2102</t>
  </si>
  <si>
    <t>Berehivska</t>
  </si>
  <si>
    <t>UA2102003</t>
  </si>
  <si>
    <t>Velykoberezka</t>
  </si>
  <si>
    <t>UA2102005</t>
  </si>
  <si>
    <t>Velykobyihanska</t>
  </si>
  <si>
    <t>UA2102007</t>
  </si>
  <si>
    <t>Vylotska</t>
  </si>
  <si>
    <t>UA2102009</t>
  </si>
  <si>
    <t>Vynohradivska</t>
  </si>
  <si>
    <t>UA2102011</t>
  </si>
  <si>
    <t>UA2102013</t>
  </si>
  <si>
    <t>Korolivska</t>
  </si>
  <si>
    <t>UA2102015</t>
  </si>
  <si>
    <t>Kosonska</t>
  </si>
  <si>
    <t>UA2102017</t>
  </si>
  <si>
    <t>Pyiterfolvivska</t>
  </si>
  <si>
    <t>UA2102019</t>
  </si>
  <si>
    <t>Velykoluchkivska</t>
  </si>
  <si>
    <t>UA2104001</t>
  </si>
  <si>
    <t>Mukachivskyi</t>
  </si>
  <si>
    <t>UA2104</t>
  </si>
  <si>
    <t>Verkhnokoropetska</t>
  </si>
  <si>
    <t>UA2104003</t>
  </si>
  <si>
    <t>Volovetska</t>
  </si>
  <si>
    <t>UA2104005</t>
  </si>
  <si>
    <t>Horondivska</t>
  </si>
  <si>
    <t>UA2104007</t>
  </si>
  <si>
    <t>Zhdeniivska</t>
  </si>
  <si>
    <t>UA2104009</t>
  </si>
  <si>
    <t>Ivanovetska</t>
  </si>
  <si>
    <t>UA2104011</t>
  </si>
  <si>
    <t>Kolchynska</t>
  </si>
  <si>
    <t>UA2104013</t>
  </si>
  <si>
    <t>Mukachivska</t>
  </si>
  <si>
    <t>UA2104015</t>
  </si>
  <si>
    <t>Nelipynska</t>
  </si>
  <si>
    <t>UA2104017</t>
  </si>
  <si>
    <t>Nyzhnovoritska</t>
  </si>
  <si>
    <t>UA2104019</t>
  </si>
  <si>
    <t>Polianska</t>
  </si>
  <si>
    <t>UA2104021</t>
  </si>
  <si>
    <t>Svaliavska</t>
  </si>
  <si>
    <t>UA2104023</t>
  </si>
  <si>
    <t>Chynadiivska</t>
  </si>
  <si>
    <t>UA2104025</t>
  </si>
  <si>
    <t>Bohdanska</t>
  </si>
  <si>
    <t>UA2106001</t>
  </si>
  <si>
    <t>Rakhivskyi</t>
  </si>
  <si>
    <t>UA2106</t>
  </si>
  <si>
    <t>Velykobychkivska</t>
  </si>
  <si>
    <t>UA2106003</t>
  </si>
  <si>
    <t>Rakhivska</t>
  </si>
  <si>
    <t>UA2106005</t>
  </si>
  <si>
    <t>Yasinianska</t>
  </si>
  <si>
    <t>UA2106007</t>
  </si>
  <si>
    <t>Bedevlianska</t>
  </si>
  <si>
    <t>UA2108001</t>
  </si>
  <si>
    <t>Tiachivskyi</t>
  </si>
  <si>
    <t>UA2108</t>
  </si>
  <si>
    <t>Bushtynska</t>
  </si>
  <si>
    <t>UA2108003</t>
  </si>
  <si>
    <t>Vilkhovetska</t>
  </si>
  <si>
    <t>UA2108005</t>
  </si>
  <si>
    <t>UA2108007</t>
  </si>
  <si>
    <t>Neresnytska</t>
  </si>
  <si>
    <t>UA2108009</t>
  </si>
  <si>
    <t>Solotvynska</t>
  </si>
  <si>
    <t>UA2108011</t>
  </si>
  <si>
    <t>Teresvianska</t>
  </si>
  <si>
    <t>UA2108013</t>
  </si>
  <si>
    <t>Tiachivska</t>
  </si>
  <si>
    <t>UA2108015</t>
  </si>
  <si>
    <t>Uhlianska</t>
  </si>
  <si>
    <t>UA2108017</t>
  </si>
  <si>
    <t>Ust-Chornianska</t>
  </si>
  <si>
    <t>UA2108019</t>
  </si>
  <si>
    <t>Baranynska</t>
  </si>
  <si>
    <t>UA2110001</t>
  </si>
  <si>
    <t>Uzhhorodskyi</t>
  </si>
  <si>
    <t>UA2110</t>
  </si>
  <si>
    <t>Velykobereznianska</t>
  </si>
  <si>
    <t>UA2110003</t>
  </si>
  <si>
    <t>Velykodobronska</t>
  </si>
  <si>
    <t>UA2110005</t>
  </si>
  <si>
    <t>Dubrynytsko-Malobereznianska</t>
  </si>
  <si>
    <t>UA2110007</t>
  </si>
  <si>
    <t>Kostrynska</t>
  </si>
  <si>
    <t>UA2110009</t>
  </si>
  <si>
    <t>Onokivska</t>
  </si>
  <si>
    <t>UA2110011</t>
  </si>
  <si>
    <t>Perechynska</t>
  </si>
  <si>
    <t>UA2110013</t>
  </si>
  <si>
    <t>Serednianska</t>
  </si>
  <si>
    <t>UA2110015</t>
  </si>
  <si>
    <t>Stavnenska</t>
  </si>
  <si>
    <t>UA2110017</t>
  </si>
  <si>
    <t>Siurtivska</t>
  </si>
  <si>
    <t>UA2110019</t>
  </si>
  <si>
    <t>Turie-Remetivska</t>
  </si>
  <si>
    <t>UA2110021</t>
  </si>
  <si>
    <t>Uzhhorodska</t>
  </si>
  <si>
    <t>UA2110023</t>
  </si>
  <si>
    <t>Kholmkivska</t>
  </si>
  <si>
    <t>UA2110025</t>
  </si>
  <si>
    <t>Chopska</t>
  </si>
  <si>
    <t>UA2110027</t>
  </si>
  <si>
    <t>Bilkivska</t>
  </si>
  <si>
    <t>UA2112001</t>
  </si>
  <si>
    <t>Khustskyi</t>
  </si>
  <si>
    <t>UA2112</t>
  </si>
  <si>
    <t>Vyshkivska</t>
  </si>
  <si>
    <t>UA2112003</t>
  </si>
  <si>
    <t>Horinchivska</t>
  </si>
  <si>
    <t>UA2112005</t>
  </si>
  <si>
    <t>Dovzhanska</t>
  </si>
  <si>
    <t>UA2112007</t>
  </si>
  <si>
    <t>Drahivska</t>
  </si>
  <si>
    <t>UA2112009</t>
  </si>
  <si>
    <t>Zarichanska</t>
  </si>
  <si>
    <t>UA2112011</t>
  </si>
  <si>
    <t>Irshavska</t>
  </si>
  <si>
    <t>UA2112013</t>
  </si>
  <si>
    <t>Keretskivska</t>
  </si>
  <si>
    <t>UA2112015</t>
  </si>
  <si>
    <t>Kolochavska</t>
  </si>
  <si>
    <t>UA2112017</t>
  </si>
  <si>
    <t>Mizhhirska</t>
  </si>
  <si>
    <t>UA2112019</t>
  </si>
  <si>
    <t>Pylypetska</t>
  </si>
  <si>
    <t>UA2112021</t>
  </si>
  <si>
    <t>Synevyrska</t>
  </si>
  <si>
    <t>UA2112023</t>
  </si>
  <si>
    <t>Khustska</t>
  </si>
  <si>
    <t>UA2112025</t>
  </si>
  <si>
    <t>Andrivska</t>
  </si>
  <si>
    <t>UA2302001</t>
  </si>
  <si>
    <t>Berdianskyi</t>
  </si>
  <si>
    <t>UA2302</t>
  </si>
  <si>
    <t>UA2302003</t>
  </si>
  <si>
    <t>Berdianska</t>
  </si>
  <si>
    <t>UA2302005</t>
  </si>
  <si>
    <t>Berestivska</t>
  </si>
  <si>
    <t>UA2302007</t>
  </si>
  <si>
    <t>Kolarivska</t>
  </si>
  <si>
    <t>UA2302009</t>
  </si>
  <si>
    <t>Osypenkivska</t>
  </si>
  <si>
    <t>UA2302011</t>
  </si>
  <si>
    <t>Prymorska</t>
  </si>
  <si>
    <t>UA2302013</t>
  </si>
  <si>
    <t>UA2302015</t>
  </si>
  <si>
    <t>Blahovishchenska</t>
  </si>
  <si>
    <t>UA2304001</t>
  </si>
  <si>
    <t>Vasylivskyi</t>
  </si>
  <si>
    <t>UA2304</t>
  </si>
  <si>
    <t>Vasylivska</t>
  </si>
  <si>
    <t>UA2304003</t>
  </si>
  <si>
    <t>Velykobilozerska</t>
  </si>
  <si>
    <t>UA2304005</t>
  </si>
  <si>
    <t>Vodianska</t>
  </si>
  <si>
    <t>UA2304007</t>
  </si>
  <si>
    <t>Dniprorudnenska</t>
  </si>
  <si>
    <t>UA2304009</t>
  </si>
  <si>
    <t>Enerhodarska</t>
  </si>
  <si>
    <t>UA2304011</t>
  </si>
  <si>
    <t>Kamiansko-Dniprovska</t>
  </si>
  <si>
    <t>UA2304013</t>
  </si>
  <si>
    <t>Malobilozerska</t>
  </si>
  <si>
    <t>UA2304015</t>
  </si>
  <si>
    <t>Mykhailivska</t>
  </si>
  <si>
    <t>UA2304017</t>
  </si>
  <si>
    <t>Rozdolska</t>
  </si>
  <si>
    <t>UA2304019</t>
  </si>
  <si>
    <t>Stepnohirska</t>
  </si>
  <si>
    <t>UA2304021</t>
  </si>
  <si>
    <t>Bilenkivska</t>
  </si>
  <si>
    <t>UA2306001</t>
  </si>
  <si>
    <t>Zaporizkyi</t>
  </si>
  <si>
    <t>UA2306</t>
  </si>
  <si>
    <t>Vilnianska</t>
  </si>
  <si>
    <t>UA2306003</t>
  </si>
  <si>
    <t>21-50 km (without capital)</t>
  </si>
  <si>
    <t>Dolynska</t>
  </si>
  <si>
    <t>UA2306005</t>
  </si>
  <si>
    <t>UA2306007</t>
  </si>
  <si>
    <t>0-50 km oblast capital</t>
  </si>
  <si>
    <t>Komyshuvaska</t>
  </si>
  <si>
    <t>UA2306009</t>
  </si>
  <si>
    <t>Kushuhumska</t>
  </si>
  <si>
    <t>UA2306011</t>
  </si>
  <si>
    <t>Matviivska</t>
  </si>
  <si>
    <t>UA2306013</t>
  </si>
  <si>
    <t>UA2306015</t>
  </si>
  <si>
    <t>Mykhailo-Lukashivska</t>
  </si>
  <si>
    <t>UA2306017</t>
  </si>
  <si>
    <t>Novomykolaivska</t>
  </si>
  <si>
    <t>UA2306019</t>
  </si>
  <si>
    <t>UA2306021</t>
  </si>
  <si>
    <t>UA2306023</t>
  </si>
  <si>
    <t>Petro-Mykhailivska</t>
  </si>
  <si>
    <t>UA2306025</t>
  </si>
  <si>
    <t>Stepnenska</t>
  </si>
  <si>
    <t>UA2306027</t>
  </si>
  <si>
    <t>Tavriiska</t>
  </si>
  <si>
    <t>UA2306029</t>
  </si>
  <si>
    <t>Ternuvatska</t>
  </si>
  <si>
    <t>UA2306031</t>
  </si>
  <si>
    <t>UA2306033</t>
  </si>
  <si>
    <t>Veselivska</t>
  </si>
  <si>
    <t>UA2308001</t>
  </si>
  <si>
    <t>Melitopolskyi</t>
  </si>
  <si>
    <t>UA2308</t>
  </si>
  <si>
    <t>Kyrylivska</t>
  </si>
  <si>
    <t>UA2308003</t>
  </si>
  <si>
    <t>UA2308005</t>
  </si>
  <si>
    <t>Melitopolska</t>
  </si>
  <si>
    <t>UA2308007</t>
  </si>
  <si>
    <t>UA2308009</t>
  </si>
  <si>
    <t>Novenska</t>
  </si>
  <si>
    <t>UA2308011</t>
  </si>
  <si>
    <t>Novobohdanivska</t>
  </si>
  <si>
    <t>UA2308013</t>
  </si>
  <si>
    <t>Novovasylivska</t>
  </si>
  <si>
    <t>UA2308015</t>
  </si>
  <si>
    <t>Novouspenivska</t>
  </si>
  <si>
    <t>UA2308017</t>
  </si>
  <si>
    <t>UA2308019</t>
  </si>
  <si>
    <t>Plodorodnenska</t>
  </si>
  <si>
    <t>UA2308021</t>
  </si>
  <si>
    <t>Pryazovska</t>
  </si>
  <si>
    <t>UA2308023</t>
  </si>
  <si>
    <t>UA2308025</t>
  </si>
  <si>
    <t>Terpinnivska</t>
  </si>
  <si>
    <t>UA2308027</t>
  </si>
  <si>
    <t>Havrylivska</t>
  </si>
  <si>
    <t>UA2308029</t>
  </si>
  <si>
    <t>Yakymivska</t>
  </si>
  <si>
    <t>UA2308031</t>
  </si>
  <si>
    <t>Bilmatska</t>
  </si>
  <si>
    <t>UA2310001</t>
  </si>
  <si>
    <t>Polohivskyi</t>
  </si>
  <si>
    <t>UA2310</t>
  </si>
  <si>
    <t>Vozdvyzhivska</t>
  </si>
  <si>
    <t>UA2310003</t>
  </si>
  <si>
    <t>Voskresenska</t>
  </si>
  <si>
    <t>UA2310005</t>
  </si>
  <si>
    <t>Huliaipilska</t>
  </si>
  <si>
    <t>UA2310007</t>
  </si>
  <si>
    <t>Komysh-Zorianska</t>
  </si>
  <si>
    <t>UA2310009</t>
  </si>
  <si>
    <t>Malynivska</t>
  </si>
  <si>
    <t>UA2310011</t>
  </si>
  <si>
    <t>Malotokmachanska</t>
  </si>
  <si>
    <t>UA2310013</t>
  </si>
  <si>
    <t>Molochanska</t>
  </si>
  <si>
    <t>UA2310015</t>
  </si>
  <si>
    <t>Orikhivska</t>
  </si>
  <si>
    <t>UA2310017</t>
  </si>
  <si>
    <t>Polohivska</t>
  </si>
  <si>
    <t>UA2310019</t>
  </si>
  <si>
    <t>Preobrazhenska</t>
  </si>
  <si>
    <t>UA2310021</t>
  </si>
  <si>
    <t>Rozivska</t>
  </si>
  <si>
    <t>UA2310023</t>
  </si>
  <si>
    <t>Smyrnovska</t>
  </si>
  <si>
    <t>UA2310025</t>
  </si>
  <si>
    <t>Tokmatska</t>
  </si>
  <si>
    <t>UA2310027</t>
  </si>
  <si>
    <t>Fedorivska</t>
  </si>
  <si>
    <t>UA2310029</t>
  </si>
  <si>
    <t>Biloberizka</t>
  </si>
  <si>
    <t>UA2602001</t>
  </si>
  <si>
    <t>Verkhovynskyi</t>
  </si>
  <si>
    <t>UA2602</t>
  </si>
  <si>
    <t>Verkhovynska</t>
  </si>
  <si>
    <t>UA2602003</t>
  </si>
  <si>
    <t>Zelenska</t>
  </si>
  <si>
    <t>UA2602005</t>
  </si>
  <si>
    <t>Bilshivtsivska</t>
  </si>
  <si>
    <t>UA2604001</t>
  </si>
  <si>
    <t>Ivano-Frankivskyi</t>
  </si>
  <si>
    <t>UA2604</t>
  </si>
  <si>
    <t>Bohorodchanska</t>
  </si>
  <si>
    <t>UA2604003</t>
  </si>
  <si>
    <t>Bukachivska</t>
  </si>
  <si>
    <t>UA2604005</t>
  </si>
  <si>
    <t>Burshtynska</t>
  </si>
  <si>
    <t>UA2604007</t>
  </si>
  <si>
    <t>Halytska</t>
  </si>
  <si>
    <t>UA2604009</t>
  </si>
  <si>
    <t>Dzvyniatska</t>
  </si>
  <si>
    <t>UA2604011</t>
  </si>
  <si>
    <t>Dubovetska</t>
  </si>
  <si>
    <t>UA2604013</t>
  </si>
  <si>
    <t>Yezupilska</t>
  </si>
  <si>
    <t>UA2604015</t>
  </si>
  <si>
    <t>Zahvizdianska</t>
  </si>
  <si>
    <t>UA2604017</t>
  </si>
  <si>
    <t>UA2604019</t>
  </si>
  <si>
    <t>Lysetska</t>
  </si>
  <si>
    <t>UA2604021</t>
  </si>
  <si>
    <t>Obertynska</t>
  </si>
  <si>
    <t>UA2604023</t>
  </si>
  <si>
    <t>Oleshanska</t>
  </si>
  <si>
    <t>UA2604025</t>
  </si>
  <si>
    <t>Rohatynska</t>
  </si>
  <si>
    <t>UA2604027</t>
  </si>
  <si>
    <t>UA2604029</t>
  </si>
  <si>
    <t>Starobohorodchanska</t>
  </si>
  <si>
    <t>UA2604031</t>
  </si>
  <si>
    <t>Tysmenytska</t>
  </si>
  <si>
    <t>UA2604033</t>
  </si>
  <si>
    <t>Tlumatska</t>
  </si>
  <si>
    <t>UA2604035</t>
  </si>
  <si>
    <t>Uhrynivska</t>
  </si>
  <si>
    <t>UA2604037</t>
  </si>
  <si>
    <t>Yamnytska</t>
  </si>
  <si>
    <t>UA2604039</t>
  </si>
  <si>
    <t>Bolekhivska</t>
  </si>
  <si>
    <t>UA2606001</t>
  </si>
  <si>
    <t>Kaluskyi</t>
  </si>
  <si>
    <t>UA2606</t>
  </si>
  <si>
    <t>Broshniv-Osadska</t>
  </si>
  <si>
    <t>UA2606003</t>
  </si>
  <si>
    <t>Verkhnianska</t>
  </si>
  <si>
    <t>UA2606005</t>
  </si>
  <si>
    <t>Vyhodska</t>
  </si>
  <si>
    <t>UA2606007</t>
  </si>
  <si>
    <t>Vytvytska</t>
  </si>
  <si>
    <t>UA2606009</t>
  </si>
  <si>
    <t>Voinylivska</t>
  </si>
  <si>
    <t>UA2606011</t>
  </si>
  <si>
    <t>UA2606013</t>
  </si>
  <si>
    <t>UA2606015</t>
  </si>
  <si>
    <t>Kaluska</t>
  </si>
  <si>
    <t>UA2606017</t>
  </si>
  <si>
    <t>Novytska</t>
  </si>
  <si>
    <t>UA2606019</t>
  </si>
  <si>
    <t>Perehinska</t>
  </si>
  <si>
    <t>UA2606021</t>
  </si>
  <si>
    <t>Rozhniativska</t>
  </si>
  <si>
    <t>UA2606023</t>
  </si>
  <si>
    <t>Spaska</t>
  </si>
  <si>
    <t>UA2606025</t>
  </si>
  <si>
    <t>Hvizdetska</t>
  </si>
  <si>
    <t>UA2608001</t>
  </si>
  <si>
    <t>Kolomyiskyi</t>
  </si>
  <si>
    <t>UA2608</t>
  </si>
  <si>
    <t>Horodenkivska</t>
  </si>
  <si>
    <t>UA2608003</t>
  </si>
  <si>
    <t>Zabolotivska</t>
  </si>
  <si>
    <t>UA2608005</t>
  </si>
  <si>
    <t>Kolomyiska</t>
  </si>
  <si>
    <t>UA2608007</t>
  </si>
  <si>
    <t>Korshivska</t>
  </si>
  <si>
    <t>UA2608009</t>
  </si>
  <si>
    <t>Mateivetska</t>
  </si>
  <si>
    <t>UA2608011</t>
  </si>
  <si>
    <t>Nyzhnoverbizka</t>
  </si>
  <si>
    <t>UA2608013</t>
  </si>
  <si>
    <t>Otyniiska</t>
  </si>
  <si>
    <t>UA2608015</t>
  </si>
  <si>
    <t>Pechenizhynska</t>
  </si>
  <si>
    <t>UA2608017</t>
  </si>
  <si>
    <t>Pidhaichykivska</t>
  </si>
  <si>
    <t>UA2608019</t>
  </si>
  <si>
    <t>Piadytska</t>
  </si>
  <si>
    <t>UA2608021</t>
  </si>
  <si>
    <t>Sniatynska</t>
  </si>
  <si>
    <t>UA2608023</t>
  </si>
  <si>
    <t>Chernelytska</t>
  </si>
  <si>
    <t>UA2608025</t>
  </si>
  <si>
    <t>Kosivska</t>
  </si>
  <si>
    <t>UA2610001</t>
  </si>
  <si>
    <t>Kosivskyi</t>
  </si>
  <si>
    <t>UA2610</t>
  </si>
  <si>
    <t>Kosmatska</t>
  </si>
  <si>
    <t>UA2610003</t>
  </si>
  <si>
    <t>Kutska</t>
  </si>
  <si>
    <t>UA2610005</t>
  </si>
  <si>
    <t>Rozhnivska</t>
  </si>
  <si>
    <t>UA2610007</t>
  </si>
  <si>
    <t>Yablunivska</t>
  </si>
  <si>
    <t>UA2610009</t>
  </si>
  <si>
    <t>Vorokhtianska</t>
  </si>
  <si>
    <t>UA2612001</t>
  </si>
  <si>
    <t>Nadvirnianskyi</t>
  </si>
  <si>
    <t>UA2612</t>
  </si>
  <si>
    <t>Deliatynska</t>
  </si>
  <si>
    <t>UA2612003</t>
  </si>
  <si>
    <t>Lanchynska</t>
  </si>
  <si>
    <t>UA2612005</t>
  </si>
  <si>
    <t>Nadvirnianska</t>
  </si>
  <si>
    <t>UA2612007</t>
  </si>
  <si>
    <t>Pasichnianska</t>
  </si>
  <si>
    <t>UA2612009</t>
  </si>
  <si>
    <t>Pererislianska</t>
  </si>
  <si>
    <t>UA2612011</t>
  </si>
  <si>
    <t>Polianytska</t>
  </si>
  <si>
    <t>UA2612013</t>
  </si>
  <si>
    <t>Yaremchanska</t>
  </si>
  <si>
    <t>UA2612015</t>
  </si>
  <si>
    <t>Bilotserkivska</t>
  </si>
  <si>
    <t>UA3202001</t>
  </si>
  <si>
    <t>Bilotserkivskyi</t>
  </si>
  <si>
    <t>UA3202</t>
  </si>
  <si>
    <t>Volodarska</t>
  </si>
  <si>
    <t>UA3202003</t>
  </si>
  <si>
    <t>Hrebinkivska</t>
  </si>
  <si>
    <t>UA3202005</t>
  </si>
  <si>
    <t>Kovalivska</t>
  </si>
  <si>
    <t>UA3202007</t>
  </si>
  <si>
    <t>Malovilshanska</t>
  </si>
  <si>
    <t>UA3202009</t>
  </si>
  <si>
    <t>Medvynska</t>
  </si>
  <si>
    <t>UA3202011</t>
  </si>
  <si>
    <t>Rokytnianska</t>
  </si>
  <si>
    <t>UA3202013</t>
  </si>
  <si>
    <t>Skvyrska</t>
  </si>
  <si>
    <t>UA3202015</t>
  </si>
  <si>
    <t>Stavyshchenska</t>
  </si>
  <si>
    <t>UA3202017</t>
  </si>
  <si>
    <t>Tarashchanska</t>
  </si>
  <si>
    <t>UA3202019</t>
  </si>
  <si>
    <t>Tetiivska</t>
  </si>
  <si>
    <t>UA3202021</t>
  </si>
  <si>
    <t>Uzynska</t>
  </si>
  <si>
    <t>UA3202023</t>
  </si>
  <si>
    <t>Fursivska</t>
  </si>
  <si>
    <t>UA3202025</t>
  </si>
  <si>
    <t>Boryspilska</t>
  </si>
  <si>
    <t>UA3204001</t>
  </si>
  <si>
    <t>Boryspilskyi</t>
  </si>
  <si>
    <t>UA3204</t>
  </si>
  <si>
    <t>Voronkivska</t>
  </si>
  <si>
    <t>UA3204003</t>
  </si>
  <si>
    <t>Hirska</t>
  </si>
  <si>
    <t>UA3204005</t>
  </si>
  <si>
    <t>Divychkivska</t>
  </si>
  <si>
    <t>UA3204007</t>
  </si>
  <si>
    <t>Zolochivska</t>
  </si>
  <si>
    <t>UA3204009</t>
  </si>
  <si>
    <t>Pereiaslavska</t>
  </si>
  <si>
    <t>UA3204011</t>
  </si>
  <si>
    <t>Prystolychna</t>
  </si>
  <si>
    <t>UA3204013</t>
  </si>
  <si>
    <t>Studenykivska</t>
  </si>
  <si>
    <t>UA3204015</t>
  </si>
  <si>
    <t>Tashanska</t>
  </si>
  <si>
    <t>UA3204017</t>
  </si>
  <si>
    <t>Tsyblivska</t>
  </si>
  <si>
    <t>UA3204019</t>
  </si>
  <si>
    <t>Yahotynska</t>
  </si>
  <si>
    <t>UA3204021</t>
  </si>
  <si>
    <t>Baryshivska</t>
  </si>
  <si>
    <t>UA3206001</t>
  </si>
  <si>
    <t>Brovarskyi</t>
  </si>
  <si>
    <t>UA3206</t>
  </si>
  <si>
    <t>Berezanska</t>
  </si>
  <si>
    <t>UA3206003</t>
  </si>
  <si>
    <t>Brovarska</t>
  </si>
  <si>
    <t>UA3206005</t>
  </si>
  <si>
    <t>Velykodymerska</t>
  </si>
  <si>
    <t>UA3206007</t>
  </si>
  <si>
    <t>Zazymska</t>
  </si>
  <si>
    <t>UA3206009</t>
  </si>
  <si>
    <t>Zghurivska</t>
  </si>
  <si>
    <t>UA3206011</t>
  </si>
  <si>
    <t>UA3206013</t>
  </si>
  <si>
    <t>Kalytianska</t>
  </si>
  <si>
    <t>UA3206015</t>
  </si>
  <si>
    <t>Bilohorodska</t>
  </si>
  <si>
    <t>UA3208001</t>
  </si>
  <si>
    <t>Buchanskyi</t>
  </si>
  <si>
    <t>UA3208</t>
  </si>
  <si>
    <t>Borodianska</t>
  </si>
  <si>
    <t>UA3208003</t>
  </si>
  <si>
    <t>Borshchahivska</t>
  </si>
  <si>
    <t>UA3208005</t>
  </si>
  <si>
    <t>Buchanska</t>
  </si>
  <si>
    <t>UA3208007</t>
  </si>
  <si>
    <t>Vyshneva</t>
  </si>
  <si>
    <t>UA3208009</t>
  </si>
  <si>
    <t>Hostomelska</t>
  </si>
  <si>
    <t>UA3208011</t>
  </si>
  <si>
    <t>Dmytrivska</t>
  </si>
  <si>
    <t>UA3208013</t>
  </si>
  <si>
    <t>Irpinska</t>
  </si>
  <si>
    <t>UA3208015</t>
  </si>
  <si>
    <t>Kotsiubynska</t>
  </si>
  <si>
    <t>UA3208017</t>
  </si>
  <si>
    <t>Makarivska</t>
  </si>
  <si>
    <t>UA3208019</t>
  </si>
  <si>
    <t>Nemishaivska</t>
  </si>
  <si>
    <t>UA3208021</t>
  </si>
  <si>
    <t>Piskivska</t>
  </si>
  <si>
    <t>UA3208023</t>
  </si>
  <si>
    <t>Vyshhorodska</t>
  </si>
  <si>
    <t>UA3210001</t>
  </si>
  <si>
    <t>Vyshhorodskyi</t>
  </si>
  <si>
    <t>UA3210</t>
  </si>
  <si>
    <t>Dymerska</t>
  </si>
  <si>
    <t>UA3210003</t>
  </si>
  <si>
    <t>Ivankivska</t>
  </si>
  <si>
    <t>UA3210005</t>
  </si>
  <si>
    <t>Petrivska</t>
  </si>
  <si>
    <t>UA3210007</t>
  </si>
  <si>
    <t>Pirnivska</t>
  </si>
  <si>
    <t>UA3210009</t>
  </si>
  <si>
    <t>Poliska</t>
  </si>
  <si>
    <t>UA3210011</t>
  </si>
  <si>
    <t>Slavutytska</t>
  </si>
  <si>
    <t>UA3210013</t>
  </si>
  <si>
    <t>Bohuslavska</t>
  </si>
  <si>
    <t>UA3212001</t>
  </si>
  <si>
    <t>Obukhivskyi</t>
  </si>
  <si>
    <t>UA3212</t>
  </si>
  <si>
    <t>UA3212003</t>
  </si>
  <si>
    <t>Kaharlytska</t>
  </si>
  <si>
    <t>UA3212005</t>
  </si>
  <si>
    <t>Kozynska</t>
  </si>
  <si>
    <t>UA3212007</t>
  </si>
  <si>
    <t>Myronivska</t>
  </si>
  <si>
    <t>UA3212009</t>
  </si>
  <si>
    <t>UA3212011</t>
  </si>
  <si>
    <t>Rzhyshchivska</t>
  </si>
  <si>
    <t>UA3212013</t>
  </si>
  <si>
    <t>UA3212015</t>
  </si>
  <si>
    <t>Feodosiivska</t>
  </si>
  <si>
    <t>UA3212017</t>
  </si>
  <si>
    <t>Byshivska</t>
  </si>
  <si>
    <t>UA3214001</t>
  </si>
  <si>
    <t>Fastivskyi</t>
  </si>
  <si>
    <t>UA3214</t>
  </si>
  <si>
    <t>Boiarska</t>
  </si>
  <si>
    <t>UA3214003</t>
  </si>
  <si>
    <t>Hatnenska</t>
  </si>
  <si>
    <t>UA3214005</t>
  </si>
  <si>
    <t>Hlevakhivska</t>
  </si>
  <si>
    <t>UA3214007</t>
  </si>
  <si>
    <t>UA3214009</t>
  </si>
  <si>
    <t>Kozhanska</t>
  </si>
  <si>
    <t>UA3214011</t>
  </si>
  <si>
    <t>Tomashivska</t>
  </si>
  <si>
    <t>UA3214013</t>
  </si>
  <si>
    <t>Fastivska</t>
  </si>
  <si>
    <t>UA3214015</t>
  </si>
  <si>
    <t>Chabanivska</t>
  </si>
  <si>
    <t>UA3214017</t>
  </si>
  <si>
    <t>UA3502001</t>
  </si>
  <si>
    <t>Holovanivskyi</t>
  </si>
  <si>
    <t>UA3502</t>
  </si>
  <si>
    <t>UA3502003</t>
  </si>
  <si>
    <t>Haivoronska</t>
  </si>
  <si>
    <t>UA3502005</t>
  </si>
  <si>
    <t>Holovanivska</t>
  </si>
  <si>
    <t>UA3502007</t>
  </si>
  <si>
    <t>Zavallivska</t>
  </si>
  <si>
    <t>UA3502009</t>
  </si>
  <si>
    <t>Nadlatska</t>
  </si>
  <si>
    <t>UA3502011</t>
  </si>
  <si>
    <t>Novoarkhanhelska</t>
  </si>
  <si>
    <t>UA3502013</t>
  </si>
  <si>
    <t>Perehonivska</t>
  </si>
  <si>
    <t>UA3502015</t>
  </si>
  <si>
    <t>Pidvysotska</t>
  </si>
  <si>
    <t>UA3502017</t>
  </si>
  <si>
    <t>Pobuzka</t>
  </si>
  <si>
    <t>UA3502019</t>
  </si>
  <si>
    <t>Adzhamska</t>
  </si>
  <si>
    <t>UA3504001</t>
  </si>
  <si>
    <t>Kropyvnytskyi</t>
  </si>
  <si>
    <t>UA3504</t>
  </si>
  <si>
    <t>Bobrynetska</t>
  </si>
  <si>
    <t>UA3504003</t>
  </si>
  <si>
    <t>Velykoseverynivska</t>
  </si>
  <si>
    <t>UA3504005</t>
  </si>
  <si>
    <t>Hurivska</t>
  </si>
  <si>
    <t>UA3504007</t>
  </si>
  <si>
    <t>UA3504009</t>
  </si>
  <si>
    <t>UA3504011</t>
  </si>
  <si>
    <t>Znamianska</t>
  </si>
  <si>
    <t>UA3504013</t>
  </si>
  <si>
    <t>Katerynivska</t>
  </si>
  <si>
    <t>UA3504015</t>
  </si>
  <si>
    <t>Ketrysanivska</t>
  </si>
  <si>
    <t>UA3504017</t>
  </si>
  <si>
    <t>Kompaniivska</t>
  </si>
  <si>
    <t>UA3504019</t>
  </si>
  <si>
    <t>Kropyvnytska</t>
  </si>
  <si>
    <t>UA3504021</t>
  </si>
  <si>
    <t>Kamianetska</t>
  </si>
  <si>
    <t>UA3504023</t>
  </si>
  <si>
    <t>UA3504025</t>
  </si>
  <si>
    <t>Pervozvanivska</t>
  </si>
  <si>
    <t>UA3504027</t>
  </si>
  <si>
    <t>Sokolivska</t>
  </si>
  <si>
    <t>UA3504029</t>
  </si>
  <si>
    <t>Subottsivska</t>
  </si>
  <si>
    <t>UA3504031</t>
  </si>
  <si>
    <t>Ustynivska</t>
  </si>
  <si>
    <t>UA3504033</t>
  </si>
  <si>
    <t>Hannivska</t>
  </si>
  <si>
    <t>UA3506001</t>
  </si>
  <si>
    <t>Novoukrainskyi</t>
  </si>
  <si>
    <t>UA3506</t>
  </si>
  <si>
    <t>Hlodoska</t>
  </si>
  <si>
    <t>UA3506003</t>
  </si>
  <si>
    <t>Dobrovelychkivska</t>
  </si>
  <si>
    <t>UA3506005</t>
  </si>
  <si>
    <t>Zlynska</t>
  </si>
  <si>
    <t>UA3506007</t>
  </si>
  <si>
    <t>Malovyskivska</t>
  </si>
  <si>
    <t>UA3506009</t>
  </si>
  <si>
    <t>UA3506011</t>
  </si>
  <si>
    <t>Novomyrhorodska</t>
  </si>
  <si>
    <t>UA3506013</t>
  </si>
  <si>
    <t>Novoukrainska</t>
  </si>
  <si>
    <t>UA3506015</t>
  </si>
  <si>
    <t>Pishchanobridska</t>
  </si>
  <si>
    <t>UA3506017</t>
  </si>
  <si>
    <t>Pomichnianska</t>
  </si>
  <si>
    <t>UA3506019</t>
  </si>
  <si>
    <t>Rivnianska</t>
  </si>
  <si>
    <t>UA3506021</t>
  </si>
  <si>
    <t>Smolinska</t>
  </si>
  <si>
    <t>UA3506023</t>
  </si>
  <si>
    <t>Tyshkivska</t>
  </si>
  <si>
    <t>UA3506025</t>
  </si>
  <si>
    <t>Velykoandrusivska</t>
  </si>
  <si>
    <t>UA3508001</t>
  </si>
  <si>
    <t>Oleksandriiskyi</t>
  </si>
  <si>
    <t>UA3508</t>
  </si>
  <si>
    <t>Novoprazka</t>
  </si>
  <si>
    <t>UA3508003</t>
  </si>
  <si>
    <t>Oleksandriiska</t>
  </si>
  <si>
    <t>UA3508005</t>
  </si>
  <si>
    <t>Onufriivska</t>
  </si>
  <si>
    <t>UA3508007</t>
  </si>
  <si>
    <t>Pantaivska</t>
  </si>
  <si>
    <t>UA3508009</t>
  </si>
  <si>
    <t>UA3508011</t>
  </si>
  <si>
    <t>Popelnastivska</t>
  </si>
  <si>
    <t>UA3508013</t>
  </si>
  <si>
    <t>Pryiutivska</t>
  </si>
  <si>
    <t>UA3508015</t>
  </si>
  <si>
    <t>Svitlovodska</t>
  </si>
  <si>
    <t>UA3508017</t>
  </si>
  <si>
    <t>Alchevska</t>
  </si>
  <si>
    <t>UA4402001</t>
  </si>
  <si>
    <t>Alchevskyi</t>
  </si>
  <si>
    <t>UA4402</t>
  </si>
  <si>
    <t>Luhanska</t>
  </si>
  <si>
    <t>UA44</t>
  </si>
  <si>
    <t>Zymohirivska</t>
  </si>
  <si>
    <t>UA4402003</t>
  </si>
  <si>
    <t>Kadiivska</t>
  </si>
  <si>
    <t>UA4402005</t>
  </si>
  <si>
    <t>UA4404001</t>
  </si>
  <si>
    <t>Dovzhanskyi</t>
  </si>
  <si>
    <t>UA4404</t>
  </si>
  <si>
    <t>Sorokynska</t>
  </si>
  <si>
    <t>UA4404003</t>
  </si>
  <si>
    <t>UA4406001</t>
  </si>
  <si>
    <t>Luhanskyi</t>
  </si>
  <si>
    <t>UA4406</t>
  </si>
  <si>
    <t>Lutuhynska</t>
  </si>
  <si>
    <t>UA4406003</t>
  </si>
  <si>
    <t>Otamanivska</t>
  </si>
  <si>
    <t>UA4406005</t>
  </si>
  <si>
    <t>Antratsytivska</t>
  </si>
  <si>
    <t>UA4408001</t>
  </si>
  <si>
    <t>Rovenkivskyi</t>
  </si>
  <si>
    <t>UA4408</t>
  </si>
  <si>
    <t>Rovenkivska</t>
  </si>
  <si>
    <t>UA4408003</t>
  </si>
  <si>
    <t>Khrustalnenska</t>
  </si>
  <si>
    <t>UA4408005</t>
  </si>
  <si>
    <t>Bilokurakynska</t>
  </si>
  <si>
    <t>UA4410001</t>
  </si>
  <si>
    <t>Svativskyi</t>
  </si>
  <si>
    <t>UA4410</t>
  </si>
  <si>
    <t>Kolomyichyska</t>
  </si>
  <si>
    <t>UA4410003</t>
  </si>
  <si>
    <t>Krasnorichenska</t>
  </si>
  <si>
    <t>UA4410005</t>
  </si>
  <si>
    <t>Lozno-Oleksandrivska</t>
  </si>
  <si>
    <t>UA4410007</t>
  </si>
  <si>
    <t>Nyzhnoduvanska</t>
  </si>
  <si>
    <t>UA4410009</t>
  </si>
  <si>
    <t>Svativska</t>
  </si>
  <si>
    <t>UA4410011</t>
  </si>
  <si>
    <t>UA4410013</t>
  </si>
  <si>
    <t>UA4412001</t>
  </si>
  <si>
    <t>Siverskodonetskyi</t>
  </si>
  <si>
    <t>UA4412</t>
  </si>
  <si>
    <t>Kreminska</t>
  </si>
  <si>
    <t>UA4412003</t>
  </si>
  <si>
    <t>Lysychanska</t>
  </si>
  <si>
    <t>UA4412005</t>
  </si>
  <si>
    <t>Popasnianska</t>
  </si>
  <si>
    <t>UA4412007</t>
  </si>
  <si>
    <t>Rubizhanska</t>
  </si>
  <si>
    <t>UA4412009</t>
  </si>
  <si>
    <t>Siverskodonetska</t>
  </si>
  <si>
    <t>UA4412011</t>
  </si>
  <si>
    <t>Bilovodska</t>
  </si>
  <si>
    <t>UA4414001</t>
  </si>
  <si>
    <t>Starobilskyi</t>
  </si>
  <si>
    <t>UA4414</t>
  </si>
  <si>
    <t>Bilolutska</t>
  </si>
  <si>
    <t>UA4414003</t>
  </si>
  <si>
    <t>Markivska</t>
  </si>
  <si>
    <t>UA4414005</t>
  </si>
  <si>
    <t>Milovska</t>
  </si>
  <si>
    <t>UA4414007</t>
  </si>
  <si>
    <t>Aidarska</t>
  </si>
  <si>
    <t>UA4414009</t>
  </si>
  <si>
    <t>Starobilska</t>
  </si>
  <si>
    <t>UA4414011</t>
  </si>
  <si>
    <t>Chmyrivska</t>
  </si>
  <si>
    <t>UA4414013</t>
  </si>
  <si>
    <t>Shulhynska</t>
  </si>
  <si>
    <t>UA4414015</t>
  </si>
  <si>
    <t>Nyzhnoteplivska</t>
  </si>
  <si>
    <t>UA4416001</t>
  </si>
  <si>
    <t>Shchastynskyi</t>
  </si>
  <si>
    <t>UA4416</t>
  </si>
  <si>
    <t>Novoaidarska</t>
  </si>
  <si>
    <t>UA4416003</t>
  </si>
  <si>
    <t>Stanychno-Luhanska</t>
  </si>
  <si>
    <t>UA4416005</t>
  </si>
  <si>
    <t>UA4416007</t>
  </si>
  <si>
    <t>Shchastynska</t>
  </si>
  <si>
    <t>UA4416009</t>
  </si>
  <si>
    <t>Boryslavska</t>
  </si>
  <si>
    <t>UA4602001</t>
  </si>
  <si>
    <t>Drohobytskyi</t>
  </si>
  <si>
    <t>UA4602</t>
  </si>
  <si>
    <t>Drohobytska</t>
  </si>
  <si>
    <t>UA4602003</t>
  </si>
  <si>
    <t>Medenytska</t>
  </si>
  <si>
    <t>UA4602005</t>
  </si>
  <si>
    <t>Skhidnytska</t>
  </si>
  <si>
    <t>UA4602007</t>
  </si>
  <si>
    <t>Truskavetska</t>
  </si>
  <si>
    <t>UA4602009</t>
  </si>
  <si>
    <t>Brodivska</t>
  </si>
  <si>
    <t>UA4604001</t>
  </si>
  <si>
    <t>Zolochivskyi</t>
  </si>
  <si>
    <t>UA4604</t>
  </si>
  <si>
    <t>Buska</t>
  </si>
  <si>
    <t>UA4604003</t>
  </si>
  <si>
    <t>Zabolottsivska</t>
  </si>
  <si>
    <t>UA4604005</t>
  </si>
  <si>
    <t>UA4604007</t>
  </si>
  <si>
    <t>Krasnenska</t>
  </si>
  <si>
    <t>UA4604009</t>
  </si>
  <si>
    <t>Pidkaminska</t>
  </si>
  <si>
    <t>UA4604011</t>
  </si>
  <si>
    <t>Pomorianska</t>
  </si>
  <si>
    <t>UA4604013</t>
  </si>
  <si>
    <t>Bibrska</t>
  </si>
  <si>
    <t>UA4606001</t>
  </si>
  <si>
    <t>Lvivskyi</t>
  </si>
  <si>
    <t>UA4606</t>
  </si>
  <si>
    <t>Velykoliubinska</t>
  </si>
  <si>
    <t>UA4606003</t>
  </si>
  <si>
    <t>Hlynianska</t>
  </si>
  <si>
    <t>UA4606005</t>
  </si>
  <si>
    <t>UA4606007</t>
  </si>
  <si>
    <t>Davydivska</t>
  </si>
  <si>
    <t>UA4606009</t>
  </si>
  <si>
    <t>Dobrosynsko-Maherivska</t>
  </si>
  <si>
    <t>UA4606011</t>
  </si>
  <si>
    <t>Zhovkivska</t>
  </si>
  <si>
    <t>UA4606013</t>
  </si>
  <si>
    <t>Zhovtanetska</t>
  </si>
  <si>
    <t>UA4606015</t>
  </si>
  <si>
    <t>Zymnovodivska</t>
  </si>
  <si>
    <t>UA4606017</t>
  </si>
  <si>
    <t>Kamianka-Buzka</t>
  </si>
  <si>
    <t>UA4606019</t>
  </si>
  <si>
    <t>Komarnivska</t>
  </si>
  <si>
    <t>UA4606021</t>
  </si>
  <si>
    <t>Kulykivska</t>
  </si>
  <si>
    <t>UA4606023</t>
  </si>
  <si>
    <t>UA4606025</t>
  </si>
  <si>
    <t>Murovanska</t>
  </si>
  <si>
    <t>UA4606027</t>
  </si>
  <si>
    <t>Novoiarychivska</t>
  </si>
  <si>
    <t>UA4606029</t>
  </si>
  <si>
    <t>Obroshynska</t>
  </si>
  <si>
    <t>UA4606031</t>
  </si>
  <si>
    <t>Peremyshlianska</t>
  </si>
  <si>
    <t>UA4606033</t>
  </si>
  <si>
    <t>Pidberiztsivska</t>
  </si>
  <si>
    <t>UA4606035</t>
  </si>
  <si>
    <t>Pustomytivska</t>
  </si>
  <si>
    <t>UA4606037</t>
  </si>
  <si>
    <t>Rava-Ruska</t>
  </si>
  <si>
    <t>UA4606039</t>
  </si>
  <si>
    <t>Sokilnytska</t>
  </si>
  <si>
    <t>UA4606041</t>
  </si>
  <si>
    <t>Solonkivska</t>
  </si>
  <si>
    <t>UA4606043</t>
  </si>
  <si>
    <t>Shchyretska</t>
  </si>
  <si>
    <t>UA4606045</t>
  </si>
  <si>
    <t>Biskovytska</t>
  </si>
  <si>
    <t>UA4608001</t>
  </si>
  <si>
    <t>Sambirskyi</t>
  </si>
  <si>
    <t>UA4608</t>
  </si>
  <si>
    <t>Borynska</t>
  </si>
  <si>
    <t>UA4608003</t>
  </si>
  <si>
    <t>Dobromylska</t>
  </si>
  <si>
    <t>UA4608005</t>
  </si>
  <si>
    <t>Novokalynivska</t>
  </si>
  <si>
    <t>UA4608007</t>
  </si>
  <si>
    <t>Ralivska</t>
  </si>
  <si>
    <t>UA4608009</t>
  </si>
  <si>
    <t>Rudkivska</t>
  </si>
  <si>
    <t>UA4608011</t>
  </si>
  <si>
    <t>Sambirska</t>
  </si>
  <si>
    <t>UA4608013</t>
  </si>
  <si>
    <t>Starosambirska</t>
  </si>
  <si>
    <t>UA4608015</t>
  </si>
  <si>
    <t>Strilkivska</t>
  </si>
  <si>
    <t>UA4608017</t>
  </si>
  <si>
    <t>Turkivska</t>
  </si>
  <si>
    <t>UA4608019</t>
  </si>
  <si>
    <t>Khyrivska</t>
  </si>
  <si>
    <t>UA4608021</t>
  </si>
  <si>
    <t>Hnizdychivska</t>
  </si>
  <si>
    <t>UA4610001</t>
  </si>
  <si>
    <t>Stryiskyi</t>
  </si>
  <si>
    <t>UA4610</t>
  </si>
  <si>
    <t>Hrabovetsko-Dulibivska</t>
  </si>
  <si>
    <t>UA4610003</t>
  </si>
  <si>
    <t>Zhydachivska</t>
  </si>
  <si>
    <t>UA4610005</t>
  </si>
  <si>
    <t>Zhuravnenska</t>
  </si>
  <si>
    <t>UA4610007</t>
  </si>
  <si>
    <t>Kozivska</t>
  </si>
  <si>
    <t>UA4610009</t>
  </si>
  <si>
    <t>UA4610011</t>
  </si>
  <si>
    <t>Morshynska</t>
  </si>
  <si>
    <t>UA4610013</t>
  </si>
  <si>
    <t>Novorozdilska</t>
  </si>
  <si>
    <t>UA4610015</t>
  </si>
  <si>
    <t>Rozvadivska</t>
  </si>
  <si>
    <t>UA4610017</t>
  </si>
  <si>
    <t>Skolivska</t>
  </si>
  <si>
    <t>UA4610019</t>
  </si>
  <si>
    <t>Slavska</t>
  </si>
  <si>
    <t>UA4610021</t>
  </si>
  <si>
    <t>Stryiska</t>
  </si>
  <si>
    <t>UA4610023</t>
  </si>
  <si>
    <t>UA4610025</t>
  </si>
  <si>
    <t>Khodorivska</t>
  </si>
  <si>
    <t>UA4610027</t>
  </si>
  <si>
    <t>Belzka</t>
  </si>
  <si>
    <t>UA4612001</t>
  </si>
  <si>
    <t>Sheptytskyi</t>
  </si>
  <si>
    <t>UA4612</t>
  </si>
  <si>
    <t>Velykomostivska</t>
  </si>
  <si>
    <t>UA4612003</t>
  </si>
  <si>
    <t>Dobrotvirska</t>
  </si>
  <si>
    <t>UA4612005</t>
  </si>
  <si>
    <t>Lopatynska</t>
  </si>
  <si>
    <t>UA4612007</t>
  </si>
  <si>
    <t>Radekhivska</t>
  </si>
  <si>
    <t>UA4612009</t>
  </si>
  <si>
    <t>Sokalska</t>
  </si>
  <si>
    <t>UA4612011</t>
  </si>
  <si>
    <t>Sheptytska</t>
  </si>
  <si>
    <t>UA4612013</t>
  </si>
  <si>
    <t>UA4614001</t>
  </si>
  <si>
    <t>Yavorivskyi</t>
  </si>
  <si>
    <t>UA4614</t>
  </si>
  <si>
    <t>Mostyska</t>
  </si>
  <si>
    <t>UA4614003</t>
  </si>
  <si>
    <t>Novoiavorivska</t>
  </si>
  <si>
    <t>UA4614005</t>
  </si>
  <si>
    <t>Sudovovyshnianska</t>
  </si>
  <si>
    <t>UA4614007</t>
  </si>
  <si>
    <t>Shehynivska</t>
  </si>
  <si>
    <t>UA4614009</t>
  </si>
  <si>
    <t>Yavorivska</t>
  </si>
  <si>
    <t>UA4614011</t>
  </si>
  <si>
    <t>Bashtanska</t>
  </si>
  <si>
    <t>UA4802001</t>
  </si>
  <si>
    <t>Bashtanskyi</t>
  </si>
  <si>
    <t>UA4802</t>
  </si>
  <si>
    <t>Bereznehuvatska</t>
  </si>
  <si>
    <t>UA4802003</t>
  </si>
  <si>
    <t>Vilnozaporizka</t>
  </si>
  <si>
    <t>UA4802005</t>
  </si>
  <si>
    <t>Volodymyrivska</t>
  </si>
  <si>
    <t>UA4802007</t>
  </si>
  <si>
    <t>UA4802009</t>
  </si>
  <si>
    <t>Inhulska</t>
  </si>
  <si>
    <t>UA4802011</t>
  </si>
  <si>
    <t>Kazankivska</t>
  </si>
  <si>
    <t>UA4802013</t>
  </si>
  <si>
    <t>Novobuzka</t>
  </si>
  <si>
    <t>UA4802015</t>
  </si>
  <si>
    <t>Pryvilnenska</t>
  </si>
  <si>
    <t>UA4802017</t>
  </si>
  <si>
    <t>Snihurivska</t>
  </si>
  <si>
    <t>UA4802019</t>
  </si>
  <si>
    <t>UA4802021</t>
  </si>
  <si>
    <t>UA4802023</t>
  </si>
  <si>
    <t>Bratska</t>
  </si>
  <si>
    <t>UA4804001</t>
  </si>
  <si>
    <t>Voznesenskyi</t>
  </si>
  <si>
    <t>UA4804</t>
  </si>
  <si>
    <t>Buzka</t>
  </si>
  <si>
    <t>UA4804003</t>
  </si>
  <si>
    <t>Veselynivska</t>
  </si>
  <si>
    <t>UA4804005</t>
  </si>
  <si>
    <t>Voznesenska</t>
  </si>
  <si>
    <t>UA4804007</t>
  </si>
  <si>
    <t>Domanivska</t>
  </si>
  <si>
    <t>UA4804009</t>
  </si>
  <si>
    <t>Doroshivska</t>
  </si>
  <si>
    <t>UA4804011</t>
  </si>
  <si>
    <t>Yelanetska</t>
  </si>
  <si>
    <t>UA4804013</t>
  </si>
  <si>
    <t>Mostivska</t>
  </si>
  <si>
    <t>UA4804015</t>
  </si>
  <si>
    <t>Novomarivska</t>
  </si>
  <si>
    <t>UA4804017</t>
  </si>
  <si>
    <t>UA4804019</t>
  </si>
  <si>
    <t>Prybuzhanivska</t>
  </si>
  <si>
    <t>UA4804021</t>
  </si>
  <si>
    <t>Prybuzka</t>
  </si>
  <si>
    <t>UA4804023</t>
  </si>
  <si>
    <t>Pivdennoukrainska</t>
  </si>
  <si>
    <t>UA4804025</t>
  </si>
  <si>
    <t>UA4806001</t>
  </si>
  <si>
    <t>Mykolaivskyi</t>
  </si>
  <si>
    <t>UA4806</t>
  </si>
  <si>
    <t>Vesnianska</t>
  </si>
  <si>
    <t>UA4806003</t>
  </si>
  <si>
    <t>UA4806005</t>
  </si>
  <si>
    <t>Halytsynivska</t>
  </si>
  <si>
    <t>UA4806007</t>
  </si>
  <si>
    <t>Koblivska</t>
  </si>
  <si>
    <t>UA4806009</t>
  </si>
  <si>
    <t>UA4806011</t>
  </si>
  <si>
    <t>Kutsurubska</t>
  </si>
  <si>
    <t>UA4806013</t>
  </si>
  <si>
    <t>UA4806015</t>
  </si>
  <si>
    <t>Mishkovo-Pohorilivska</t>
  </si>
  <si>
    <t>UA4806017</t>
  </si>
  <si>
    <t>Nechaianska</t>
  </si>
  <si>
    <t>UA4806019</t>
  </si>
  <si>
    <t>Novoodeska</t>
  </si>
  <si>
    <t>UA4806021</t>
  </si>
  <si>
    <t>Olshanska</t>
  </si>
  <si>
    <t>UA4806023</t>
  </si>
  <si>
    <t>Ochakivska</t>
  </si>
  <si>
    <t>UA4806025</t>
  </si>
  <si>
    <t>Pervomaiska</t>
  </si>
  <si>
    <t>UA4806027</t>
  </si>
  <si>
    <t>Radsadivska</t>
  </si>
  <si>
    <t>UA4806029</t>
  </si>
  <si>
    <t>Stepivska</t>
  </si>
  <si>
    <t>UA4806031</t>
  </si>
  <si>
    <t>Sukhoielanetska</t>
  </si>
  <si>
    <t>UA4806033</t>
  </si>
  <si>
    <t>Chornomorska</t>
  </si>
  <si>
    <t>UA4806035</t>
  </si>
  <si>
    <t>Shevchenkivska</t>
  </si>
  <si>
    <t>UA4806037</t>
  </si>
  <si>
    <t>Arbuzynska</t>
  </si>
  <si>
    <t>UA4808001</t>
  </si>
  <si>
    <t>Pervomaiskyi</t>
  </si>
  <si>
    <t>UA4808</t>
  </si>
  <si>
    <t>Blahodatnenska</t>
  </si>
  <si>
    <t>UA4808003</t>
  </si>
  <si>
    <t>Vradiivska</t>
  </si>
  <si>
    <t>UA4808005</t>
  </si>
  <si>
    <t>Kamianomostivska</t>
  </si>
  <si>
    <t>UA4808007</t>
  </si>
  <si>
    <t>Kryvoozerska</t>
  </si>
  <si>
    <t>UA4808009</t>
  </si>
  <si>
    <t>Myhiivska</t>
  </si>
  <si>
    <t>UA4808011</t>
  </si>
  <si>
    <t>UA4808013</t>
  </si>
  <si>
    <t>Syniukhynobridska</t>
  </si>
  <si>
    <t>UA4808015</t>
  </si>
  <si>
    <t>Chernivska</t>
  </si>
  <si>
    <t>UA5102001</t>
  </si>
  <si>
    <t>Berezivskyi</t>
  </si>
  <si>
    <t>UA5102</t>
  </si>
  <si>
    <t>UA5102003</t>
  </si>
  <si>
    <t>Velykobuialytska</t>
  </si>
  <si>
    <t>UA5102005</t>
  </si>
  <si>
    <t>UA5102007</t>
  </si>
  <si>
    <t>UA5102009</t>
  </si>
  <si>
    <t>Konoplianska</t>
  </si>
  <si>
    <t>UA5102011</t>
  </si>
  <si>
    <t>Kurisovska</t>
  </si>
  <si>
    <t>UA5102013</t>
  </si>
  <si>
    <t>UA5102015</t>
  </si>
  <si>
    <t>Novokalchevska</t>
  </si>
  <si>
    <t>UA5102017</t>
  </si>
  <si>
    <t>Petrovirivska</t>
  </si>
  <si>
    <t>UA5102019</t>
  </si>
  <si>
    <t>Raukhivska</t>
  </si>
  <si>
    <t>UA5102021</t>
  </si>
  <si>
    <t>Rozkvitivska</t>
  </si>
  <si>
    <t>UA5102023</t>
  </si>
  <si>
    <t>Staromaiakivska</t>
  </si>
  <si>
    <t>UA5102025</t>
  </si>
  <si>
    <t>Striukivska</t>
  </si>
  <si>
    <t>UA5102027</t>
  </si>
  <si>
    <t>Chohodarivska</t>
  </si>
  <si>
    <t>UA5102029</t>
  </si>
  <si>
    <t>Shyriaivska</t>
  </si>
  <si>
    <t>UA5102031</t>
  </si>
  <si>
    <t>Bilhorod-Dnistrovska</t>
  </si>
  <si>
    <t>UA5104001</t>
  </si>
  <si>
    <t>Bilhorod-Dnistrovskyi</t>
  </si>
  <si>
    <t>UA5104</t>
  </si>
  <si>
    <t>Dyviziiska</t>
  </si>
  <si>
    <t>UA5104003</t>
  </si>
  <si>
    <t>Karolino-Buhazka</t>
  </si>
  <si>
    <t>UA5104005</t>
  </si>
  <si>
    <t>Kulevchanska</t>
  </si>
  <si>
    <t>UA5104007</t>
  </si>
  <si>
    <t>UA5104009</t>
  </si>
  <si>
    <t>Marazliivska</t>
  </si>
  <si>
    <t>UA5104011</t>
  </si>
  <si>
    <t>Molohivska</t>
  </si>
  <si>
    <t>UA5104013</t>
  </si>
  <si>
    <t>UA5104015</t>
  </si>
  <si>
    <t>Plakhtiivska</t>
  </si>
  <si>
    <t>UA5104017</t>
  </si>
  <si>
    <t>Saratska</t>
  </si>
  <si>
    <t>UA5104019</t>
  </si>
  <si>
    <t>Serhiivska</t>
  </si>
  <si>
    <t>UA5104021</t>
  </si>
  <si>
    <t>Starokozatska</t>
  </si>
  <si>
    <t>UA5104023</t>
  </si>
  <si>
    <t>Tatarbunarska</t>
  </si>
  <si>
    <t>UA5104025</t>
  </si>
  <si>
    <t>Tuzlivska</t>
  </si>
  <si>
    <t>UA5104027</t>
  </si>
  <si>
    <t>Uspenivska</t>
  </si>
  <si>
    <t>UA5104029</t>
  </si>
  <si>
    <t>Shabivska</t>
  </si>
  <si>
    <t>UA5104031</t>
  </si>
  <si>
    <t>Artsyzka</t>
  </si>
  <si>
    <t>UA5106001</t>
  </si>
  <si>
    <t>Bolhradskyi</t>
  </si>
  <si>
    <t>UA5106</t>
  </si>
  <si>
    <t>Bolhradska</t>
  </si>
  <si>
    <t>UA5106003</t>
  </si>
  <si>
    <t>Budzhatska</t>
  </si>
  <si>
    <t>UA5106005</t>
  </si>
  <si>
    <t>UA5106007</t>
  </si>
  <si>
    <t>Horodnenska</t>
  </si>
  <si>
    <t>UA5106009</t>
  </si>
  <si>
    <t>Krynychnenska</t>
  </si>
  <si>
    <t>UA5106011</t>
  </si>
  <si>
    <t>Kubeiska</t>
  </si>
  <si>
    <t>UA5106013</t>
  </si>
  <si>
    <t>UA5106015</t>
  </si>
  <si>
    <t>Bessarabska</t>
  </si>
  <si>
    <t>UA5106017</t>
  </si>
  <si>
    <t>UA5106019</t>
  </si>
  <si>
    <t>Vylkivska</t>
  </si>
  <si>
    <t>UA5108001</t>
  </si>
  <si>
    <t>Izmailskyi</t>
  </si>
  <si>
    <t>UA5108</t>
  </si>
  <si>
    <t>Izmailska</t>
  </si>
  <si>
    <t>UA5108003</t>
  </si>
  <si>
    <t>Kiliiska</t>
  </si>
  <si>
    <t>UA5108005</t>
  </si>
  <si>
    <t>Reniiska</t>
  </si>
  <si>
    <t>UA5108007</t>
  </si>
  <si>
    <t>Safianivska</t>
  </si>
  <si>
    <t>UA5108009</t>
  </si>
  <si>
    <t>Katlabuzka</t>
  </si>
  <si>
    <t>UA5108011</t>
  </si>
  <si>
    <t>Avanhardivska</t>
  </si>
  <si>
    <t>UA5110001</t>
  </si>
  <si>
    <t>Odeskyi</t>
  </si>
  <si>
    <t>UA5110</t>
  </si>
  <si>
    <t>Biliaivska</t>
  </si>
  <si>
    <t>UA5110003</t>
  </si>
  <si>
    <t>Velykodalnytska</t>
  </si>
  <si>
    <t>UA5110005</t>
  </si>
  <si>
    <t>Velykodolynska</t>
  </si>
  <si>
    <t>UA5110007</t>
  </si>
  <si>
    <t>Vyhodianska</t>
  </si>
  <si>
    <t>UA5110009</t>
  </si>
  <si>
    <t>Vyzyrska</t>
  </si>
  <si>
    <t>UA5110011</t>
  </si>
  <si>
    <t>Dalnytska</t>
  </si>
  <si>
    <t>UA5110013</t>
  </si>
  <si>
    <t>Dachnenska</t>
  </si>
  <si>
    <t>UA5110015</t>
  </si>
  <si>
    <t>Dobroslavska</t>
  </si>
  <si>
    <t>UA5110017</t>
  </si>
  <si>
    <t>Krasnosilska</t>
  </si>
  <si>
    <t>UA5110019</t>
  </si>
  <si>
    <t>Maiakivska</t>
  </si>
  <si>
    <t>UA5110021</t>
  </si>
  <si>
    <t>Nerubaiska</t>
  </si>
  <si>
    <t>UA5110023</t>
  </si>
  <si>
    <t>Ovidiopolska</t>
  </si>
  <si>
    <t>UA5110025</t>
  </si>
  <si>
    <t>UA5110027</t>
  </si>
  <si>
    <t>Tairovska</t>
  </si>
  <si>
    <t>UA5110029</t>
  </si>
  <si>
    <t>Teplodarska</t>
  </si>
  <si>
    <t>UA5110031</t>
  </si>
  <si>
    <t>Usativska</t>
  </si>
  <si>
    <t>UA5110033</t>
  </si>
  <si>
    <t>Fontanska</t>
  </si>
  <si>
    <t>UA5110035</t>
  </si>
  <si>
    <t>UA5110037</t>
  </si>
  <si>
    <t>UA5110039</t>
  </si>
  <si>
    <t>Pivdennivska</t>
  </si>
  <si>
    <t>UA5110041</t>
  </si>
  <si>
    <t>Yaskivska</t>
  </si>
  <si>
    <t>UA5110043</t>
  </si>
  <si>
    <t>Ananivska</t>
  </si>
  <si>
    <t>UA5112001</t>
  </si>
  <si>
    <t>Podilskyi</t>
  </si>
  <si>
    <t>UA5112</t>
  </si>
  <si>
    <t>Baltska</t>
  </si>
  <si>
    <t>UA5112003</t>
  </si>
  <si>
    <t>UA5112005</t>
  </si>
  <si>
    <t>Zelenohirska</t>
  </si>
  <si>
    <t>UA5112007</t>
  </si>
  <si>
    <t>Kodymska</t>
  </si>
  <si>
    <t>UA5112009</t>
  </si>
  <si>
    <t>Kuialnytska</t>
  </si>
  <si>
    <t>UA5112011</t>
  </si>
  <si>
    <t>Liubashivska</t>
  </si>
  <si>
    <t>UA5112013</t>
  </si>
  <si>
    <t>Oknianska</t>
  </si>
  <si>
    <t>UA5112015</t>
  </si>
  <si>
    <t>UA5112017</t>
  </si>
  <si>
    <t>Podilska</t>
  </si>
  <si>
    <t>UA5112019</t>
  </si>
  <si>
    <t>Savranska</t>
  </si>
  <si>
    <t>UA5112021</t>
  </si>
  <si>
    <t>Slobidska</t>
  </si>
  <si>
    <t>UA5112023</t>
  </si>
  <si>
    <t>UA5114001</t>
  </si>
  <si>
    <t>Rozdilnianskyi</t>
  </si>
  <si>
    <t>UA5114</t>
  </si>
  <si>
    <t>Velykoploskivska</t>
  </si>
  <si>
    <t>UA5114003</t>
  </si>
  <si>
    <t>Zatyshanska</t>
  </si>
  <si>
    <t>UA5114005</t>
  </si>
  <si>
    <t>Zakharivska</t>
  </si>
  <si>
    <t>UA5114007</t>
  </si>
  <si>
    <t>UA5114009</t>
  </si>
  <si>
    <t>Novoborysivska</t>
  </si>
  <si>
    <t>UA5114011</t>
  </si>
  <si>
    <t>Rozdilnianska</t>
  </si>
  <si>
    <t>UA5114013</t>
  </si>
  <si>
    <t>Stepanivska</t>
  </si>
  <si>
    <t>UA5114015</t>
  </si>
  <si>
    <t>Tsebrykivska</t>
  </si>
  <si>
    <t>UA5114017</t>
  </si>
  <si>
    <t>Hlobynska</t>
  </si>
  <si>
    <t>UA5302001</t>
  </si>
  <si>
    <t>Kremenchutskyi</t>
  </si>
  <si>
    <t>UA5302</t>
  </si>
  <si>
    <t>Horishnoplavnivska</t>
  </si>
  <si>
    <t>UA5302003</t>
  </si>
  <si>
    <t>Hradyzka</t>
  </si>
  <si>
    <t>UA5302005</t>
  </si>
  <si>
    <t>Kamianopotokivska</t>
  </si>
  <si>
    <t>UA5302007</t>
  </si>
  <si>
    <t>Kozelshchynska</t>
  </si>
  <si>
    <t>UA5302009</t>
  </si>
  <si>
    <t>Kremenchutska</t>
  </si>
  <si>
    <t>UA5302011</t>
  </si>
  <si>
    <t>Novohaleshchynska</t>
  </si>
  <si>
    <t>UA5302013</t>
  </si>
  <si>
    <t>Obolonska</t>
  </si>
  <si>
    <t>UA5302015</t>
  </si>
  <si>
    <t>Omelnytska</t>
  </si>
  <si>
    <t>UA5302017</t>
  </si>
  <si>
    <t>UA5302019</t>
  </si>
  <si>
    <t>Pryshybska</t>
  </si>
  <si>
    <t>UA5302021</t>
  </si>
  <si>
    <t>UA5302023</t>
  </si>
  <si>
    <t>UA5304001</t>
  </si>
  <si>
    <t>Lubenskyi</t>
  </si>
  <si>
    <t>UA5304</t>
  </si>
  <si>
    <t>Lubenska</t>
  </si>
  <si>
    <t>UA5304003</t>
  </si>
  <si>
    <t>Novoorzhytska</t>
  </si>
  <si>
    <t>UA5304005</t>
  </si>
  <si>
    <t>Orzhytska</t>
  </si>
  <si>
    <t>UA5304007</t>
  </si>
  <si>
    <t>Pyriatynska</t>
  </si>
  <si>
    <t>UA5304009</t>
  </si>
  <si>
    <t>Khorolska</t>
  </si>
  <si>
    <t>UA5304011</t>
  </si>
  <si>
    <t>Chornukhynska</t>
  </si>
  <si>
    <t>UA5304013</t>
  </si>
  <si>
    <t>UA5306001</t>
  </si>
  <si>
    <t>Myrhorodskyi</t>
  </si>
  <si>
    <t>UA5306</t>
  </si>
  <si>
    <t>Velykobahachanska</t>
  </si>
  <si>
    <t>UA5306003</t>
  </si>
  <si>
    <t>Velykobudyshchanska</t>
  </si>
  <si>
    <t>UA5306005</t>
  </si>
  <si>
    <t>Velykosorochynska</t>
  </si>
  <si>
    <t>UA5306007</t>
  </si>
  <si>
    <t>Hadiatska</t>
  </si>
  <si>
    <t>UA5306009</t>
  </si>
  <si>
    <t>Hoholivska</t>
  </si>
  <si>
    <t>UA5306011</t>
  </si>
  <si>
    <t>Zavodska</t>
  </si>
  <si>
    <t>UA5306013</t>
  </si>
  <si>
    <t>Komyshnianska</t>
  </si>
  <si>
    <t>UA5306015</t>
  </si>
  <si>
    <t>Krasnolutska</t>
  </si>
  <si>
    <t>UA5306017</t>
  </si>
  <si>
    <t>Lokhvytska</t>
  </si>
  <si>
    <t>UA5306019</t>
  </si>
  <si>
    <t>Liutenska</t>
  </si>
  <si>
    <t>UA5306021</t>
  </si>
  <si>
    <t>Myrhorodska</t>
  </si>
  <si>
    <t>UA5306023</t>
  </si>
  <si>
    <t>Petrivsko-Romenska</t>
  </si>
  <si>
    <t>UA5306025</t>
  </si>
  <si>
    <t>Romodanivska</t>
  </si>
  <si>
    <t>UA5306027</t>
  </si>
  <si>
    <t>Senchanska</t>
  </si>
  <si>
    <t>UA5306029</t>
  </si>
  <si>
    <t>UA5306031</t>
  </si>
  <si>
    <t>Shyshatska</t>
  </si>
  <si>
    <t>UA5306033</t>
  </si>
  <si>
    <t>Bilytska</t>
  </si>
  <si>
    <t>UA5308001</t>
  </si>
  <si>
    <t>Poltavskyi</t>
  </si>
  <si>
    <t>UA5308</t>
  </si>
  <si>
    <t>Velykorublivska</t>
  </si>
  <si>
    <t>UA5308003</t>
  </si>
  <si>
    <t>Dykanska</t>
  </si>
  <si>
    <t>UA5308005</t>
  </si>
  <si>
    <t>Drabynivska</t>
  </si>
  <si>
    <t>UA5308007</t>
  </si>
  <si>
    <t>Zinkivska</t>
  </si>
  <si>
    <t>UA5308009</t>
  </si>
  <si>
    <t>Karlivska</t>
  </si>
  <si>
    <t>UA5308011</t>
  </si>
  <si>
    <t>Kobeliatska</t>
  </si>
  <si>
    <t>UA5308013</t>
  </si>
  <si>
    <t>Kolomatska</t>
  </si>
  <si>
    <t>UA5308015</t>
  </si>
  <si>
    <t>Kotelevska</t>
  </si>
  <si>
    <t>UA5308017</t>
  </si>
  <si>
    <t>Lannivska</t>
  </si>
  <si>
    <t>UA5308019</t>
  </si>
  <si>
    <t>Martynivska</t>
  </si>
  <si>
    <t>UA5308021</t>
  </si>
  <si>
    <t>Machukhivska</t>
  </si>
  <si>
    <t>UA5308023</t>
  </si>
  <si>
    <t>Mashivska</t>
  </si>
  <si>
    <t>UA5308025</t>
  </si>
  <si>
    <t>UA5308027</t>
  </si>
  <si>
    <t>Nekhvoroshchanska</t>
  </si>
  <si>
    <t>UA5308029</t>
  </si>
  <si>
    <t>Novosanzharska</t>
  </si>
  <si>
    <t>UA5308031</t>
  </si>
  <si>
    <t>Novoselivska</t>
  </si>
  <si>
    <t>UA5308033</t>
  </si>
  <si>
    <t>Opishnianska</t>
  </si>
  <si>
    <t>UA5308035</t>
  </si>
  <si>
    <t>UA5308037</t>
  </si>
  <si>
    <t>Reshetylivska</t>
  </si>
  <si>
    <t>UA5308039</t>
  </si>
  <si>
    <t>Skorokhodivska</t>
  </si>
  <si>
    <t>UA5308041</t>
  </si>
  <si>
    <t>Tereshkivska</t>
  </si>
  <si>
    <t>UA5308043</t>
  </si>
  <si>
    <t>Chutivska</t>
  </si>
  <si>
    <t>UA5308045</t>
  </si>
  <si>
    <t>Shcherbanivska</t>
  </si>
  <si>
    <t>UA5308047</t>
  </si>
  <si>
    <t>Antonivska</t>
  </si>
  <si>
    <t>UA5602001</t>
  </si>
  <si>
    <t>Varaskyi</t>
  </si>
  <si>
    <t>UA5602</t>
  </si>
  <si>
    <t>Varaska</t>
  </si>
  <si>
    <t>UA5602003</t>
  </si>
  <si>
    <t>Volodymyretska</t>
  </si>
  <si>
    <t>UA5602005</t>
  </si>
  <si>
    <t>Zarichnenska</t>
  </si>
  <si>
    <t>UA5602007</t>
  </si>
  <si>
    <t>Kanonytska</t>
  </si>
  <si>
    <t>UA5602009</t>
  </si>
  <si>
    <t>Loknytska</t>
  </si>
  <si>
    <t>UA5602011</t>
  </si>
  <si>
    <t>Polytska</t>
  </si>
  <si>
    <t>UA5602013</t>
  </si>
  <si>
    <t>Rafalivska</t>
  </si>
  <si>
    <t>UA5602015</t>
  </si>
  <si>
    <t>Bokiimivska</t>
  </si>
  <si>
    <t>UA5604001</t>
  </si>
  <si>
    <t>Dubenskyi</t>
  </si>
  <si>
    <t>UA5604</t>
  </si>
  <si>
    <t>Boremelska</t>
  </si>
  <si>
    <t>UA5604003</t>
  </si>
  <si>
    <t>Varkovytska</t>
  </si>
  <si>
    <t>UA5604005</t>
  </si>
  <si>
    <t>Verbska</t>
  </si>
  <si>
    <t>UA5604007</t>
  </si>
  <si>
    <t>Demydivska</t>
  </si>
  <si>
    <t>UA5604009</t>
  </si>
  <si>
    <t>Dubenska</t>
  </si>
  <si>
    <t>UA5604011</t>
  </si>
  <si>
    <t>UA5604013</t>
  </si>
  <si>
    <t>Krupetska</t>
  </si>
  <si>
    <t>UA5604015</t>
  </si>
  <si>
    <t>Myrohoshchanska</t>
  </si>
  <si>
    <t>UA5604017</t>
  </si>
  <si>
    <t>Mlynivska</t>
  </si>
  <si>
    <t>UA5604019</t>
  </si>
  <si>
    <t>Ostrozhetska</t>
  </si>
  <si>
    <t>UA5604021</t>
  </si>
  <si>
    <t>Pidloztsivska</t>
  </si>
  <si>
    <t>UA5604023</t>
  </si>
  <si>
    <t>Povchanska</t>
  </si>
  <si>
    <t>UA5604025</t>
  </si>
  <si>
    <t>UA5604027</t>
  </si>
  <si>
    <t>Radyvylivska</t>
  </si>
  <si>
    <t>UA5604029</t>
  </si>
  <si>
    <t>Semydubska</t>
  </si>
  <si>
    <t>UA5604031</t>
  </si>
  <si>
    <t>Smyzka</t>
  </si>
  <si>
    <t>UA5604033</t>
  </si>
  <si>
    <t>Tarakanivska</t>
  </si>
  <si>
    <t>UA5604035</t>
  </si>
  <si>
    <t>Yaroslavytska</t>
  </si>
  <si>
    <t>UA5604037</t>
  </si>
  <si>
    <t>Babynska</t>
  </si>
  <si>
    <t>UA5606001</t>
  </si>
  <si>
    <t>Rivnenskyi</t>
  </si>
  <si>
    <t>UA5606</t>
  </si>
  <si>
    <t>Bereznivska</t>
  </si>
  <si>
    <t>UA5606003</t>
  </si>
  <si>
    <t>Bilokrynytska</t>
  </si>
  <si>
    <t>UA5606005</t>
  </si>
  <si>
    <t>Buhrynska</t>
  </si>
  <si>
    <t>UA5606007</t>
  </si>
  <si>
    <t>Velykomezhyritska</t>
  </si>
  <si>
    <t>UA5606009</t>
  </si>
  <si>
    <t>Velykoomelianska</t>
  </si>
  <si>
    <t>UA5606011</t>
  </si>
  <si>
    <t>Holovynska</t>
  </si>
  <si>
    <t>UA5606013</t>
  </si>
  <si>
    <t>UA5606015</t>
  </si>
  <si>
    <t>Hoshchanska</t>
  </si>
  <si>
    <t>UA5606017</t>
  </si>
  <si>
    <t>Derazhnenska</t>
  </si>
  <si>
    <t>UA5606019</t>
  </si>
  <si>
    <t>Diadkovytska</t>
  </si>
  <si>
    <t>UA5606021</t>
  </si>
  <si>
    <t>Zdovbytska</t>
  </si>
  <si>
    <t>UA5606023</t>
  </si>
  <si>
    <t>Zdolbunivska</t>
  </si>
  <si>
    <t>UA5606025</t>
  </si>
  <si>
    <t>Zorianska</t>
  </si>
  <si>
    <t>UA5606027</t>
  </si>
  <si>
    <t>Klevanska</t>
  </si>
  <si>
    <t>UA5606029</t>
  </si>
  <si>
    <t>Koretska</t>
  </si>
  <si>
    <t>UA5606031</t>
  </si>
  <si>
    <t>UA5606033</t>
  </si>
  <si>
    <t>Kostopilska</t>
  </si>
  <si>
    <t>UA5606035</t>
  </si>
  <si>
    <t>UA5606037</t>
  </si>
  <si>
    <t>Maloliubashanska</t>
  </si>
  <si>
    <t>UA5606039</t>
  </si>
  <si>
    <t>Mizotska</t>
  </si>
  <si>
    <t>UA5606041</t>
  </si>
  <si>
    <t>UA5606043</t>
  </si>
  <si>
    <t>Ostrozka</t>
  </si>
  <si>
    <t>UA5606045</t>
  </si>
  <si>
    <t>UA5606047</t>
  </si>
  <si>
    <t>Sosnivska</t>
  </si>
  <si>
    <t>UA5606049</t>
  </si>
  <si>
    <t>Shpanivska</t>
  </si>
  <si>
    <t>UA5606051</t>
  </si>
  <si>
    <t>UA5608001</t>
  </si>
  <si>
    <t>Sarnenskyi</t>
  </si>
  <si>
    <t>UA5608</t>
  </si>
  <si>
    <t>Vyrivska</t>
  </si>
  <si>
    <t>UA5608003</t>
  </si>
  <si>
    <t>Vysotska</t>
  </si>
  <si>
    <t>UA5608005</t>
  </si>
  <si>
    <t>Dubrovytska</t>
  </si>
  <si>
    <t>UA5608007</t>
  </si>
  <si>
    <t>Klesivska</t>
  </si>
  <si>
    <t>UA5608009</t>
  </si>
  <si>
    <t>Myliatska</t>
  </si>
  <si>
    <t>UA5608011</t>
  </si>
  <si>
    <t>Nemovytska</t>
  </si>
  <si>
    <t>UA5608013</t>
  </si>
  <si>
    <t>Rokytnivska</t>
  </si>
  <si>
    <t>UA5608015</t>
  </si>
  <si>
    <t>Sarnenska</t>
  </si>
  <si>
    <t>UA5608017</t>
  </si>
  <si>
    <t>Starosilska</t>
  </si>
  <si>
    <t>UA5608019</t>
  </si>
  <si>
    <t>Stepanska</t>
  </si>
  <si>
    <t>UA5608021</t>
  </si>
  <si>
    <t>Bochechkivska</t>
  </si>
  <si>
    <t>UA5902001</t>
  </si>
  <si>
    <t>Konotopskyi</t>
  </si>
  <si>
    <t>UA5902</t>
  </si>
  <si>
    <t>Burynska</t>
  </si>
  <si>
    <t>UA5902003</t>
  </si>
  <si>
    <t>Duboviazivska</t>
  </si>
  <si>
    <t>UA5902005</t>
  </si>
  <si>
    <t>Konotopska</t>
  </si>
  <si>
    <t>UA5902007</t>
  </si>
  <si>
    <t>Krolevetska</t>
  </si>
  <si>
    <t>UA5902009</t>
  </si>
  <si>
    <t>Novoslobidska</t>
  </si>
  <si>
    <t>UA5902011</t>
  </si>
  <si>
    <t>0-20 km (without capital)</t>
  </si>
  <si>
    <t>Popivska</t>
  </si>
  <si>
    <t>UA5902013</t>
  </si>
  <si>
    <t>Putyvlska</t>
  </si>
  <si>
    <t>UA5902015</t>
  </si>
  <si>
    <t>Boromlianska</t>
  </si>
  <si>
    <t>UA5904001</t>
  </si>
  <si>
    <t>Okhtyrskyi</t>
  </si>
  <si>
    <t>UA5904</t>
  </si>
  <si>
    <t>Velykopysarivska</t>
  </si>
  <si>
    <t>UA5904003</t>
  </si>
  <si>
    <t>Hrunska</t>
  </si>
  <si>
    <t>UA5904005</t>
  </si>
  <si>
    <t>Kyrykivska</t>
  </si>
  <si>
    <t>UA5904007</t>
  </si>
  <si>
    <t>Komyshanska</t>
  </si>
  <si>
    <t>UA5904009</t>
  </si>
  <si>
    <t>Okhtyrska</t>
  </si>
  <si>
    <t>UA5904011</t>
  </si>
  <si>
    <t>UA5904013</t>
  </si>
  <si>
    <t>UA5904015</t>
  </si>
  <si>
    <t>Chupakhivska</t>
  </si>
  <si>
    <t>UA5904017</t>
  </si>
  <si>
    <t>Andriiashivska</t>
  </si>
  <si>
    <t>UA5906001</t>
  </si>
  <si>
    <t>Romenskyi</t>
  </si>
  <si>
    <t>UA5906</t>
  </si>
  <si>
    <t>UA5906003</t>
  </si>
  <si>
    <t>Korovynska</t>
  </si>
  <si>
    <t>UA5906005</t>
  </si>
  <si>
    <t>Lypovodolynska</t>
  </si>
  <si>
    <t>UA5906007</t>
  </si>
  <si>
    <t>Nedryhailivska</t>
  </si>
  <si>
    <t>UA5906009</t>
  </si>
  <si>
    <t>Romenska</t>
  </si>
  <si>
    <t>UA5906011</t>
  </si>
  <si>
    <t>Synivska</t>
  </si>
  <si>
    <t>UA5906013</t>
  </si>
  <si>
    <t>Khmelivska</t>
  </si>
  <si>
    <t>UA5906015</t>
  </si>
  <si>
    <t>Bezdrytska</t>
  </si>
  <si>
    <t>UA5908001</t>
  </si>
  <si>
    <t>Sumskyi</t>
  </si>
  <si>
    <t>UA5908</t>
  </si>
  <si>
    <t>Bilopilska</t>
  </si>
  <si>
    <t>UA5908003</t>
  </si>
  <si>
    <t>Verkhnosyrovatska</t>
  </si>
  <si>
    <t>UA5908005</t>
  </si>
  <si>
    <t>Vorozhbianska</t>
  </si>
  <si>
    <t>UA5908007</t>
  </si>
  <si>
    <t>UA5908009</t>
  </si>
  <si>
    <t>Lebedynska</t>
  </si>
  <si>
    <t>UA5908011</t>
  </si>
  <si>
    <t>UA5908013</t>
  </si>
  <si>
    <t>UA5908015</t>
  </si>
  <si>
    <t>UA5908017</t>
  </si>
  <si>
    <t>Nyzhnosyrovatska</t>
  </si>
  <si>
    <t>UA5908019</t>
  </si>
  <si>
    <t>Richkivska</t>
  </si>
  <si>
    <t>UA5908021</t>
  </si>
  <si>
    <t>Sadivska</t>
  </si>
  <si>
    <t>UA5908023</t>
  </si>
  <si>
    <t>UA5908025</t>
  </si>
  <si>
    <t>UA5908027</t>
  </si>
  <si>
    <t>Khotinska</t>
  </si>
  <si>
    <t>UA5908029</t>
  </si>
  <si>
    <t>Yunakivska</t>
  </si>
  <si>
    <t>UA5908031</t>
  </si>
  <si>
    <t>UA5910001</t>
  </si>
  <si>
    <t>Shostkynskyi</t>
  </si>
  <si>
    <t>UA5910</t>
  </si>
  <si>
    <t>Hlukhivska</t>
  </si>
  <si>
    <t>UA5910003</t>
  </si>
  <si>
    <t>Khutir-Mykhailivska</t>
  </si>
  <si>
    <t>UA5910005</t>
  </si>
  <si>
    <t>Esmanska</t>
  </si>
  <si>
    <t>UA5910007</t>
  </si>
  <si>
    <t>Znob-Novhorodska</t>
  </si>
  <si>
    <t>UA5910009</t>
  </si>
  <si>
    <t>Sveska</t>
  </si>
  <si>
    <t>UA5910011</t>
  </si>
  <si>
    <t>Seredyno-Budska</t>
  </si>
  <si>
    <t>UA5910013</t>
  </si>
  <si>
    <t>Shalyhynska</t>
  </si>
  <si>
    <t>UA5910015</t>
  </si>
  <si>
    <t>Shostkynska</t>
  </si>
  <si>
    <t>UA5910017</t>
  </si>
  <si>
    <t>UA5910019</t>
  </si>
  <si>
    <t>Borsukivska</t>
  </si>
  <si>
    <t>UA6102001</t>
  </si>
  <si>
    <t>Kremenetskyi</t>
  </si>
  <si>
    <t>UA6102</t>
  </si>
  <si>
    <t>Velykodederkalska</t>
  </si>
  <si>
    <t>UA6102003</t>
  </si>
  <si>
    <t>Vyshnivetska</t>
  </si>
  <si>
    <t>UA6102005</t>
  </si>
  <si>
    <t>Kremenetska</t>
  </si>
  <si>
    <t>UA6102007</t>
  </si>
  <si>
    <t>Lanovetska</t>
  </si>
  <si>
    <t>UA6102009</t>
  </si>
  <si>
    <t>Lopushnenska</t>
  </si>
  <si>
    <t>UA6102011</t>
  </si>
  <si>
    <t>Pochaivska</t>
  </si>
  <si>
    <t>UA6102013</t>
  </si>
  <si>
    <t>Shumska</t>
  </si>
  <si>
    <t>UA6102015</t>
  </si>
  <si>
    <t>Baikovetska</t>
  </si>
  <si>
    <t>UA6104001</t>
  </si>
  <si>
    <t>Ternopilskyi</t>
  </si>
  <si>
    <t>UA6104</t>
  </si>
  <si>
    <t>Berezhanska</t>
  </si>
  <si>
    <t>UA6104003</t>
  </si>
  <si>
    <t>Biletska</t>
  </si>
  <si>
    <t>UA6104005</t>
  </si>
  <si>
    <t>Velykoberezovytska</t>
  </si>
  <si>
    <t>UA6104007</t>
  </si>
  <si>
    <t>Velykobirkivska</t>
  </si>
  <si>
    <t>UA6104009</t>
  </si>
  <si>
    <t>Velykohaivska</t>
  </si>
  <si>
    <t>UA6104011</t>
  </si>
  <si>
    <t>Zalozetska</t>
  </si>
  <si>
    <t>UA6104013</t>
  </si>
  <si>
    <t>Zbarazka</t>
  </si>
  <si>
    <t>UA6104015</t>
  </si>
  <si>
    <t>Zborivska</t>
  </si>
  <si>
    <t>UA6104017</t>
  </si>
  <si>
    <t>Zolotnykivska</t>
  </si>
  <si>
    <t>UA6104019</t>
  </si>
  <si>
    <t>UA6104021</t>
  </si>
  <si>
    <t>UA6104023</t>
  </si>
  <si>
    <t>Kozlivska</t>
  </si>
  <si>
    <t>UA6104025</t>
  </si>
  <si>
    <t>Kupchynetska</t>
  </si>
  <si>
    <t>UA6104027</t>
  </si>
  <si>
    <t>Mykulynetska</t>
  </si>
  <si>
    <t>UA6104029</t>
  </si>
  <si>
    <t>Naraivska</t>
  </si>
  <si>
    <t>UA6104031</t>
  </si>
  <si>
    <t>Ozernianska</t>
  </si>
  <si>
    <t>UA6104033</t>
  </si>
  <si>
    <t>Pidvolochyska</t>
  </si>
  <si>
    <t>UA6104035</t>
  </si>
  <si>
    <t>Pidhaietska</t>
  </si>
  <si>
    <t>UA6104037</t>
  </si>
  <si>
    <t>UA6104039</t>
  </si>
  <si>
    <t>Saranchukivska</t>
  </si>
  <si>
    <t>UA6104041</t>
  </si>
  <si>
    <t>Skalatska</t>
  </si>
  <si>
    <t>UA6104043</t>
  </si>
  <si>
    <t>Skorykivska</t>
  </si>
  <si>
    <t>UA6104045</t>
  </si>
  <si>
    <t>Terebovlianska</t>
  </si>
  <si>
    <t>UA6104047</t>
  </si>
  <si>
    <t>UA6104049</t>
  </si>
  <si>
    <t>Bilobozhnytska</t>
  </si>
  <si>
    <t>UA6106001</t>
  </si>
  <si>
    <t>Chortkivskyi</t>
  </si>
  <si>
    <t>UA6106</t>
  </si>
  <si>
    <t>Bilche-Zolotetska</t>
  </si>
  <si>
    <t>UA6106003</t>
  </si>
  <si>
    <t>Borshchivska</t>
  </si>
  <si>
    <t>UA6106005</t>
  </si>
  <si>
    <t>Buchatska</t>
  </si>
  <si>
    <t>UA6106007</t>
  </si>
  <si>
    <t>Vasylkovetska</t>
  </si>
  <si>
    <t>UA6106009</t>
  </si>
  <si>
    <t>Hrymailivska</t>
  </si>
  <si>
    <t>UA6106011</t>
  </si>
  <si>
    <t>Husiatynska</t>
  </si>
  <si>
    <t>UA6106013</t>
  </si>
  <si>
    <t>UA6106015</t>
  </si>
  <si>
    <t>Zalishchytska</t>
  </si>
  <si>
    <t>UA6106017</t>
  </si>
  <si>
    <t>Zolotopotitska</t>
  </si>
  <si>
    <t>UA6106019</t>
  </si>
  <si>
    <t>Ivane-Pustenska</t>
  </si>
  <si>
    <t>UA6106021</t>
  </si>
  <si>
    <t>Kolyndianska</t>
  </si>
  <si>
    <t>UA6106023</t>
  </si>
  <si>
    <t>Kopychynetska</t>
  </si>
  <si>
    <t>UA6106025</t>
  </si>
  <si>
    <t>Koropetska</t>
  </si>
  <si>
    <t>UA6106027</t>
  </si>
  <si>
    <t>Melnytse-Podilska</t>
  </si>
  <si>
    <t>UA6106029</t>
  </si>
  <si>
    <t>Monastyryska</t>
  </si>
  <si>
    <t>UA6106031</t>
  </si>
  <si>
    <t>Nahirianska</t>
  </si>
  <si>
    <t>UA6106033</t>
  </si>
  <si>
    <t>Skala-Podilska</t>
  </si>
  <si>
    <t>UA6106035</t>
  </si>
  <si>
    <t>Tovstenska</t>
  </si>
  <si>
    <t>UA6106037</t>
  </si>
  <si>
    <t>Trybukhivska</t>
  </si>
  <si>
    <t>UA6106039</t>
  </si>
  <si>
    <t>Khorostkivska</t>
  </si>
  <si>
    <t>UA6106041</t>
  </si>
  <si>
    <t>Chortkivska</t>
  </si>
  <si>
    <t>UA6106043</t>
  </si>
  <si>
    <t>Bohodukhivska</t>
  </si>
  <si>
    <t>UA6302001</t>
  </si>
  <si>
    <t>Bohodukhivskyi</t>
  </si>
  <si>
    <t>UA6302</t>
  </si>
  <si>
    <t>Valkivska</t>
  </si>
  <si>
    <t>UA6302003</t>
  </si>
  <si>
    <t>UA6302005</t>
  </si>
  <si>
    <t>UA6302007</t>
  </si>
  <si>
    <t>Krasnokutska</t>
  </si>
  <si>
    <t>UA6302009</t>
  </si>
  <si>
    <t>Balakliiska</t>
  </si>
  <si>
    <t>UA6304001</t>
  </si>
  <si>
    <t>Iziumskyi</t>
  </si>
  <si>
    <t>UA6304</t>
  </si>
  <si>
    <t>Barvinkivska</t>
  </si>
  <si>
    <t>UA6304003</t>
  </si>
  <si>
    <t>Borivska</t>
  </si>
  <si>
    <t>UA6304005</t>
  </si>
  <si>
    <t>UA6304007</t>
  </si>
  <si>
    <t>Iziumska</t>
  </si>
  <si>
    <t>UA6304009</t>
  </si>
  <si>
    <t>Kunievska</t>
  </si>
  <si>
    <t>UA6304011</t>
  </si>
  <si>
    <t>Oskilska</t>
  </si>
  <si>
    <t>UA6304013</t>
  </si>
  <si>
    <t>Savynska</t>
  </si>
  <si>
    <t>UA6304015</t>
  </si>
  <si>
    <t>Zachepylivska</t>
  </si>
  <si>
    <t>UA6306001</t>
  </si>
  <si>
    <t>Berestynskyi</t>
  </si>
  <si>
    <t>UA6306</t>
  </si>
  <si>
    <t>Kehychivska</t>
  </si>
  <si>
    <t>UA6306003</t>
  </si>
  <si>
    <t>Berestynska</t>
  </si>
  <si>
    <t>UA6306005</t>
  </si>
  <si>
    <t>Natalynska</t>
  </si>
  <si>
    <t>UA6306007</t>
  </si>
  <si>
    <t>Sakhnovshchynska</t>
  </si>
  <si>
    <t>UA6306009</t>
  </si>
  <si>
    <t>Starovirivska</t>
  </si>
  <si>
    <t>UA6306011</t>
  </si>
  <si>
    <t>Velykoburlutska</t>
  </si>
  <si>
    <t>UA6308001</t>
  </si>
  <si>
    <t>Kupianskyi</t>
  </si>
  <si>
    <t>UA6308</t>
  </si>
  <si>
    <t>Vilkhuvatska</t>
  </si>
  <si>
    <t>UA6308003</t>
  </si>
  <si>
    <t>Dvorichanska</t>
  </si>
  <si>
    <t>UA6308005</t>
  </si>
  <si>
    <t>Kindrashivska</t>
  </si>
  <si>
    <t>UA6308007</t>
  </si>
  <si>
    <t>Kupianska</t>
  </si>
  <si>
    <t>UA6308009</t>
  </si>
  <si>
    <t>Kurylivska</t>
  </si>
  <si>
    <t>UA6308011</t>
  </si>
  <si>
    <t>UA6308013</t>
  </si>
  <si>
    <t>UA6308015</t>
  </si>
  <si>
    <t>UA6310001</t>
  </si>
  <si>
    <t>Lozivskyi</t>
  </si>
  <si>
    <t>UA6310</t>
  </si>
  <si>
    <t>Blyzniukivska</t>
  </si>
  <si>
    <t>UA6310003</t>
  </si>
  <si>
    <t>Lozivska</t>
  </si>
  <si>
    <t>UA6310005</t>
  </si>
  <si>
    <t>Oleksiivska</t>
  </si>
  <si>
    <t>UA6310007</t>
  </si>
  <si>
    <t>Zlatopilska</t>
  </si>
  <si>
    <t>UA6310009</t>
  </si>
  <si>
    <t>Bezliudivska</t>
  </si>
  <si>
    <t>UA6312001</t>
  </si>
  <si>
    <t>Kharkivskyi</t>
  </si>
  <si>
    <t>UA6312</t>
  </si>
  <si>
    <t>Vysochanska</t>
  </si>
  <si>
    <t>UA6312003</t>
  </si>
  <si>
    <t>Vilkhivska</t>
  </si>
  <si>
    <t>UA6312005</t>
  </si>
  <si>
    <t>Derhachivska</t>
  </si>
  <si>
    <t>UA6312007</t>
  </si>
  <si>
    <t>Lypetska</t>
  </si>
  <si>
    <t>UA6312009</t>
  </si>
  <si>
    <t>Liubotynska</t>
  </si>
  <si>
    <t>UA6312011</t>
  </si>
  <si>
    <t>Malodanylivska</t>
  </si>
  <si>
    <t>UA6312013</t>
  </si>
  <si>
    <t>Merefianska</t>
  </si>
  <si>
    <t>UA6312015</t>
  </si>
  <si>
    <t>Novovodolazka</t>
  </si>
  <si>
    <t>UA6312017</t>
  </si>
  <si>
    <t>Pivdenna</t>
  </si>
  <si>
    <t>UA6312019</t>
  </si>
  <si>
    <t>Pisochynska</t>
  </si>
  <si>
    <t>UA6312021</t>
  </si>
  <si>
    <t>Rohanska</t>
  </si>
  <si>
    <t>UA6312023</t>
  </si>
  <si>
    <t>Solonytsivska</t>
  </si>
  <si>
    <t>UA6312025</t>
  </si>
  <si>
    <t>UA6312027</t>
  </si>
  <si>
    <t>Tsyrkunivska</t>
  </si>
  <si>
    <t>UA6312029</t>
  </si>
  <si>
    <t>Vovchanska</t>
  </si>
  <si>
    <t>UA6314001</t>
  </si>
  <si>
    <t>Chuhuivskyi</t>
  </si>
  <si>
    <t>UA6314</t>
  </si>
  <si>
    <t>Zmiivska</t>
  </si>
  <si>
    <t>UA6314003</t>
  </si>
  <si>
    <t>UA6314005</t>
  </si>
  <si>
    <t>UA6314007</t>
  </si>
  <si>
    <t>Pechenizka</t>
  </si>
  <si>
    <t>UA6314009</t>
  </si>
  <si>
    <t>UA6314011</t>
  </si>
  <si>
    <t>Starosaltivska</t>
  </si>
  <si>
    <t>UA6314013</t>
  </si>
  <si>
    <t>Prolisnenska</t>
  </si>
  <si>
    <t>UA6314015</t>
  </si>
  <si>
    <t>Chuhuivska</t>
  </si>
  <si>
    <t>UA6314017</t>
  </si>
  <si>
    <t>Beryslavska</t>
  </si>
  <si>
    <t>UA6502001</t>
  </si>
  <si>
    <t>Beryslavskyi</t>
  </si>
  <si>
    <t>UA6502</t>
  </si>
  <si>
    <t>Borozenska</t>
  </si>
  <si>
    <t>UA6502003</t>
  </si>
  <si>
    <t>Velykooleksandrivska</t>
  </si>
  <si>
    <t>UA6502005</t>
  </si>
  <si>
    <t>Vysokopilska</t>
  </si>
  <si>
    <t>UA6502007</t>
  </si>
  <si>
    <t>UA6502009</t>
  </si>
  <si>
    <t>Kochubeivska</t>
  </si>
  <si>
    <t>UA6502011</t>
  </si>
  <si>
    <t>Mylivska</t>
  </si>
  <si>
    <t>UA6502013</t>
  </si>
  <si>
    <t>Novovorontsovska</t>
  </si>
  <si>
    <t>UA6502015</t>
  </si>
  <si>
    <t>UA6502017</t>
  </si>
  <si>
    <t>Novoraiska</t>
  </si>
  <si>
    <t>UA6502019</t>
  </si>
  <si>
    <t>Tiahynska</t>
  </si>
  <si>
    <t>UA6502021</t>
  </si>
  <si>
    <t>Henicheska</t>
  </si>
  <si>
    <t>UA6504001</t>
  </si>
  <si>
    <t>Henicheskyi</t>
  </si>
  <si>
    <t>UA6504</t>
  </si>
  <si>
    <t>UA6504003</t>
  </si>
  <si>
    <t>Nyzhnosirohozka</t>
  </si>
  <si>
    <t>UA6504005</t>
  </si>
  <si>
    <t>Novotroitska</t>
  </si>
  <si>
    <t>UA6504007</t>
  </si>
  <si>
    <t>Askaniia-Nova</t>
  </si>
  <si>
    <t>UA6506001</t>
  </si>
  <si>
    <t>Kakhovskyi</t>
  </si>
  <si>
    <t>UA6506</t>
  </si>
  <si>
    <t>Velykolepetyska</t>
  </si>
  <si>
    <t>UA6506003</t>
  </si>
  <si>
    <t>Verkhnorohachytska</t>
  </si>
  <si>
    <t>UA6506005</t>
  </si>
  <si>
    <t>Hornostaivska</t>
  </si>
  <si>
    <t>UA6506007</t>
  </si>
  <si>
    <t>Zelenopidska</t>
  </si>
  <si>
    <t>UA6506009</t>
  </si>
  <si>
    <t>Kakhovska</t>
  </si>
  <si>
    <t>UA6506011</t>
  </si>
  <si>
    <t>UA6506013</t>
  </si>
  <si>
    <t>UA6506015</t>
  </si>
  <si>
    <t>Novokakhovska</t>
  </si>
  <si>
    <t>UA6506017</t>
  </si>
  <si>
    <t>Prysyvaska</t>
  </si>
  <si>
    <t>UA6506019</t>
  </si>
  <si>
    <t>Rubanivska</t>
  </si>
  <si>
    <t>UA6506021</t>
  </si>
  <si>
    <t>Tavrychanska</t>
  </si>
  <si>
    <t>UA6506023</t>
  </si>
  <si>
    <t>UA6506025</t>
  </si>
  <si>
    <t>UA6506027</t>
  </si>
  <si>
    <t>Chaplynska</t>
  </si>
  <si>
    <t>UA6506029</t>
  </si>
  <si>
    <t>Bekhterska</t>
  </si>
  <si>
    <t>UA6508001</t>
  </si>
  <si>
    <t>Skadovskyi</t>
  </si>
  <si>
    <t>UA6508</t>
  </si>
  <si>
    <t>Holoprystanska</t>
  </si>
  <si>
    <t>UA6508003</t>
  </si>
  <si>
    <t>Dolmativska</t>
  </si>
  <si>
    <t>UA6508005</t>
  </si>
  <si>
    <t>Kalanchatska</t>
  </si>
  <si>
    <t>UA6508007</t>
  </si>
  <si>
    <t>Lazurnenska</t>
  </si>
  <si>
    <t>UA6508009</t>
  </si>
  <si>
    <t>UA6508011</t>
  </si>
  <si>
    <t>UA6508013</t>
  </si>
  <si>
    <t>Skadovska</t>
  </si>
  <si>
    <t>UA6508015</t>
  </si>
  <si>
    <t>Chulakivska</t>
  </si>
  <si>
    <t>UA6508017</t>
  </si>
  <si>
    <t>UA6510001</t>
  </si>
  <si>
    <t>Khersonskyi</t>
  </si>
  <si>
    <t>UA6510</t>
  </si>
  <si>
    <t>Velykokopanivska</t>
  </si>
  <si>
    <t>UA6510003</t>
  </si>
  <si>
    <t>UA6510005</t>
  </si>
  <si>
    <t>Darivska</t>
  </si>
  <si>
    <t>UA6510007</t>
  </si>
  <si>
    <t>Muzykivska</t>
  </si>
  <si>
    <t>UA6510009</t>
  </si>
  <si>
    <t>Oleshkivska</t>
  </si>
  <si>
    <t>UA6510011</t>
  </si>
  <si>
    <t>Stanislavska</t>
  </si>
  <si>
    <t>UA6510013</t>
  </si>
  <si>
    <t>UA6510015</t>
  </si>
  <si>
    <t>Chornobaivska</t>
  </si>
  <si>
    <t>UA6510017</t>
  </si>
  <si>
    <t>Yuvileina</t>
  </si>
  <si>
    <t>UA6510019</t>
  </si>
  <si>
    <t>Hukivska</t>
  </si>
  <si>
    <t>UA6802001</t>
  </si>
  <si>
    <t>Kamianets-Podilskyi</t>
  </si>
  <si>
    <t>UA6802</t>
  </si>
  <si>
    <t>Humenetska</t>
  </si>
  <si>
    <t>UA6802003</t>
  </si>
  <si>
    <t>Dunaievetska</t>
  </si>
  <si>
    <t>UA6802005</t>
  </si>
  <si>
    <t>Zhvanetska</t>
  </si>
  <si>
    <t>UA6802007</t>
  </si>
  <si>
    <t>Zakupnenska</t>
  </si>
  <si>
    <t>UA6802009</t>
  </si>
  <si>
    <t>Kamianets-Podilska</t>
  </si>
  <si>
    <t>UA6802011</t>
  </si>
  <si>
    <t>UA6802013</t>
  </si>
  <si>
    <t>Makivska</t>
  </si>
  <si>
    <t>UA6802015</t>
  </si>
  <si>
    <t>Novodunaievetska</t>
  </si>
  <si>
    <t>UA6802017</t>
  </si>
  <si>
    <t>Novoushytska</t>
  </si>
  <si>
    <t>UA6802019</t>
  </si>
  <si>
    <t>Orynynska</t>
  </si>
  <si>
    <t>UA6802021</t>
  </si>
  <si>
    <t>Slobidsko-Kulchiievetska</t>
  </si>
  <si>
    <t>UA6802023</t>
  </si>
  <si>
    <t>Smotrytska</t>
  </si>
  <si>
    <t>UA6802025</t>
  </si>
  <si>
    <t>Staroushytska</t>
  </si>
  <si>
    <t>UA6802027</t>
  </si>
  <si>
    <t>Chemerovetska</t>
  </si>
  <si>
    <t>UA6802029</t>
  </si>
  <si>
    <t>Antoninska</t>
  </si>
  <si>
    <t>UA6804001</t>
  </si>
  <si>
    <t>Khmelnytskyi</t>
  </si>
  <si>
    <t>UA6804</t>
  </si>
  <si>
    <t>Viitovetska</t>
  </si>
  <si>
    <t>UA6804003</t>
  </si>
  <si>
    <t>Vinkovetska</t>
  </si>
  <si>
    <t>UA6804005</t>
  </si>
  <si>
    <t>Vovkovynetska</t>
  </si>
  <si>
    <t>UA6804007</t>
  </si>
  <si>
    <t>Volochyska</t>
  </si>
  <si>
    <t>UA6804009</t>
  </si>
  <si>
    <t>Hvardiiska</t>
  </si>
  <si>
    <t>UA6804011</t>
  </si>
  <si>
    <t>UA6804013</t>
  </si>
  <si>
    <t>Derazhnianska</t>
  </si>
  <si>
    <t>UA6804015</t>
  </si>
  <si>
    <t>Zasluchnenska</t>
  </si>
  <si>
    <t>UA6804017</t>
  </si>
  <si>
    <t>UA6804019</t>
  </si>
  <si>
    <t>Krasylivska</t>
  </si>
  <si>
    <t>UA6804021</t>
  </si>
  <si>
    <t>Letychivska</t>
  </si>
  <si>
    <t>UA6804023</t>
  </si>
  <si>
    <t>Lisovohrynivetska</t>
  </si>
  <si>
    <t>UA6804025</t>
  </si>
  <si>
    <t>Medzhybizka</t>
  </si>
  <si>
    <t>UA6804027</t>
  </si>
  <si>
    <t>Myroliubnenska</t>
  </si>
  <si>
    <t>UA6804029</t>
  </si>
  <si>
    <t>Narkevytska</t>
  </si>
  <si>
    <t>UA6804031</t>
  </si>
  <si>
    <t>Rozsoshanska</t>
  </si>
  <si>
    <t>UA6804033</t>
  </si>
  <si>
    <t>Satanivska</t>
  </si>
  <si>
    <t>UA6804035</t>
  </si>
  <si>
    <t>Solobkovetska</t>
  </si>
  <si>
    <t>UA6804037</t>
  </si>
  <si>
    <t>Starokostiantynivska</t>
  </si>
  <si>
    <t>UA6804039</t>
  </si>
  <si>
    <t>Staroostropilska</t>
  </si>
  <si>
    <t>UA6804041</t>
  </si>
  <si>
    <t>Starosyniavska</t>
  </si>
  <si>
    <t>UA6804043</t>
  </si>
  <si>
    <t>Teofipolska</t>
  </si>
  <si>
    <t>UA6804045</t>
  </si>
  <si>
    <t>UA6804047</t>
  </si>
  <si>
    <t>Chornoostrivska</t>
  </si>
  <si>
    <t>UA6804049</t>
  </si>
  <si>
    <t>Shchyborivska</t>
  </si>
  <si>
    <t>UA6804051</t>
  </si>
  <si>
    <t>Yarmolynetska</t>
  </si>
  <si>
    <t>UA6804053</t>
  </si>
  <si>
    <t>Berezdivska</t>
  </si>
  <si>
    <t>UA6806001</t>
  </si>
  <si>
    <t>Shepetivskyi</t>
  </si>
  <si>
    <t>UA6806</t>
  </si>
  <si>
    <t>Bilohirska</t>
  </si>
  <si>
    <t>UA6806003</t>
  </si>
  <si>
    <t>Hannopilska</t>
  </si>
  <si>
    <t>UA6806005</t>
  </si>
  <si>
    <t>Hrytsivska</t>
  </si>
  <si>
    <t>UA6806007</t>
  </si>
  <si>
    <t>Iziaslavska</t>
  </si>
  <si>
    <t>UA6806009</t>
  </si>
  <si>
    <t>UA6806011</t>
  </si>
  <si>
    <t>Lenkovetska</t>
  </si>
  <si>
    <t>UA6806013</t>
  </si>
  <si>
    <t>Mykhailiutska</t>
  </si>
  <si>
    <t>UA6806015</t>
  </si>
  <si>
    <t>Netishynska</t>
  </si>
  <si>
    <t>UA6806017</t>
  </si>
  <si>
    <t>Pluzhnenska</t>
  </si>
  <si>
    <t>UA6806019</t>
  </si>
  <si>
    <t>Polonska</t>
  </si>
  <si>
    <t>UA6806021</t>
  </si>
  <si>
    <t>Poninkivska</t>
  </si>
  <si>
    <t>UA6806023</t>
  </si>
  <si>
    <t>Sakhnovetska</t>
  </si>
  <si>
    <t>UA6806025</t>
  </si>
  <si>
    <t>Slavutska</t>
  </si>
  <si>
    <t>UA6806027</t>
  </si>
  <si>
    <t>Sudylkivska</t>
  </si>
  <si>
    <t>UA6806029</t>
  </si>
  <si>
    <t>Ulashanivska</t>
  </si>
  <si>
    <t>UA6806031</t>
  </si>
  <si>
    <t>Shepetivska</t>
  </si>
  <si>
    <t>UA6806033</t>
  </si>
  <si>
    <t>UA6806035</t>
  </si>
  <si>
    <t>Buzhanska</t>
  </si>
  <si>
    <t>UA7102001</t>
  </si>
  <si>
    <t>Zvenyhorodskyi</t>
  </si>
  <si>
    <t>UA7102</t>
  </si>
  <si>
    <t>Bahachevska</t>
  </si>
  <si>
    <t>UA7102003</t>
  </si>
  <si>
    <t>Vynohradska</t>
  </si>
  <si>
    <t>UA7102005</t>
  </si>
  <si>
    <t>UA7102007</t>
  </si>
  <si>
    <t>Vodianytska</t>
  </si>
  <si>
    <t>UA7102009</t>
  </si>
  <si>
    <t>Yerkivska</t>
  </si>
  <si>
    <t>UA7102011</t>
  </si>
  <si>
    <t>Zvenyhorodska</t>
  </si>
  <si>
    <t>UA7102013</t>
  </si>
  <si>
    <t>Kalynopilska</t>
  </si>
  <si>
    <t>UA7102015</t>
  </si>
  <si>
    <t>Lypianska</t>
  </si>
  <si>
    <t>UA7102017</t>
  </si>
  <si>
    <t>Lysianska</t>
  </si>
  <si>
    <t>UA7102019</t>
  </si>
  <si>
    <t>Matusivska</t>
  </si>
  <si>
    <t>UA7102021</t>
  </si>
  <si>
    <t>Mokrokalyhirska</t>
  </si>
  <si>
    <t>UA7102023</t>
  </si>
  <si>
    <t>Selyshchenska</t>
  </si>
  <si>
    <t>UA7102025</t>
  </si>
  <si>
    <t>Steblivska</t>
  </si>
  <si>
    <t>UA7102027</t>
  </si>
  <si>
    <t>Talnivska</t>
  </si>
  <si>
    <t>UA7102029</t>
  </si>
  <si>
    <t>UA7102031</t>
  </si>
  <si>
    <t>Shpolianska</t>
  </si>
  <si>
    <t>UA7102033</t>
  </si>
  <si>
    <t>Velykokhutirska</t>
  </si>
  <si>
    <t>UA7104001</t>
  </si>
  <si>
    <t>Zolotoniskyi</t>
  </si>
  <si>
    <t>UA7104</t>
  </si>
  <si>
    <t>UA7104003</t>
  </si>
  <si>
    <t>Helmiazivska</t>
  </si>
  <si>
    <t>UA7104005</t>
  </si>
  <si>
    <t>Drabivska</t>
  </si>
  <si>
    <t>UA7104007</t>
  </si>
  <si>
    <t>Zolotoniska</t>
  </si>
  <si>
    <t>UA7104009</t>
  </si>
  <si>
    <t>Zorivska</t>
  </si>
  <si>
    <t>UA7104011</t>
  </si>
  <si>
    <t>Irkliivska</t>
  </si>
  <si>
    <t>UA7104013</t>
  </si>
  <si>
    <t>Novodmytrivska</t>
  </si>
  <si>
    <t>UA7104015</t>
  </si>
  <si>
    <t>UA7104017</t>
  </si>
  <si>
    <t>UA7104019</t>
  </si>
  <si>
    <t>Shramkivska</t>
  </si>
  <si>
    <t>UA7104021</t>
  </si>
  <si>
    <t>Babanska</t>
  </si>
  <si>
    <t>UA7106001</t>
  </si>
  <si>
    <t>Umanskyi</t>
  </si>
  <si>
    <t>UA7106</t>
  </si>
  <si>
    <t>Bashtechkivska</t>
  </si>
  <si>
    <t>UA7106003</t>
  </si>
  <si>
    <t>Butska</t>
  </si>
  <si>
    <t>UA7106005</t>
  </si>
  <si>
    <t>Dmytrushkivska</t>
  </si>
  <si>
    <t>UA7106007</t>
  </si>
  <si>
    <t>Zhashkivska</t>
  </si>
  <si>
    <t>UA7106009</t>
  </si>
  <si>
    <t>UA7106011</t>
  </si>
  <si>
    <t>UA7106013</t>
  </si>
  <si>
    <t>Mankivska</t>
  </si>
  <si>
    <t>UA7106015</t>
  </si>
  <si>
    <t>Monastyryshchenska</t>
  </si>
  <si>
    <t>UA7106017</t>
  </si>
  <si>
    <t>Palanska</t>
  </si>
  <si>
    <t>UA7106019</t>
  </si>
  <si>
    <t>Umanska</t>
  </si>
  <si>
    <t>UA7106021</t>
  </si>
  <si>
    <t>Khrystynivska</t>
  </si>
  <si>
    <t>UA7106023</t>
  </si>
  <si>
    <t>Balakleivska</t>
  </si>
  <si>
    <t>UA7108001</t>
  </si>
  <si>
    <t>Cherkaskyi</t>
  </si>
  <si>
    <t>UA7108</t>
  </si>
  <si>
    <t>Berezniakivska</t>
  </si>
  <si>
    <t>UA7108003</t>
  </si>
  <si>
    <t>Bilozirska</t>
  </si>
  <si>
    <t>UA7108005</t>
  </si>
  <si>
    <t>Bobrytska</t>
  </si>
  <si>
    <t>UA7108007</t>
  </si>
  <si>
    <t>Budyshchenska</t>
  </si>
  <si>
    <t>UA7108009</t>
  </si>
  <si>
    <t>UA7108011</t>
  </si>
  <si>
    <t>UA7108013</t>
  </si>
  <si>
    <t>Kanivska</t>
  </si>
  <si>
    <t>UA7108015</t>
  </si>
  <si>
    <t>Korsun-Shevchenkivska</t>
  </si>
  <si>
    <t>UA7108017</t>
  </si>
  <si>
    <t>Leskivska</t>
  </si>
  <si>
    <t>UA7108019</t>
  </si>
  <si>
    <t>Lipliavska</t>
  </si>
  <si>
    <t>UA7108021</t>
  </si>
  <si>
    <t>Medvedivska</t>
  </si>
  <si>
    <t>UA7108023</t>
  </si>
  <si>
    <t>UA7108025</t>
  </si>
  <si>
    <t>Mliivska</t>
  </si>
  <si>
    <t>UA7108027</t>
  </si>
  <si>
    <t>Moshnivska</t>
  </si>
  <si>
    <t>UA7108029</t>
  </si>
  <si>
    <t>Nabutivska</t>
  </si>
  <si>
    <t>UA7108031</t>
  </si>
  <si>
    <t>Rotmistrivska</t>
  </si>
  <si>
    <t>UA7108033</t>
  </si>
  <si>
    <t>Ruskopolianska</t>
  </si>
  <si>
    <t>UA7108035</t>
  </si>
  <si>
    <t>Sahunivska</t>
  </si>
  <si>
    <t>UA7108037</t>
  </si>
  <si>
    <t>Smilianska</t>
  </si>
  <si>
    <t>UA7108039</t>
  </si>
  <si>
    <t>Stepanetska</t>
  </si>
  <si>
    <t>UA7108041</t>
  </si>
  <si>
    <t>Stepankivska</t>
  </si>
  <si>
    <t>UA7108043</t>
  </si>
  <si>
    <t>UA7108045</t>
  </si>
  <si>
    <t>UA7108047</t>
  </si>
  <si>
    <t>UA7108049</t>
  </si>
  <si>
    <t>Chyhyrynska</t>
  </si>
  <si>
    <t>UA7108051</t>
  </si>
  <si>
    <t>Banylivska</t>
  </si>
  <si>
    <t>UA7302001</t>
  </si>
  <si>
    <t>Vyzhnytskyi</t>
  </si>
  <si>
    <t>UA7302</t>
  </si>
  <si>
    <t>Berehometska</t>
  </si>
  <si>
    <t>UA7302003</t>
  </si>
  <si>
    <t>Brusnytska</t>
  </si>
  <si>
    <t>UA7302005</t>
  </si>
  <si>
    <t>Vashkivetska</t>
  </si>
  <si>
    <t>UA7302007</t>
  </si>
  <si>
    <t>Vyzhnytska</t>
  </si>
  <si>
    <t>UA7302009</t>
  </si>
  <si>
    <t>Koniatynska</t>
  </si>
  <si>
    <t>UA7302011</t>
  </si>
  <si>
    <t>Putylska</t>
  </si>
  <si>
    <t>UA7302013</t>
  </si>
  <si>
    <t>Seliatynska</t>
  </si>
  <si>
    <t>UA7302015</t>
  </si>
  <si>
    <t>Ust-Putylska</t>
  </si>
  <si>
    <t>UA7302017</t>
  </si>
  <si>
    <t>Vashkovetska</t>
  </si>
  <si>
    <t>UA7304001</t>
  </si>
  <si>
    <t>Dnistrovskyi</t>
  </si>
  <si>
    <t>UA7304</t>
  </si>
  <si>
    <t>Kelmenetska</t>
  </si>
  <si>
    <t>UA7304003</t>
  </si>
  <si>
    <t>Klishkovetska</t>
  </si>
  <si>
    <t>UA7304005</t>
  </si>
  <si>
    <t>Livynetska</t>
  </si>
  <si>
    <t>UA7304007</t>
  </si>
  <si>
    <t>Mamalyhivska</t>
  </si>
  <si>
    <t>UA7304009</t>
  </si>
  <si>
    <t>Nedoboivska</t>
  </si>
  <si>
    <t>UA7304011</t>
  </si>
  <si>
    <t>Novodnistrovska</t>
  </si>
  <si>
    <t>UA7304013</t>
  </si>
  <si>
    <t>Rukshynska</t>
  </si>
  <si>
    <t>UA7304015</t>
  </si>
  <si>
    <t>Sokyrianska</t>
  </si>
  <si>
    <t>UA7304017</t>
  </si>
  <si>
    <t>Khotynska</t>
  </si>
  <si>
    <t>UA7304019</t>
  </si>
  <si>
    <t>Boianska</t>
  </si>
  <si>
    <t>UA7306001</t>
  </si>
  <si>
    <t>Chernivetskyi</t>
  </si>
  <si>
    <t>UA7306</t>
  </si>
  <si>
    <t>Vanchykovetska</t>
  </si>
  <si>
    <t>UA7306003</t>
  </si>
  <si>
    <t>Velykokuchurivska</t>
  </si>
  <si>
    <t>UA7306005</t>
  </si>
  <si>
    <t>Verenchanska</t>
  </si>
  <si>
    <t>UA7306007</t>
  </si>
  <si>
    <t>Viknianska</t>
  </si>
  <si>
    <t>UA7306009</t>
  </si>
  <si>
    <t>Volokivska</t>
  </si>
  <si>
    <t>UA7306011</t>
  </si>
  <si>
    <t>Hertsaivska</t>
  </si>
  <si>
    <t>UA7306013</t>
  </si>
  <si>
    <t>Hlybotska</t>
  </si>
  <si>
    <t>UA7306015</t>
  </si>
  <si>
    <t>Horishnosherovetska</t>
  </si>
  <si>
    <t>UA7306017</t>
  </si>
  <si>
    <t>Zastavnivska</t>
  </si>
  <si>
    <t>UA7306019</t>
  </si>
  <si>
    <t>Kadubovetska</t>
  </si>
  <si>
    <t>UA7306021</t>
  </si>
  <si>
    <t>UA7306023</t>
  </si>
  <si>
    <t>UA7306025</t>
  </si>
  <si>
    <t>Karapchivska</t>
  </si>
  <si>
    <t>UA7306027</t>
  </si>
  <si>
    <t>Kitsmanska</t>
  </si>
  <si>
    <t>UA7306029</t>
  </si>
  <si>
    <t>Kostryzhivska</t>
  </si>
  <si>
    <t>UA7306031</t>
  </si>
  <si>
    <t>Krasnoilska</t>
  </si>
  <si>
    <t>UA7306033</t>
  </si>
  <si>
    <t>Mahalska</t>
  </si>
  <si>
    <t>UA7306035</t>
  </si>
  <si>
    <t>Mamaivska</t>
  </si>
  <si>
    <t>UA7306037</t>
  </si>
  <si>
    <t>Nepolokovetska</t>
  </si>
  <si>
    <t>UA7306039</t>
  </si>
  <si>
    <t>Novoselytska</t>
  </si>
  <si>
    <t>UA7306041</t>
  </si>
  <si>
    <t>Ostrytska</t>
  </si>
  <si>
    <t>UA7306043</t>
  </si>
  <si>
    <t>Petrovetska</t>
  </si>
  <si>
    <t>UA7306045</t>
  </si>
  <si>
    <t>Stavchanska</t>
  </si>
  <si>
    <t>UA7306047</t>
  </si>
  <si>
    <t>Storozhynetska</t>
  </si>
  <si>
    <t>UA7306049</t>
  </si>
  <si>
    <t>Suchevenska</t>
  </si>
  <si>
    <t>UA7306051</t>
  </si>
  <si>
    <t>Tarashanska</t>
  </si>
  <si>
    <t>UA7306053</t>
  </si>
  <si>
    <t>Tereblechenska</t>
  </si>
  <si>
    <t>UA7306055</t>
  </si>
  <si>
    <t>Toporivska</t>
  </si>
  <si>
    <t>UA7306057</t>
  </si>
  <si>
    <t>Chahorska</t>
  </si>
  <si>
    <t>UA7306059</t>
  </si>
  <si>
    <t>UA7306061</t>
  </si>
  <si>
    <t>Chudeiska</t>
  </si>
  <si>
    <t>UA7306063</t>
  </si>
  <si>
    <t>Yurkovetska</t>
  </si>
  <si>
    <t>UA7306065</t>
  </si>
  <si>
    <t>Koriukivska</t>
  </si>
  <si>
    <t>UA7402001</t>
  </si>
  <si>
    <t>Koriukivskyi</t>
  </si>
  <si>
    <t>UA7402</t>
  </si>
  <si>
    <t>Menska</t>
  </si>
  <si>
    <t>UA7402003</t>
  </si>
  <si>
    <t>Snovska</t>
  </si>
  <si>
    <t>UA7402005</t>
  </si>
  <si>
    <t>Sosnytska</t>
  </si>
  <si>
    <t>UA7402007</t>
  </si>
  <si>
    <t>Kholmynska</t>
  </si>
  <si>
    <t>UA7402009</t>
  </si>
  <si>
    <t>Baturynska</t>
  </si>
  <si>
    <t>UA7404001</t>
  </si>
  <si>
    <t>Nizhynskyi</t>
  </si>
  <si>
    <t>UA7404</t>
  </si>
  <si>
    <t>Bakhmatska</t>
  </si>
  <si>
    <t>UA7404003</t>
  </si>
  <si>
    <t>Bobrovytska</t>
  </si>
  <si>
    <t>UA7404005</t>
  </si>
  <si>
    <t>Borznianska</t>
  </si>
  <si>
    <t>UA7404007</t>
  </si>
  <si>
    <t>Vertiivska</t>
  </si>
  <si>
    <t>UA7404009</t>
  </si>
  <si>
    <t>UA7404011</t>
  </si>
  <si>
    <t>UA7404013</t>
  </si>
  <si>
    <t>Komarivska</t>
  </si>
  <si>
    <t>UA7404015</t>
  </si>
  <si>
    <t>Krutivska</t>
  </si>
  <si>
    <t>UA7404017</t>
  </si>
  <si>
    <t>Losynivska</t>
  </si>
  <si>
    <t>UA7404019</t>
  </si>
  <si>
    <t>UA7404021</t>
  </si>
  <si>
    <t>Mrynska</t>
  </si>
  <si>
    <t>UA7404023</t>
  </si>
  <si>
    <t>Nizhynska</t>
  </si>
  <si>
    <t>UA7404025</t>
  </si>
  <si>
    <t>Novobasanska</t>
  </si>
  <si>
    <t>UA7404027</t>
  </si>
  <si>
    <t>Nosivska</t>
  </si>
  <si>
    <t>UA7404029</t>
  </si>
  <si>
    <t>Plyskivska</t>
  </si>
  <si>
    <t>UA7404031</t>
  </si>
  <si>
    <t>Talalaivska</t>
  </si>
  <si>
    <t>UA7404033</t>
  </si>
  <si>
    <t>Koropska</t>
  </si>
  <si>
    <t>UA7406001</t>
  </si>
  <si>
    <t>Novhorod-Siverskyi</t>
  </si>
  <si>
    <t>UA7406</t>
  </si>
  <si>
    <t>Novhorod-Siverska</t>
  </si>
  <si>
    <t>UA7406003</t>
  </si>
  <si>
    <t>Ponornytska</t>
  </si>
  <si>
    <t>UA7406005</t>
  </si>
  <si>
    <t>UA7406007</t>
  </si>
  <si>
    <t>Varvynska</t>
  </si>
  <si>
    <t>UA7408001</t>
  </si>
  <si>
    <t>Prylutskyi</t>
  </si>
  <si>
    <t>UA7408</t>
  </si>
  <si>
    <t>Ichnianska</t>
  </si>
  <si>
    <t>UA7408003</t>
  </si>
  <si>
    <t>Ladanska</t>
  </si>
  <si>
    <t>UA7408005</t>
  </si>
  <si>
    <t>Lynovytska</t>
  </si>
  <si>
    <t>UA7408007</t>
  </si>
  <si>
    <t>Malodivytska</t>
  </si>
  <si>
    <t>UA7408009</t>
  </si>
  <si>
    <t>Parafiivska</t>
  </si>
  <si>
    <t>UA7408011</t>
  </si>
  <si>
    <t>Prylutska</t>
  </si>
  <si>
    <t>UA7408013</t>
  </si>
  <si>
    <t>Sribnianska</t>
  </si>
  <si>
    <t>UA7408015</t>
  </si>
  <si>
    <t>Sukhopolovianska</t>
  </si>
  <si>
    <t>UA7408017</t>
  </si>
  <si>
    <t>UA7408019</t>
  </si>
  <si>
    <t>UA7408021</t>
  </si>
  <si>
    <t>Bereznianska</t>
  </si>
  <si>
    <t>UA7410001</t>
  </si>
  <si>
    <t>Chernihivskyi</t>
  </si>
  <si>
    <t>UA7410</t>
  </si>
  <si>
    <t>Honcharivska</t>
  </si>
  <si>
    <t>UA7410003</t>
  </si>
  <si>
    <t>Horodnianska</t>
  </si>
  <si>
    <t>UA7410005</t>
  </si>
  <si>
    <t>Desnianska</t>
  </si>
  <si>
    <t>UA7410007</t>
  </si>
  <si>
    <t>Dobrianska</t>
  </si>
  <si>
    <t>UA7410009</t>
  </si>
  <si>
    <t>UA7410011</t>
  </si>
  <si>
    <t>Kyinska</t>
  </si>
  <si>
    <t>UA7410013</t>
  </si>
  <si>
    <t>Kyselivska</t>
  </si>
  <si>
    <t>UA7410015</t>
  </si>
  <si>
    <t>Kiptivska</t>
  </si>
  <si>
    <t>UA7410017</t>
  </si>
  <si>
    <t>Kozeletska</t>
  </si>
  <si>
    <t>UA7410019</t>
  </si>
  <si>
    <t>UA7410021</t>
  </si>
  <si>
    <t>Liubetska</t>
  </si>
  <si>
    <t>UA7410023</t>
  </si>
  <si>
    <t>Mykhailo-Kotsiubynska</t>
  </si>
  <si>
    <t>UA7410025</t>
  </si>
  <si>
    <t>Novobilouska</t>
  </si>
  <si>
    <t>UA7410027</t>
  </si>
  <si>
    <t>Olyshivska</t>
  </si>
  <si>
    <t>UA7410029</t>
  </si>
  <si>
    <t>Osterska</t>
  </si>
  <si>
    <t>UA7410031</t>
  </si>
  <si>
    <t>Ripkynska</t>
  </si>
  <si>
    <t>UA7410033</t>
  </si>
  <si>
    <t>Sednivska</t>
  </si>
  <si>
    <t>UA7410035</t>
  </si>
  <si>
    <t>Tupychivska</t>
  </si>
  <si>
    <t>UA7410037</t>
  </si>
  <si>
    <t>UA7410039</t>
  </si>
  <si>
    <t>UA8000000</t>
  </si>
  <si>
    <t>UA8000</t>
  </si>
  <si>
    <t>SP4 IDPs</t>
  </si>
  <si>
    <t>SP1 IDPs</t>
  </si>
  <si>
    <t>Population Group</t>
  </si>
  <si>
    <t>SP1 Non-Displaced</t>
  </si>
  <si>
    <t>SP2 IDPs</t>
  </si>
  <si>
    <t>SP3 IDPs</t>
  </si>
  <si>
    <t>SP3 Non-Displaced</t>
  </si>
  <si>
    <t>SP4 Non-Displaced</t>
  </si>
  <si>
    <t>SP1_CP102_IK</t>
  </si>
  <si>
    <t>SP1_CP107_IK</t>
  </si>
  <si>
    <t>SP1_CP112_IK</t>
  </si>
  <si>
    <t>SP1_CP114_IK</t>
  </si>
  <si>
    <t>SP1_CP124_IK</t>
  </si>
  <si>
    <t>SP1_CP126_IK</t>
  </si>
  <si>
    <t>SP1_CP127_IK</t>
  </si>
  <si>
    <t>SP1_CP128_CV</t>
  </si>
  <si>
    <t>SP1_CP129_IK</t>
  </si>
  <si>
    <t>SP1_CP142_IK</t>
  </si>
  <si>
    <t>SP1_CP233_IK</t>
  </si>
  <si>
    <t>SP1_CP251_IK</t>
  </si>
  <si>
    <t>SP1_CP257_IK</t>
  </si>
  <si>
    <t>SP1_CW101_CV</t>
  </si>
  <si>
    <t>SP1_CW205_CV</t>
  </si>
  <si>
    <t>SP1_ED101_IK</t>
  </si>
  <si>
    <t>SP1_ED102_IK</t>
  </si>
  <si>
    <t>SP1_ED203_IK</t>
  </si>
  <si>
    <t>SP1_FS101_IK</t>
  </si>
  <si>
    <t>SP1_FS102_CV</t>
  </si>
  <si>
    <t>SP1_FS104_IK</t>
  </si>
  <si>
    <t>SP1_GB101_CV</t>
  </si>
  <si>
    <t>SP1_GB103_IK</t>
  </si>
  <si>
    <t>SP1_GB104_IK</t>
  </si>
  <si>
    <t>SP1_GB108_IK</t>
  </si>
  <si>
    <t>SP1_GB109_IK</t>
  </si>
  <si>
    <t>SP1_GB111_IK</t>
  </si>
  <si>
    <t>SP1_GB112_IK</t>
  </si>
  <si>
    <t>SP1_GB113_IK</t>
  </si>
  <si>
    <t>SP1_GB210_IK</t>
  </si>
  <si>
    <t>SP1_HE101_IK</t>
  </si>
  <si>
    <t>SP1_HE102_CV</t>
  </si>
  <si>
    <t>SP1_HE103_IK</t>
  </si>
  <si>
    <t>SP1_HE104_IK</t>
  </si>
  <si>
    <t>SP1_HE105_IK</t>
  </si>
  <si>
    <t>SP1_HE206_IK</t>
  </si>
  <si>
    <t>SP1_PR111_IK</t>
  </si>
  <si>
    <t>SP1_PR112_IK</t>
  </si>
  <si>
    <t>SP1_PR113_CV</t>
  </si>
  <si>
    <t>SP1_PR114_IK</t>
  </si>
  <si>
    <t>SP1_PR115_IK</t>
  </si>
  <si>
    <t>SP1_PR116_IK</t>
  </si>
  <si>
    <t>SP1_PR118_IK</t>
  </si>
  <si>
    <t>SP1_PR119_IK</t>
  </si>
  <si>
    <t>SP1_PR124_IK</t>
  </si>
  <si>
    <t>SP1_PR126_IK</t>
  </si>
  <si>
    <t>SP1_PR222_IK</t>
  </si>
  <si>
    <t>SP1_SN101_IK</t>
  </si>
  <si>
    <t>SP1_SN102_IK</t>
  </si>
  <si>
    <t>SP1_SN103_IK</t>
  </si>
  <si>
    <t>SP1_SN104_CV</t>
  </si>
  <si>
    <t>SP1_SN104_IK</t>
  </si>
  <si>
    <t>SP1_SN105_CV</t>
  </si>
  <si>
    <t>SP1_SN105_IK</t>
  </si>
  <si>
    <t>SP1_SN106_CV</t>
  </si>
  <si>
    <t>SP1_SN106_IK</t>
  </si>
  <si>
    <t>SP1_SN207_IK</t>
  </si>
  <si>
    <t>SP1_SN208_CV</t>
  </si>
  <si>
    <t>SP1_SN209_CV</t>
  </si>
  <si>
    <t>SP1_SN209_IK</t>
  </si>
  <si>
    <t>SP1_WA101_IK</t>
  </si>
  <si>
    <t>SP1_WA102_CV</t>
  </si>
  <si>
    <t>SP1_WA102_IK</t>
  </si>
  <si>
    <t>SP1_WA203_IK</t>
  </si>
  <si>
    <t>SP1_WA204_IK</t>
  </si>
  <si>
    <t>SP1_WA205_IK</t>
  </si>
  <si>
    <t>SP2_CP102_IK</t>
  </si>
  <si>
    <t>SP2_CP107_IK</t>
  </si>
  <si>
    <t>SP2_CP112_IK</t>
  </si>
  <si>
    <t>SP2_CP114_IK</t>
  </si>
  <si>
    <t>SP2_CP124_IK</t>
  </si>
  <si>
    <t>SP2_CP126_IK</t>
  </si>
  <si>
    <t>SP2_CP127_IK</t>
  </si>
  <si>
    <t>SP2_CP128_CV</t>
  </si>
  <si>
    <t>SP2_CP129_IK</t>
  </si>
  <si>
    <t>SP2_CP142_IK</t>
  </si>
  <si>
    <t>SP2_CP201_CV</t>
  </si>
  <si>
    <t>SP2_CP201_IK</t>
  </si>
  <si>
    <t>SP2_CP257_IK</t>
  </si>
  <si>
    <t>SP2_CW102_CV</t>
  </si>
  <si>
    <t>SP2_ED203_IK</t>
  </si>
  <si>
    <t>SP2_FS103_IK</t>
  </si>
  <si>
    <t>SP2_FS105_IK</t>
  </si>
  <si>
    <t>SP2_GB101_CV</t>
  </si>
  <si>
    <t>SP2_GB102_IK</t>
  </si>
  <si>
    <t>SP2_GB103_IK</t>
  </si>
  <si>
    <t>SP2_GB104_IK</t>
  </si>
  <si>
    <t>SP2_GB108_IK</t>
  </si>
  <si>
    <t>SP2_GB109_IK</t>
  </si>
  <si>
    <t>SP2_GB111_IK</t>
  </si>
  <si>
    <t>SP2_GB112_IK</t>
  </si>
  <si>
    <t>SP2_GB113_IK</t>
  </si>
  <si>
    <t>SP2_GB205_IK</t>
  </si>
  <si>
    <t>SP2_GB206_IK</t>
  </si>
  <si>
    <t>SP2_GB210_IK</t>
  </si>
  <si>
    <t>SP2_HE101_IK</t>
  </si>
  <si>
    <t>SP2_HE103_IK</t>
  </si>
  <si>
    <t>SP2_HE206_IK</t>
  </si>
  <si>
    <t>SP2_LI105_CV</t>
  </si>
  <si>
    <t>SP2_LI206_CV</t>
  </si>
  <si>
    <t>SP2_PR111_IK</t>
  </si>
  <si>
    <t>SP2_PR112_IK</t>
  </si>
  <si>
    <t>SP2_PR113_CV</t>
  </si>
  <si>
    <t>SP2_PR114_IK</t>
  </si>
  <si>
    <t>SP2_PR115_IK</t>
  </si>
  <si>
    <t>SP2_PR116_IK</t>
  </si>
  <si>
    <t>SP2_PR118_IK</t>
  </si>
  <si>
    <t>SP2_PR119_IK</t>
  </si>
  <si>
    <t>SP2_PR121_IK</t>
  </si>
  <si>
    <t>SP2_PR124_IK</t>
  </si>
  <si>
    <t>SP2_PR126_IK</t>
  </si>
  <si>
    <t>SP2_PR222_IK</t>
  </si>
  <si>
    <t>SP2_PR225_IK</t>
  </si>
  <si>
    <t>SP2_SN101_IK</t>
  </si>
  <si>
    <t>SP2_SN102_IK</t>
  </si>
  <si>
    <t>SP2_SN104_CV</t>
  </si>
  <si>
    <t>SP2_SN104_IK</t>
  </si>
  <si>
    <t>SP2_SN105_CV</t>
  </si>
  <si>
    <t>SP2_SN105_IK</t>
  </si>
  <si>
    <t>SP2_SN106_CV</t>
  </si>
  <si>
    <t>SP2_SN106_IK</t>
  </si>
  <si>
    <t>SP2_SN108_CV</t>
  </si>
  <si>
    <t>SP2_SN109_CV</t>
  </si>
  <si>
    <t>SP2_SN109_IK</t>
  </si>
  <si>
    <t>SP2_SN203_IK</t>
  </si>
  <si>
    <t>SP2_SN207_IK</t>
  </si>
  <si>
    <t>SP2_WA102_IK</t>
  </si>
  <si>
    <t>SP2_WA204_IK</t>
  </si>
  <si>
    <t>SP3_CP102_CV</t>
  </si>
  <si>
    <t>SP3_CP102_IK</t>
  </si>
  <si>
    <t>SP3_CP112_IK</t>
  </si>
  <si>
    <t>SP3_CP114_IK</t>
  </si>
  <si>
    <t>SP3_CP124_CV</t>
  </si>
  <si>
    <t>SP3_CP124_IK</t>
  </si>
  <si>
    <t>SP3_CP126_IK</t>
  </si>
  <si>
    <t>SP3_CP127_IK</t>
  </si>
  <si>
    <t>SP3_CP142_IK</t>
  </si>
  <si>
    <t>SP3_CP157_IK</t>
  </si>
  <si>
    <t>SP3_CP229_IK</t>
  </si>
  <si>
    <t>SP3_CW103_CV</t>
  </si>
  <si>
    <t>SP3_ED101_IK</t>
  </si>
  <si>
    <t>SP3_ED102_IK</t>
  </si>
  <si>
    <t>SP3_ED203_IK</t>
  </si>
  <si>
    <t>SP3_FS103_IK</t>
  </si>
  <si>
    <t>SP3_FS105_IK</t>
  </si>
  <si>
    <t>SP3_GB101_CV</t>
  </si>
  <si>
    <t>SP3_GB103_IK</t>
  </si>
  <si>
    <t>SP3_GB104_IK</t>
  </si>
  <si>
    <t>SP3_GB108_IK</t>
  </si>
  <si>
    <t>SP3_GB109_IK</t>
  </si>
  <si>
    <t>SP3_GB111_IK</t>
  </si>
  <si>
    <t>SP3_GB112_IK</t>
  </si>
  <si>
    <t>SP3_GB210_IK</t>
  </si>
  <si>
    <t>SP3_HE101_IK</t>
  </si>
  <si>
    <t>SP3_HE103_IK</t>
  </si>
  <si>
    <t>SP3_HE104_IK</t>
  </si>
  <si>
    <t>SP3_HE105_IK</t>
  </si>
  <si>
    <t>SP3_HE206_IK</t>
  </si>
  <si>
    <t>SP3_LI206_CV</t>
  </si>
  <si>
    <t>SP3_PR111_IK</t>
  </si>
  <si>
    <t>SP3_PR112_IK</t>
  </si>
  <si>
    <t>SP3_PR113_CV</t>
  </si>
  <si>
    <t>SP3_PR114_IK</t>
  </si>
  <si>
    <t>SP3_PR115_IK</t>
  </si>
  <si>
    <t>SP3_PR116_IK</t>
  </si>
  <si>
    <t>SP3_PR118_IK</t>
  </si>
  <si>
    <t>SP3_PR119_IK</t>
  </si>
  <si>
    <t>SP3_PR124_IK</t>
  </si>
  <si>
    <t>SP3_PR126_IK</t>
  </si>
  <si>
    <t>SP3_SN101_IK</t>
  </si>
  <si>
    <t>SP3_SN102_IK</t>
  </si>
  <si>
    <t>SP3_SN103_IK</t>
  </si>
  <si>
    <t>SP3_SN104_CV</t>
  </si>
  <si>
    <t>SP3_SN104_IK</t>
  </si>
  <si>
    <t>SP3_SN105_CV</t>
  </si>
  <si>
    <t>SP3_SN105_IK</t>
  </si>
  <si>
    <t>SP3_SN107_IK</t>
  </si>
  <si>
    <t>SP3_SN108_CV</t>
  </si>
  <si>
    <t>SP3_WA101_IK</t>
  </si>
  <si>
    <t>SP3_WA102_IK</t>
  </si>
  <si>
    <t>SP3_WA203_IK</t>
  </si>
  <si>
    <t>SP3_WA204_IK</t>
  </si>
  <si>
    <t>SP3_WA205_IK</t>
  </si>
  <si>
    <t>SP4_CP102_IK</t>
  </si>
  <si>
    <t>SP4_CP107_IK</t>
  </si>
  <si>
    <t>SP4_CP112_IK</t>
  </si>
  <si>
    <t>SP4_CP124_IK</t>
  </si>
  <si>
    <t>SP4_CP126_IK</t>
  </si>
  <si>
    <t>SP4_CP127_IK</t>
  </si>
  <si>
    <t>SP4_CP128_CV</t>
  </si>
  <si>
    <t>SP4_CP129_IK</t>
  </si>
  <si>
    <t>SP4_CP142_IK</t>
  </si>
  <si>
    <t>SP4_CP157_IK</t>
  </si>
  <si>
    <t>SP4_CP251_IK</t>
  </si>
  <si>
    <t>SP4_CW104_CV</t>
  </si>
  <si>
    <t>SP4_ED101_IK</t>
  </si>
  <si>
    <t>SP4_ED203_IK</t>
  </si>
  <si>
    <t>SP4_FS101_IK</t>
  </si>
  <si>
    <t>SP4_FS102_CV</t>
  </si>
  <si>
    <t>SP4_GB101_CV</t>
  </si>
  <si>
    <t>SP4_GB102_IK</t>
  </si>
  <si>
    <t>SP4_GB103_IK</t>
  </si>
  <si>
    <t>SP4_GB104_IK</t>
  </si>
  <si>
    <t>SP4_GB108_IK</t>
  </si>
  <si>
    <t>SP4_GB109_IK</t>
  </si>
  <si>
    <t>SP4_GB111_IK</t>
  </si>
  <si>
    <t>SP4_GB112_IK</t>
  </si>
  <si>
    <t>SP4_GB113_IK</t>
  </si>
  <si>
    <t>SP4_GB205_IK</t>
  </si>
  <si>
    <t>SP4_GB206_IK</t>
  </si>
  <si>
    <t>SP4_GB207_IK</t>
  </si>
  <si>
    <t>SP4_GB210_IK</t>
  </si>
  <si>
    <t>SP4_HE101_IK</t>
  </si>
  <si>
    <t>SP4_HE102_CV</t>
  </si>
  <si>
    <t>SP4_HE104_IK</t>
  </si>
  <si>
    <t>SP4_LI206_CV</t>
  </si>
  <si>
    <t>SP4_LI207_CV</t>
  </si>
  <si>
    <t>SP4_LI207_IK</t>
  </si>
  <si>
    <t>SP4_LI208_CV</t>
  </si>
  <si>
    <t>SP4_LI208_IK</t>
  </si>
  <si>
    <t>SP4_LI209_CV</t>
  </si>
  <si>
    <t>SP4_LI209_IK</t>
  </si>
  <si>
    <t>SP4_PR111_IK</t>
  </si>
  <si>
    <t>SP4_PR112_IK</t>
  </si>
  <si>
    <t>SP4_PR113_CV</t>
  </si>
  <si>
    <t>SP4_PR114_IK</t>
  </si>
  <si>
    <t>SP4_PR115_IK</t>
  </si>
  <si>
    <t>SP4_PR116_IK</t>
  </si>
  <si>
    <t>SP4_PR118_IK</t>
  </si>
  <si>
    <t>SP4_PR119_IK</t>
  </si>
  <si>
    <t>SP4_PR121_IK</t>
  </si>
  <si>
    <t>SP4_PR122_IK</t>
  </si>
  <si>
    <t>SP4_PR124_IK</t>
  </si>
  <si>
    <t>SP4_PR126_IK</t>
  </si>
  <si>
    <t>SP4_PR225_IK</t>
  </si>
  <si>
    <t>SP4_SN101_IK</t>
  </si>
  <si>
    <t>SP4_SN102_IK</t>
  </si>
  <si>
    <t>SP4_SN104_CV</t>
  </si>
  <si>
    <t>SP4_SN104_IK</t>
  </si>
  <si>
    <t>SP4_SN105_CV</t>
  </si>
  <si>
    <t>SP4_SN105_IK</t>
  </si>
  <si>
    <t>SP4_SN106_CV</t>
  </si>
  <si>
    <t>SP4_SN106_IK</t>
  </si>
  <si>
    <t>SP4_SN107_IK</t>
  </si>
  <si>
    <t>SP4_SN109_CV</t>
  </si>
  <si>
    <t>SP4_SN109_IK</t>
  </si>
  <si>
    <t>SP4_SN208_CV</t>
  </si>
  <si>
    <t>SP4_WA102_IK</t>
  </si>
  <si>
    <t>SP4_WA204_IK</t>
  </si>
  <si>
    <t>ActFullCode</t>
  </si>
  <si>
    <t>Joint</t>
  </si>
  <si>
    <t># Prioritized Target (Individuals)</t>
  </si>
  <si>
    <t>sp4_overall_targetPr_ed</t>
  </si>
  <si>
    <t>sp4_overall_targetPr_fs</t>
  </si>
  <si>
    <t>sp4_overall_targetPr_he</t>
  </si>
  <si>
    <t>sp4_overall_targetPr_pr</t>
  </si>
  <si>
    <t>sp4_overall_targetPr_sn</t>
  </si>
  <si>
    <t>sp4_overall_targetPr_wa</t>
  </si>
  <si>
    <t>sp4_overall_targetPr_gp</t>
  </si>
  <si>
    <t>sp4_overall_targetPr_cp</t>
  </si>
  <si>
    <t>sp4_overall_targetPr_gb</t>
  </si>
  <si>
    <t>sp4_overall_targetPr_li</t>
  </si>
  <si>
    <t>sp4_overall_targetPr_joint</t>
  </si>
  <si>
    <t># Prioritized Target (Total)</t>
  </si>
  <si>
    <t># Prioritized Target (IDP)</t>
  </si>
  <si>
    <t>sp4_ndp_targetPr_ed</t>
  </si>
  <si>
    <t>sp4_ndp_targetPr_fs</t>
  </si>
  <si>
    <t>sp4_ndp_targetPr_he</t>
  </si>
  <si>
    <t>sp4_ndp_targetPr_pr</t>
  </si>
  <si>
    <t>sp4_ndp_targetPr_sn</t>
  </si>
  <si>
    <t>sp4_ndp_targetPr_wa</t>
  </si>
  <si>
    <t>sp4_ndp_targetPr_gp</t>
  </si>
  <si>
    <t>sp4_ndp_targetPr_cp</t>
  </si>
  <si>
    <t>sp4_ndp_targetPr_gb</t>
  </si>
  <si>
    <t>sp4_ndp_targetPr_li</t>
  </si>
  <si>
    <t>sp4_ndp_targetPr_joint</t>
  </si>
  <si>
    <t>sp4_idp_targetPr_ed</t>
  </si>
  <si>
    <t>sp4_idp_targetPr_fs</t>
  </si>
  <si>
    <t>sp4_idp_targetPr_he</t>
  </si>
  <si>
    <t>sp4_idp_targetPr_pr</t>
  </si>
  <si>
    <t>sp4_idp_targetPr_sn</t>
  </si>
  <si>
    <t>sp4_idp_targetPr_wa</t>
  </si>
  <si>
    <t>sp4_idp_targetPr_gp</t>
  </si>
  <si>
    <t>sp4_idp_targetPr_cp</t>
  </si>
  <si>
    <t>sp4_idp_targetPr_gb</t>
  </si>
  <si>
    <t>sp4_idp_targetPr_li</t>
  </si>
  <si>
    <t>sp4_idp_targetPr_joint</t>
  </si>
  <si>
    <t>sp3_overall_targetPr_ed</t>
  </si>
  <si>
    <t>sp3_overall_targetPr_fs</t>
  </si>
  <si>
    <t>sp3_overall_targetPr_he</t>
  </si>
  <si>
    <t>sp3_overall_targetPr_pr</t>
  </si>
  <si>
    <t>sp3_overall_targetPr_sn</t>
  </si>
  <si>
    <t>sp3_overall_targetPr_wa</t>
  </si>
  <si>
    <t>sp3_overall_targetPr_gp</t>
  </si>
  <si>
    <t>sp3_overall_targetPr_cp</t>
  </si>
  <si>
    <t>sp3_overall_targetPr_gb</t>
  </si>
  <si>
    <t>sp3_overall_targetPr_li</t>
  </si>
  <si>
    <t>sp3_overall_targetPr_joint</t>
  </si>
  <si>
    <t>sp2_idp_targetPr_ed</t>
  </si>
  <si>
    <t>sp2_idp_targetPr_fs</t>
  </si>
  <si>
    <t>sp2_idp_targetPr_he</t>
  </si>
  <si>
    <t>sp2_idp_targetPr_pr</t>
  </si>
  <si>
    <t>sp2_idp_targetPr_sn</t>
  </si>
  <si>
    <t>sp2_idp_targetPr_wa</t>
  </si>
  <si>
    <t>sp2_idp_targetPr_gp</t>
  </si>
  <si>
    <t>sp2_idp_targetPr_cp</t>
  </si>
  <si>
    <t>sp2_idp_targetPr_gb</t>
  </si>
  <si>
    <t>sp2_idp_targetPr_li</t>
  </si>
  <si>
    <t>sp2_idp_targetPr_joint</t>
  </si>
  <si>
    <t>sp1_overall_targetPr_ed</t>
  </si>
  <si>
    <t>sp1_overall_targetPr_fs</t>
  </si>
  <si>
    <t>sp1_overall_targetPr_he</t>
  </si>
  <si>
    <t>sp1_overall_targetPr_pr</t>
  </si>
  <si>
    <t>sp1_overall_targetPr_sn</t>
  </si>
  <si>
    <t>sp1_overall_targetPr_wa</t>
  </si>
  <si>
    <t>sp1_overall_targetPr_gp</t>
  </si>
  <si>
    <t>sp1_overall_targetPr_cp</t>
  </si>
  <si>
    <t>sp1_overall_targetPr_gb</t>
  </si>
  <si>
    <t>sp1_overall_targetPr_li</t>
  </si>
  <si>
    <t>sp1_overall_targetPr_joint</t>
  </si>
  <si>
    <t>sp1_ndp_targetPr_ed</t>
  </si>
  <si>
    <t>sp1_ndp_targetPr_fs</t>
  </si>
  <si>
    <t>sp1_ndp_targetPr_he</t>
  </si>
  <si>
    <t>sp1_ndp_targetPr_pr</t>
  </si>
  <si>
    <t>sp1_ndp_targetPr_sn</t>
  </si>
  <si>
    <t>sp1_ndp_targetPr_wa</t>
  </si>
  <si>
    <t>sp1_ndp_targetPr_gp</t>
  </si>
  <si>
    <t>sp1_ndp_targetPr_cp</t>
  </si>
  <si>
    <t>sp1_ndp_targetPr_gb</t>
  </si>
  <si>
    <t>sp1_ndp_targetPr_li</t>
  </si>
  <si>
    <t>sp1_ndp_targetPr_joint</t>
  </si>
  <si>
    <t>sp1_idp_targetPr_ed</t>
  </si>
  <si>
    <t>sp1_idp_targetPr_fs</t>
  </si>
  <si>
    <t>sp1_idp_targetPr_he</t>
  </si>
  <si>
    <t>sp1_idp_targetPr_pr</t>
  </si>
  <si>
    <t>sp1_idp_targetPr_sn</t>
  </si>
  <si>
    <t>sp1_idp_targetPr_wa</t>
  </si>
  <si>
    <t>sp1_idp_targetPr_gp</t>
  </si>
  <si>
    <t>sp1_idp_targetPr_cp</t>
  </si>
  <si>
    <t>sp1_idp_targetPr_gb</t>
  </si>
  <si>
    <t>sp1_idp_targetPr_li</t>
  </si>
  <si>
    <t>sp1_idp_targetPr_joint</t>
  </si>
  <si>
    <t>idp_targetPr_sp1_joint</t>
  </si>
  <si>
    <t>idp_targetPr_sp2_joint</t>
  </si>
  <si>
    <t>idp_targetPr_sp3_joint</t>
  </si>
  <si>
    <t>idp_targetPr_sp4_joint</t>
  </si>
  <si>
    <t>idp_targetPr_total_joint</t>
  </si>
  <si>
    <t>ndp_targetPr_sp1_joint</t>
  </si>
  <si>
    <t>ndp_targetPr_sp2_joint</t>
  </si>
  <si>
    <t>ndp_targetPr_sp3_joint</t>
  </si>
  <si>
    <t>ndp_targetPr_sp4_joint</t>
  </si>
  <si>
    <t>ndp_targetPr_total_joint</t>
  </si>
  <si>
    <t>overall_targetPr_sp1_joint</t>
  </si>
  <si>
    <t>overall_targetPr_sp2_joint</t>
  </si>
  <si>
    <t>overall_targetPr_sp3_joint</t>
  </si>
  <si>
    <t>overall_targetPr_sp4_joint</t>
  </si>
  <si>
    <t>overall_targetPr_total_joint</t>
  </si>
  <si>
    <t>spAll_idp_targetPr_ed</t>
  </si>
  <si>
    <t>spAll_idp_targetPr_fs</t>
  </si>
  <si>
    <t>spAll_idp_targetPr_he</t>
  </si>
  <si>
    <t>spAll_idp_targetPr_pr</t>
  </si>
  <si>
    <t>spAll_idp_targetPr_sn</t>
  </si>
  <si>
    <t>spAll_idp_targetPr_wa</t>
  </si>
  <si>
    <t>spAll_idp_targetPr_gp</t>
  </si>
  <si>
    <t>spAll_idp_targetPr_cp</t>
  </si>
  <si>
    <t>spAll_idp_targetPr_gb</t>
  </si>
  <si>
    <t>spAll_idp_targetPr_li</t>
  </si>
  <si>
    <t>spAll_idp_targetPr_joint</t>
  </si>
  <si>
    <t>spAll_ndp_targetPr_ed</t>
  </si>
  <si>
    <t>spAll_ndp_targetPr_fs</t>
  </si>
  <si>
    <t>spAll_ndp_targetPr_he</t>
  </si>
  <si>
    <t>spAll_ndp_targetPr_pr</t>
  </si>
  <si>
    <t>spAll_ndp_targetPr_sn</t>
  </si>
  <si>
    <t>spAll_ndp_targetPr_wa</t>
  </si>
  <si>
    <t>spAll_ndp_targetPr_gp</t>
  </si>
  <si>
    <t>spAll_ndp_targetPr_cp</t>
  </si>
  <si>
    <t>spAll_ndp_targetPr_gb</t>
  </si>
  <si>
    <t>spAll_ndp_targetPr_li</t>
  </si>
  <si>
    <t>spAll_ndp_targetPr_joint</t>
  </si>
  <si>
    <t># Prioritized Target (Overall)</t>
  </si>
  <si>
    <t>spAll_overall_targetPr_ed</t>
  </si>
  <si>
    <t>spAll_overall_targetPr_fs</t>
  </si>
  <si>
    <t>spAll_overall_targetPr_he</t>
  </si>
  <si>
    <t>spAll_overall_targetPr_pr</t>
  </si>
  <si>
    <t>spAll_overall_targetPr_sn</t>
  </si>
  <si>
    <t>spAll_overall_targetPr_wa</t>
  </si>
  <si>
    <t>spAll_overall_targetPr_gp</t>
  </si>
  <si>
    <t>spAll_overall_targetPr_cp</t>
  </si>
  <si>
    <t>spAll_overall_targetPr_gb</t>
  </si>
  <si>
    <t>spAll_overall_targetPr_li</t>
  </si>
  <si>
    <t>spAll_overall_targetPr_joint</t>
  </si>
  <si>
    <t># Target (WAND)</t>
  </si>
  <si>
    <t># Prioritized Target (WAND)</t>
  </si>
  <si>
    <t>sp4_overall_pin_fl</t>
  </si>
  <si>
    <t>sp4_overall_sev_fl</t>
  </si>
  <si>
    <t>sp4_overall_target_fl</t>
  </si>
  <si>
    <t>sp4_overall_targetPr_fl</t>
  </si>
  <si>
    <t>sp4_ndp_pin_fl</t>
  </si>
  <si>
    <t>sp4_ndp_sev_fl</t>
  </si>
  <si>
    <t>sp4_ndp_target_fl</t>
  </si>
  <si>
    <t>sp4_ndp_targetPr_fl</t>
  </si>
  <si>
    <t>sp4_idp_pin_fl</t>
  </si>
  <si>
    <t>sp4_idp_sev_fl</t>
  </si>
  <si>
    <t>sp4_idp_target_fl</t>
  </si>
  <si>
    <t>sp4_idp_targetPr_fl</t>
  </si>
  <si>
    <t>sp3_overall_pin_fl</t>
  </si>
  <si>
    <t>sp3_overall_target_fl</t>
  </si>
  <si>
    <t>sp3_overall_targetPr_fl</t>
  </si>
  <si>
    <t>sp2_idp_pin_fl</t>
  </si>
  <si>
    <t>sp2_idp_target_fl</t>
  </si>
  <si>
    <t>sp2_idp_targetPr_fl</t>
  </si>
  <si>
    <t>sp1_overall_pin_fl</t>
  </si>
  <si>
    <t>sp1_overall_sev_fl</t>
  </si>
  <si>
    <t>sp1_overall_target_fl</t>
  </si>
  <si>
    <t>sp1_overall_targetPr_fl</t>
  </si>
  <si>
    <t>sp1_ndp_pin_fl</t>
  </si>
  <si>
    <t>sp1_ndp_sev_fl</t>
  </si>
  <si>
    <t>sp1_ndp_target_fl</t>
  </si>
  <si>
    <t>sp1_ndp_targetPr_fl</t>
  </si>
  <si>
    <t>sp1_idp_pin_fl</t>
  </si>
  <si>
    <t>sp1_idp_sev_fl</t>
  </si>
  <si>
    <t>sp1_idp_target_fl</t>
  </si>
  <si>
    <t>sp1_idp_targetPr_fl</t>
  </si>
  <si>
    <t>spAll_idp_pin_fl</t>
  </si>
  <si>
    <t>spAll_idp_target_fl</t>
  </si>
  <si>
    <t>spAll_idp_targetPr_fl</t>
  </si>
  <si>
    <t>spAll_ndp_pin_fl</t>
  </si>
  <si>
    <t>spAll_ndp_target_fl</t>
  </si>
  <si>
    <t>spAll_ndp_targetPr_fl</t>
  </si>
  <si>
    <t>spAll_overall_pin_fl</t>
  </si>
  <si>
    <t>spAll_overall_target_fl</t>
  </si>
  <si>
    <t>spAll_overall_targetPr_fl</t>
  </si>
  <si>
    <t>FSL_LI</t>
  </si>
  <si>
    <t>Z1_CWG</t>
  </si>
  <si>
    <t>sp4_overall_target_cw</t>
  </si>
  <si>
    <t>sp4_overall_targetPr_cw</t>
  </si>
  <si>
    <t>sp4_ndp_target_cw</t>
  </si>
  <si>
    <t>sp4_ndp_targetPr_cw</t>
  </si>
  <si>
    <t>sp4_idp_target_cw</t>
  </si>
  <si>
    <t>sp4_idp_targetPr_cw</t>
  </si>
  <si>
    <t>sp3_overall_target_cw</t>
  </si>
  <si>
    <t>sp3_overall_targetPr_cw</t>
  </si>
  <si>
    <t>sp2_idp_target_cw</t>
  </si>
  <si>
    <t>sp2_idp_targetPr_cw</t>
  </si>
  <si>
    <t>sp1_overall_target_cw</t>
  </si>
  <si>
    <t>sp1_overall_targetPr_cw</t>
  </si>
  <si>
    <t>sp1_ndp_target_cw</t>
  </si>
  <si>
    <t>sp1_ndp_targetPr_cw</t>
  </si>
  <si>
    <t>sp1_idp_target_cw</t>
  </si>
  <si>
    <t>sp1_idp_targetPr_cw</t>
  </si>
  <si>
    <t>spAll_idp_target_cw</t>
  </si>
  <si>
    <t>spAll_idp_targetPr_cw</t>
  </si>
  <si>
    <t>spAll_ndp_target_cw</t>
  </si>
  <si>
    <t>spAll_ndp_targetPr_cw</t>
  </si>
  <si>
    <t>spAll_overall_target_cw</t>
  </si>
  <si>
    <t>spAll_overall_targetPr_cw</t>
  </si>
  <si>
    <t>sector</t>
  </si>
  <si>
    <t>sector_short</t>
  </si>
  <si>
    <t xml:space="preserve">Activity </t>
  </si>
  <si>
    <t xml:space="preserve">Prioritized Activity </t>
  </si>
  <si>
    <t>targetPr_idp</t>
  </si>
  <si>
    <t>targetPr_ndp</t>
  </si>
  <si>
    <t>targetPr_overall</t>
  </si>
  <si>
    <t>costPr_total</t>
  </si>
  <si>
    <t>SPA_CSZ01_NA</t>
  </si>
  <si>
    <t>SPA_ETZ01_NA</t>
  </si>
  <si>
    <t>SPA_LGZ01_NA</t>
  </si>
  <si>
    <t>ALL</t>
  </si>
  <si>
    <t>Swath</t>
  </si>
  <si>
    <t>Population</t>
  </si>
  <si>
    <t>Non-displaced People</t>
  </si>
  <si>
    <t>Joint PiN</t>
  </si>
  <si>
    <t>Intersectoral</t>
  </si>
  <si>
    <t>Severity</t>
  </si>
  <si>
    <t>Activity Code</t>
  </si>
  <si>
    <t>WAND</t>
  </si>
  <si>
    <t>Cluster Code</t>
  </si>
  <si>
    <t>Type of Needs</t>
  </si>
  <si>
    <t>Joint
Target</t>
  </si>
  <si>
    <t>Overall PiN, Target and Prioritized Target by Cluster</t>
  </si>
  <si>
    <t>Hromada-Level Admin Reference</t>
  </si>
  <si>
    <t>% People with Disabilities</t>
  </si>
  <si>
    <t>Release Date: 13 January 2026</t>
  </si>
  <si>
    <t xml:space="preserve">Cells shaded in yellow are aggregated values that are repetative of other records/zones in the table. </t>
  </si>
  <si>
    <t>SP3: Projected # of People Impacted by Strikes | PiN, Target, and Prioritized Target by Cluster</t>
  </si>
  <si>
    <t xml:space="preserve">This data is shared for humanitarian purposes and should only be unsed in accordance with the Ukraine Infromation Sharing Proctol, May 2023. </t>
  </si>
  <si>
    <t xml:space="preserve">Notes: </t>
  </si>
  <si>
    <t>People Affected, PIN &amp; Severity Estimates |  Activities, Response Targets &amp; People Prioritized</t>
  </si>
  <si>
    <t xml:space="preserve">1)  The dataset is produced by the United Nations for the Coordination of Humanitarian Affairs (OCHA) in collaboration with humanitarian partners. It presents the number of people in need (PiN), the severity of those needs, the activities of the planned response, and the number of people to be reached with humanitarian assistance in Ukraine in 2026. </t>
  </si>
  <si>
    <t>2)  The data provided herein should be interpreted and used according to the Ukraine 2026 Humanitarian Needs and Response Plan (HNRP), which explains the strategic priorities and the basis for the selected response activities, planned reach and people to be prioritized.</t>
  </si>
  <si>
    <t>UKRAINE 2026 Humanitarain Needs &amp; Response Plan</t>
  </si>
  <si>
    <t>Link</t>
  </si>
  <si>
    <t>3) The data sources and methodology for the derivation of the PIN and severity of needs is explained in Annex 4.3 of the Ukraine 2026 HNRP, "Analysis Methodology &amp; Data Sources", which desribes the baseline and affected population estimates, and the analytical methodology tailored to the strategic priority framework.</t>
  </si>
  <si>
    <t>4) Abreviations List:
SP = Strategic Priority
ED = Education (Cluster)
FL = Food Security &amp; Livelihoods (Cluster)
FS = Food Security (part of Cluster)
LI = Livelihoods (part of Cluster)
HE = Health (Cluster)
PR = Protection (Cluster)
GP = Protection (part of Cluster)
CP = Child Protection (part of Cluster)
GB = Gender-Based Violence  (part of Cluster)
SN = Shelter &amp; NFIs (Cluster)
WA = WASH (Cluster)
CW = Cash Working Group
UC = Unified Cash Transfer
AoR = Area of Responsbility
IDP = Internally-Displaced People
WAND = War-Affected Non-Displaced People
PiN = People in Need</t>
  </si>
  <si>
    <t>Overall Affected, PiN, Target and Prioritized Target by Strategic Priority</t>
  </si>
  <si>
    <t>Internally-Displaced People Affected, PiN, Target and Prioritized Target by Strategic Priority</t>
  </si>
  <si>
    <t>War-Affected Non-Displaced (WAND) People Affected, PiN, Target and Prioritized Target by Strategic Priority</t>
  </si>
  <si>
    <t>SP1: Overall | People Affected, PiN, Target and Prioritized Target by Cluster</t>
  </si>
  <si>
    <t>SP1: Internally-Displaced | People Affected, PiN, Target and Prioritized Target by Cluster</t>
  </si>
  <si>
    <t>SP1: War-Affected Non-Displaced |  People Affected, PiN, Target and Prioritized Target by Cluster</t>
  </si>
  <si>
    <t>SP2: Projected # of Evacuations and Newly Displaced | PiN, Target and Prioritized Target by Cluster</t>
  </si>
  <si>
    <t>SP4: Overall | People Affected, PiN, Target and Prioritized Target by Cluster</t>
  </si>
  <si>
    <t>SP4: Internally-Displaced | People Affected, PiN, Target and Prioritized Target by Cluster</t>
  </si>
  <si>
    <t>SP4: Highly Vulnerable | People Affected, PiN, Target and Prioritized Target by Cluster</t>
  </si>
  <si>
    <t>Age-Sex Profiles (by Population Group and Front Line Distance)</t>
  </si>
  <si>
    <t>Revision Date: 19 September 2025</t>
  </si>
  <si>
    <t>Baseline Population</t>
  </si>
  <si>
    <t>National</t>
  </si>
  <si>
    <t>GCA Front-line and Northern Border Buffer</t>
  </si>
  <si>
    <t>GCA out of Front-line and Northern Border Buffer</t>
  </si>
  <si>
    <t>UNFPA COD-PS</t>
  </si>
  <si>
    <t>Reference date July 2025</t>
  </si>
  <si>
    <t>Age Group</t>
  </si>
  <si>
    <t>Male</t>
  </si>
  <si>
    <t>Female</t>
  </si>
  <si>
    <t>U1</t>
  </si>
  <si>
    <t>1 to 2</t>
  </si>
  <si>
    <t>3 to 4</t>
  </si>
  <si>
    <t>5 to 17</t>
  </si>
  <si>
    <t>18 to 59</t>
  </si>
  <si>
    <t>60+</t>
  </si>
  <si>
    <t>- UNFPA 26 August, 2025 COD-PS
- The population estimates for ages 0, 1, 2, 3-4, 15-17,18, and 19 in the "UKR_ADM2_POP_2024 (age split)" tab were produced using the Penalised Composite Link Model (PCLM) histogram graduation model of the DemoTools R package to split the standard 5-year age groups into non-standard age groups to meet the humanitarian cluster requirements.
- National-level proportions exclude Crimea and Sevastopol.</t>
  </si>
  <si>
    <t>Internally-Displaced People</t>
  </si>
  <si>
    <t>IOM General Population Survey - IDPs</t>
  </si>
  <si>
    <t>Reference date March 2025</t>
  </si>
  <si>
    <t>- IOM General Population Survey, Round 20 (data collection February - March 2025)
- The sex and age breakdown is based on the average household demographics reported by IDP respondents in IDP-only households.</t>
  </si>
  <si>
    <t>Average Household Size</t>
  </si>
  <si>
    <t>By Oblast</t>
  </si>
  <si>
    <t>By Urban/Rural</t>
  </si>
  <si>
    <t xml:space="preserve">Oblast
</t>
  </si>
  <si>
    <t>Margin of Error (MoE)</t>
  </si>
  <si>
    <t>Location</t>
  </si>
  <si>
    <t>95% confidence level</t>
  </si>
  <si>
    <t>Urban Areas</t>
  </si>
  <si>
    <t>Rural Areas</t>
  </si>
  <si>
    <t>By Urban/Rural and Population Group</t>
  </si>
  <si>
    <t>A15. How long have you been residing in this location?</t>
  </si>
  <si>
    <t>(Moved after the beginning of the hybrid war with the Russian Federation in the East of Ukraine after February 20, 2014)</t>
  </si>
  <si>
    <t xml:space="preserve">Average Household Size </t>
  </si>
  <si>
    <t>Households with IDPs</t>
  </si>
  <si>
    <t>Households without IDPs</t>
  </si>
  <si>
    <t>n/a</t>
  </si>
  <si>
    <t>Ukraine</t>
  </si>
  <si>
    <t>- The Household Socio-Economic Status Survey (HSESS) in Ukraine, conducted in December 2023 – February 2024 by the Institute for Demography and Life Quality Problems (IDLQP) and the Ukrainian Center of Social Reforms (UCSR) with the financial support of the United Nations Children's Fund (UNICEF) and the Federal Ministry of Economic Cooperation and Development of Germany (BMZ) under the coordination of the working group created by the Ministry of Social Policy of Ukraine.
- Margins of Error (MoE) are provided at 95% confidence level.
- For further inquiries about the HSESS data please reach out to Volodymyr Sarioglo at sarioglo@ukr.net, Kateryna Sakharova at ksakharova@unicef.org, Vadym Pishcheiko at vpishcheiko@unicef.org.</t>
  </si>
  <si>
    <t>hh_size</t>
  </si>
  <si>
    <t>moe</t>
  </si>
  <si>
    <t>urban_rural</t>
  </si>
  <si>
    <t>pop_group</t>
  </si>
  <si>
    <t>Disaggregation Estimates by Sex, Age and People with Disabilities (Prepared for Sector Targeting)</t>
  </si>
  <si>
    <t>5) Contact: UN-OCHA Ukraine IMU, ocha-ukr-im@un.org</t>
  </si>
  <si>
    <t>List of Activities and Requirements for Government Controlled Areas</t>
  </si>
  <si>
    <t>-</t>
  </si>
  <si>
    <t>SP2 Hromadas</t>
  </si>
  <si>
    <t>SP1 Hromadas</t>
  </si>
  <si>
    <t>SP3 Hromadas</t>
  </si>
  <si>
    <t>SP4 Hromadas</t>
  </si>
  <si>
    <t>Hromadas under SP1</t>
  </si>
  <si>
    <t>Hromadas under SP2</t>
  </si>
  <si>
    <t>Hromadas under SP4</t>
  </si>
  <si>
    <t>Hromadas under SP3</t>
  </si>
  <si>
    <t>UAGC_U20X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</si>
</sst>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_ * #,##0.00_ ;_ * \-#,##0.00_ ;_ * &quot;-&quot;??_ ;_ @_ "/>
    <numFmt numFmtId="165" formatCode="#,##0;\-#,##0;\-"/>
    <numFmt numFmtId="166" formatCode="&quot;$&quot;#,##0"/>
    <numFmt numFmtId="167" formatCode="0.0"/>
    <numFmt numFmtId="168" formatCode="#,##0,&quot;k&quot;"/>
    <numFmt numFmtId="169" formatCode="_-* #,##0_-;\-* #,##0_-;_-* &quot;-&quot;??_-;_-@_-"/>
  </numFmts>
  <fonts count="36" x14ac:knownFonts="1">
    <font>
      <sz val="11"/>
      <color theme="1"/>
      <name val="Calibri"/>
      <family val="2"/>
      <scheme val="minor"/>
    </font>
    <font>
      <sz val="11"/>
      <color theme="0"/>
      <name val="Calibri"/>
      <family val="2"/>
      <scheme val="minor"/>
    </font>
    <font>
      <sz val="8"/>
      <name val="Calibri"/>
      <family val="2"/>
      <scheme val="minor"/>
    </font>
    <font>
      <sz val="11"/>
      <color theme="0" tint="-0.249977111117893"/>
      <name val="Calibri"/>
      <family val="2"/>
      <scheme val="minor"/>
    </font>
    <font>
      <sz val="11"/>
      <color theme="1"/>
      <name val="Calibri"/>
      <family val="2"/>
      <scheme val="minor"/>
    </font>
    <font>
      <sz val="11"/>
      <color rgb="FF000000"/>
      <name val="Calibri"/>
      <family val="2"/>
      <scheme val="minor"/>
    </font>
    <font>
      <b/>
      <sz val="12"/>
      <color theme="1"/>
      <name val="Calibri"/>
      <family val="2"/>
      <scheme val="minor"/>
    </font>
    <font>
      <b/>
      <sz val="11"/>
      <color theme="1"/>
      <name val="Calibri"/>
      <family val="2"/>
      <scheme val="minor"/>
    </font>
    <font>
      <sz val="11"/>
      <color theme="1" tint="0.499984740745262"/>
      <name val="Calibri"/>
      <family val="2"/>
      <scheme val="minor"/>
    </font>
    <font>
      <strike/>
      <sz val="11"/>
      <color theme="1" tint="0.24994659260841701"/>
      <name val="Calibri"/>
      <family val="2"/>
      <scheme val="minor"/>
    </font>
    <font>
      <sz val="11"/>
      <color theme="1" tint="0.24994659260841701"/>
      <name val="Calibri"/>
      <family val="2"/>
      <scheme val="minor"/>
    </font>
    <font>
      <sz val="14"/>
      <color theme="1" tint="4.9989318521683403E-2"/>
      <name val="Roboto Slab Light"/>
    </font>
    <font>
      <sz val="14"/>
      <color rgb="FF009EDB"/>
      <name val="Roboto Slab"/>
    </font>
    <font>
      <sz val="10"/>
      <color theme="0" tint="-0.249977111117893"/>
      <name val="Calibri"/>
      <family val="2"/>
      <scheme val="minor"/>
    </font>
    <font>
      <b/>
      <sz val="12"/>
      <color theme="0"/>
      <name val="Calibri"/>
      <family val="2"/>
      <scheme val="minor"/>
    </font>
    <font>
      <strike/>
      <sz val="11"/>
      <color theme="1" tint="0.499984740745262"/>
      <name val="Calibri"/>
      <family val="2"/>
      <scheme val="minor"/>
    </font>
    <font>
      <sz val="11"/>
      <color theme="1" tint="0.249977111117893"/>
      <name val="Calibri"/>
      <family val="2"/>
      <scheme val="minor"/>
    </font>
    <font>
      <b/>
      <sz val="11"/>
      <color theme="0"/>
      <name val="Calibri"/>
      <family val="2"/>
      <scheme val="minor"/>
    </font>
    <font>
      <b/>
      <sz val="14"/>
      <color theme="1"/>
      <name val="Calibri"/>
      <family val="2"/>
      <scheme val="minor"/>
    </font>
    <font>
      <sz val="12"/>
      <color theme="1"/>
      <name val="Calibri"/>
      <family val="2"/>
      <scheme val="minor"/>
    </font>
    <font>
      <sz val="8"/>
      <color theme="1"/>
      <name val="Calibri"/>
      <family val="2"/>
      <scheme val="minor"/>
    </font>
    <font>
      <sz val="11"/>
      <color rgb="FFFF0000"/>
      <name val="Calibri"/>
      <family val="2"/>
      <scheme val="minor"/>
    </font>
    <font>
      <sz val="14"/>
      <color rgb="FF418FDE"/>
      <name val="Roboto Slab"/>
    </font>
    <font>
      <u/>
      <sz val="11"/>
      <color theme="10"/>
      <name val="Calibri"/>
      <family val="2"/>
      <scheme val="minor"/>
    </font>
    <font>
      <sz val="11"/>
      <color theme="1" tint="0.499984740745262"/>
      <name val="Roboto Slab"/>
    </font>
    <font>
      <sz val="14"/>
      <color rgb="FF002E6E"/>
      <name val="Roboto Slab"/>
    </font>
    <font>
      <b/>
      <sz val="11"/>
      <color theme="0"/>
      <name val="Roboto"/>
    </font>
    <font>
      <b/>
      <sz val="11"/>
      <color theme="1"/>
      <name val="Roboto"/>
    </font>
    <font>
      <sz val="11"/>
      <color theme="1"/>
      <name val="Roboto"/>
    </font>
    <font>
      <i/>
      <sz val="11"/>
      <color theme="0"/>
      <name val="Roboto"/>
    </font>
    <font>
      <sz val="9"/>
      <color theme="1"/>
      <name val="Calibri"/>
      <family val="2"/>
    </font>
    <font>
      <sz val="9"/>
      <color theme="1"/>
      <name val="Roboto"/>
    </font>
    <font>
      <b/>
      <sz val="11"/>
      <color theme="0" tint="-0.249977111117893"/>
      <name val="Calibri"/>
      <family val="2"/>
      <scheme val="minor"/>
    </font>
    <font>
      <sz val="11"/>
      <name val="Calibri"/>
      <family val="2"/>
      <scheme val="minor"/>
    </font>
    <font>
      <b/>
      <sz val="13.5"/>
      <color theme="1"/>
      <name val="Calibri"/>
      <family val="2"/>
      <scheme val="minor"/>
    </font>
    <font>
      <sz val="9"/>
      <color theme="1"/>
      <name val="Calibri"/>
      <family val="2"/>
      <scheme val="minor"/>
    </font>
  </fonts>
  <fills count="24">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0" tint="-0.499984740745262"/>
        <bgColor indexed="64"/>
      </patternFill>
    </fill>
    <fill>
      <patternFill patternType="solid">
        <fgColor theme="2" tint="-9.9978637043366805E-2"/>
        <bgColor indexed="64"/>
      </patternFill>
    </fill>
    <fill>
      <patternFill patternType="solid">
        <fgColor theme="6"/>
        <bgColor indexed="64"/>
      </patternFill>
    </fill>
    <fill>
      <patternFill patternType="solid">
        <fgColor theme="0" tint="-0.34998626667073579"/>
        <bgColor indexed="64"/>
      </patternFill>
    </fill>
    <fill>
      <patternFill patternType="solid">
        <fgColor rgb="FF418FDE"/>
        <bgColor indexed="64"/>
      </patternFill>
    </fill>
    <fill>
      <patternFill patternType="solid">
        <fgColor theme="1" tint="0.499984740745262"/>
        <bgColor indexed="64"/>
      </patternFill>
    </fill>
    <fill>
      <patternFill patternType="solid">
        <fgColor theme="7"/>
        <bgColor indexed="64"/>
      </patternFill>
    </fill>
    <fill>
      <patternFill patternType="solid">
        <fgColor rgb="FFC00000"/>
        <bgColor indexed="64"/>
      </patternFill>
    </fill>
    <fill>
      <patternFill patternType="solid">
        <fgColor theme="4"/>
        <bgColor indexed="64"/>
      </patternFill>
    </fill>
    <fill>
      <patternFill patternType="solid">
        <fgColor theme="5" tint="0.79998168889431442"/>
        <bgColor indexed="64"/>
      </patternFill>
    </fill>
    <fill>
      <patternFill patternType="solid">
        <fgColor theme="2" tint="-0.249977111117893"/>
        <bgColor indexed="64"/>
      </patternFill>
    </fill>
    <fill>
      <patternFill patternType="solid">
        <fgColor theme="4" tint="-0.499984740745262"/>
        <bgColor indexed="64"/>
      </patternFill>
    </fill>
    <fill>
      <patternFill patternType="solid">
        <fgColor rgb="FF002060"/>
        <bgColor indexed="64"/>
      </patternFill>
    </fill>
    <fill>
      <patternFill patternType="solid">
        <fgColor theme="7" tint="-0.499984740745262"/>
        <bgColor indexed="64"/>
      </patternFill>
    </fill>
    <fill>
      <patternFill patternType="solid">
        <fgColor theme="3" tint="0.39997558519241921"/>
        <bgColor indexed="64"/>
      </patternFill>
    </fill>
    <fill>
      <patternFill patternType="solid">
        <fgColor theme="8"/>
        <bgColor indexed="64"/>
      </patternFill>
    </fill>
    <fill>
      <patternFill patternType="solid">
        <fgColor theme="8" tint="-0.249977111117893"/>
        <bgColor indexed="64"/>
      </patternFill>
    </fill>
    <fill>
      <patternFill patternType="solid">
        <fgColor theme="0" tint="-4.9989318521683403E-2"/>
        <bgColor indexed="64"/>
      </patternFill>
    </fill>
    <fill>
      <patternFill patternType="solid">
        <fgColor rgb="FF002E6E"/>
        <bgColor indexed="64"/>
      </patternFill>
    </fill>
    <fill>
      <patternFill patternType="solid">
        <fgColor theme="2"/>
        <bgColor indexed="64"/>
      </patternFill>
    </fill>
  </fills>
  <borders count="1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bottom style="thin">
        <color theme="0"/>
      </bottom>
      <diagonal/>
    </border>
    <border>
      <left/>
      <right/>
      <top/>
      <bottom style="thin">
        <color auto="1"/>
      </bottom>
      <diagonal/>
    </border>
    <border>
      <left style="thin">
        <color indexed="64"/>
      </left>
      <right/>
      <top/>
      <bottom/>
      <diagonal/>
    </border>
    <border>
      <left/>
      <right style="thin">
        <color indexed="64"/>
      </right>
      <top/>
      <bottom/>
      <diagonal/>
    </border>
    <border>
      <left style="thin">
        <color theme="0"/>
      </left>
      <right style="thin">
        <color theme="0"/>
      </right>
      <top/>
      <bottom/>
      <diagonal/>
    </border>
    <border>
      <left style="thin">
        <color theme="0"/>
      </left>
      <right/>
      <top/>
      <bottom/>
      <diagonal/>
    </border>
    <border>
      <left/>
      <right style="thin">
        <color theme="0"/>
      </right>
      <top/>
      <bottom/>
      <diagonal/>
    </border>
    <border>
      <left/>
      <right/>
      <top style="thin">
        <color theme="1" tint="0.34998626667073579"/>
      </top>
      <bottom/>
      <diagonal/>
    </border>
    <border>
      <left style="thin">
        <color theme="1" tint="0.34998626667073579"/>
      </left>
      <right/>
      <top/>
      <bottom/>
      <diagonal/>
    </border>
    <border>
      <left/>
      <right style="thin">
        <color theme="1" tint="0.34998626667073579"/>
      </right>
      <top/>
      <bottom/>
      <diagonal/>
    </border>
    <border>
      <left style="thin">
        <color theme="1" tint="0.34998626667073579"/>
      </left>
      <right/>
      <top/>
      <bottom style="thin">
        <color theme="1" tint="0.34998626667073579"/>
      </bottom>
      <diagonal/>
    </border>
    <border>
      <left/>
      <right/>
      <top/>
      <bottom style="thin">
        <color theme="1" tint="0.34998626667073579"/>
      </bottom>
      <diagonal/>
    </border>
    <border>
      <left/>
      <right style="thin">
        <color theme="0"/>
      </right>
      <top/>
      <bottom style="thin">
        <color theme="1" tint="0.34998626667073579"/>
      </bottom>
      <diagonal/>
    </border>
    <border>
      <left style="thin">
        <color theme="1" tint="0.34998626667073579"/>
      </left>
      <right style="thin">
        <color indexed="64"/>
      </right>
      <top style="thin">
        <color theme="1" tint="0.34998626667073579"/>
      </top>
      <bottom/>
      <diagonal/>
    </border>
    <border>
      <left style="thin">
        <color indexed="64"/>
      </left>
      <right style="thin">
        <color indexed="64"/>
      </right>
      <top style="thin">
        <color theme="1" tint="0.34998626667073579"/>
      </top>
      <bottom/>
      <diagonal/>
    </border>
    <border>
      <left style="thin">
        <color indexed="64"/>
      </left>
      <right style="thin">
        <color theme="0"/>
      </right>
      <top style="thin">
        <color theme="1" tint="0.34998626667073579"/>
      </top>
      <bottom/>
      <diagonal/>
    </border>
    <border>
      <left style="thin">
        <color theme="0"/>
      </left>
      <right style="thin">
        <color indexed="64"/>
      </right>
      <top style="thin">
        <color theme="1" tint="0.34998626667073579"/>
      </top>
      <bottom/>
      <diagonal/>
    </border>
    <border>
      <left style="thin">
        <color theme="0"/>
      </left>
      <right/>
      <top style="thin">
        <color theme="1" tint="0.34998626667073579"/>
      </top>
      <bottom/>
      <diagonal/>
    </border>
    <border>
      <left/>
      <right/>
      <top style="thin">
        <color theme="1"/>
      </top>
      <bottom style="thin">
        <color theme="1"/>
      </bottom>
      <diagonal/>
    </border>
    <border>
      <left style="thin">
        <color theme="1" tint="0.34998626667073579"/>
      </left>
      <right/>
      <top/>
      <bottom style="thin">
        <color theme="0"/>
      </bottom>
      <diagonal/>
    </border>
    <border>
      <left/>
      <right style="thin">
        <color theme="0"/>
      </right>
      <top/>
      <bottom style="thin">
        <color theme="0"/>
      </bottom>
      <diagonal/>
    </border>
    <border>
      <left style="thin">
        <color theme="0"/>
      </left>
      <right/>
      <top/>
      <bottom style="thin">
        <color theme="0"/>
      </bottom>
      <diagonal/>
    </border>
    <border>
      <left/>
      <right style="thin">
        <color indexed="64"/>
      </right>
      <top style="thin">
        <color theme="1" tint="0.34998626667073579"/>
      </top>
      <bottom/>
      <diagonal/>
    </border>
    <border>
      <left style="thin">
        <color indexed="64"/>
      </left>
      <right style="thin">
        <color theme="0"/>
      </right>
      <top/>
      <bottom style="thin">
        <color theme="1" tint="0.34998626667073579"/>
      </bottom>
      <diagonal/>
    </border>
    <border>
      <left style="thin">
        <color auto="1"/>
      </left>
      <right style="thin">
        <color auto="1"/>
      </right>
      <top/>
      <bottom style="thin">
        <color auto="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theme="0" tint="-4.9989318521683403E-2"/>
      </left>
      <right/>
      <top/>
      <bottom/>
      <diagonal/>
    </border>
    <border>
      <left style="thin">
        <color theme="1" tint="0.499984740745262"/>
      </left>
      <right style="thin">
        <color auto="1"/>
      </right>
      <top/>
      <bottom/>
      <diagonal/>
    </border>
    <border>
      <left style="thin">
        <color theme="1" tint="0.499984740745262"/>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1"/>
      </left>
      <right style="thin">
        <color indexed="64"/>
      </right>
      <top style="thin">
        <color theme="1"/>
      </top>
      <bottom style="medium">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thin">
        <color theme="0"/>
      </bottom>
      <diagonal/>
    </border>
    <border>
      <left/>
      <right/>
      <top style="medium">
        <color indexed="64"/>
      </top>
      <bottom style="thin">
        <color theme="0"/>
      </bottom>
      <diagonal/>
    </border>
    <border>
      <left/>
      <right style="medium">
        <color indexed="64"/>
      </right>
      <top style="medium">
        <color indexed="64"/>
      </top>
      <bottom style="thin">
        <color theme="0"/>
      </bottom>
      <diagonal/>
    </border>
    <border>
      <left style="medium">
        <color indexed="64"/>
      </left>
      <right/>
      <top/>
      <bottom/>
      <diagonal/>
    </border>
    <border>
      <left/>
      <right style="medium">
        <color indexed="64"/>
      </right>
      <top/>
      <bottom/>
      <diagonal/>
    </border>
    <border>
      <left/>
      <right style="thin">
        <color theme="0" tint="-4.9989318521683403E-2"/>
      </right>
      <top/>
      <bottom/>
      <diagonal/>
    </border>
    <border>
      <left style="thin">
        <color theme="1" tint="0.249977111117893"/>
      </left>
      <right/>
      <top/>
      <bottom style="medium">
        <color indexed="64"/>
      </bottom>
      <diagonal/>
    </border>
    <border>
      <left style="thin">
        <color theme="1"/>
      </left>
      <right/>
      <top style="thin">
        <color theme="1"/>
      </top>
      <bottom style="medium">
        <color theme="1"/>
      </bottom>
      <diagonal/>
    </border>
    <border>
      <left style="thin">
        <color theme="0"/>
      </left>
      <right style="thin">
        <color indexed="64"/>
      </right>
      <top style="thin">
        <color theme="1"/>
      </top>
      <bottom style="medium">
        <color theme="1"/>
      </bottom>
      <diagonal/>
    </border>
    <border>
      <left style="thin">
        <color theme="0"/>
      </left>
      <right/>
      <top style="thin">
        <color theme="0"/>
      </top>
      <bottom/>
      <diagonal/>
    </border>
    <border>
      <left/>
      <right style="thin">
        <color theme="0"/>
      </right>
      <top style="thin">
        <color theme="0"/>
      </top>
      <bottom/>
      <diagonal/>
    </border>
    <border>
      <left style="thin">
        <color theme="0" tint="-4.9989318521683403E-2"/>
      </left>
      <right/>
      <top/>
      <bottom style="thin">
        <color theme="0"/>
      </bottom>
      <diagonal/>
    </border>
    <border>
      <left style="thin">
        <color theme="0" tint="-4.9989318521683403E-2"/>
      </left>
      <right style="thin">
        <color theme="0"/>
      </right>
      <top/>
      <bottom/>
      <diagonal/>
    </border>
    <border>
      <left style="thin">
        <color theme="0" tint="-4.9989318521683403E-2"/>
      </left>
      <right/>
      <top/>
      <bottom style="thin">
        <color theme="0" tint="-4.9989318521683403E-2"/>
      </bottom>
      <diagonal/>
    </border>
    <border>
      <left style="thin">
        <color theme="0" tint="-4.9989318521683403E-2"/>
      </left>
      <right style="thin">
        <color theme="0" tint="-4.9989318521683403E-2"/>
      </right>
      <top/>
      <bottom/>
      <diagonal/>
    </border>
    <border>
      <left style="thin">
        <color auto="1"/>
      </left>
      <right style="thin">
        <color indexed="64"/>
      </right>
      <top style="thin">
        <color theme="0" tint="-4.9989318521683403E-2"/>
      </top>
      <bottom/>
      <diagonal/>
    </border>
    <border>
      <left style="thin">
        <color auto="1"/>
      </left>
      <right style="thin">
        <color auto="1"/>
      </right>
      <top style="thin">
        <color theme="0" tint="-4.9989318521683403E-2"/>
      </top>
      <bottom style="thin">
        <color auto="1"/>
      </bottom>
      <diagonal/>
    </border>
    <border>
      <left/>
      <right style="thin">
        <color indexed="64"/>
      </right>
      <top style="thin">
        <color theme="0" tint="-4.9989318521683403E-2"/>
      </top>
      <bottom/>
      <diagonal/>
    </border>
    <border>
      <left style="thin">
        <color indexed="64"/>
      </left>
      <right/>
      <top style="thin">
        <color theme="0" tint="-4.9989318521683403E-2"/>
      </top>
      <bottom/>
      <diagonal/>
    </border>
    <border>
      <left style="thin">
        <color theme="1" tint="0.34998626667073579"/>
      </left>
      <right style="thin">
        <color indexed="64"/>
      </right>
      <top style="thin">
        <color theme="0" tint="-4.9989318521683403E-2"/>
      </top>
      <bottom/>
      <diagonal/>
    </border>
    <border>
      <left/>
      <right/>
      <top style="thin">
        <color theme="0" tint="-4.9989318521683403E-2"/>
      </top>
      <bottom/>
      <diagonal/>
    </border>
    <border>
      <left/>
      <right style="thin">
        <color indexed="64"/>
      </right>
      <top style="thin">
        <color theme="0" tint="-4.9989318521683403E-2"/>
      </top>
      <bottom style="thin">
        <color indexed="64"/>
      </bottom>
      <diagonal/>
    </border>
    <border>
      <left style="thin">
        <color theme="0"/>
      </left>
      <right style="thin">
        <color theme="0"/>
      </right>
      <top/>
      <bottom style="thin">
        <color theme="0" tint="-4.9989318521683403E-2"/>
      </bottom>
      <diagonal/>
    </border>
    <border>
      <left style="thin">
        <color theme="1" tint="0.499984740745262"/>
      </left>
      <right style="thin">
        <color theme="0"/>
      </right>
      <top/>
      <bottom style="thin">
        <color theme="1" tint="0.34998626667073579"/>
      </bottom>
      <diagonal/>
    </border>
    <border>
      <left style="thin">
        <color indexed="64"/>
      </left>
      <right/>
      <top style="thin">
        <color theme="1" tint="0.34998626667073579"/>
      </top>
      <bottom/>
      <diagonal/>
    </border>
    <border>
      <left style="thin">
        <color theme="1" tint="0.499984740745262"/>
      </left>
      <right style="thin">
        <color indexed="64"/>
      </right>
      <top style="thin">
        <color theme="1" tint="0.34998626667073579"/>
      </top>
      <bottom/>
      <diagonal/>
    </border>
    <border>
      <left style="thin">
        <color theme="1" tint="0.499984740745262"/>
      </left>
      <right style="thin">
        <color indexed="64"/>
      </right>
      <top style="thin">
        <color theme="0" tint="-4.9989318521683403E-2"/>
      </top>
      <bottom/>
      <diagonal/>
    </border>
    <border>
      <left/>
      <right style="medium">
        <color theme="1" tint="0.34998626667073579"/>
      </right>
      <top/>
      <bottom style="thin">
        <color theme="0"/>
      </bottom>
      <diagonal/>
    </border>
    <border>
      <left/>
      <right style="medium">
        <color theme="1" tint="0.34998626667073579"/>
      </right>
      <top/>
      <bottom/>
      <diagonal/>
    </border>
    <border>
      <left style="thin">
        <color theme="1" tint="0.34998626667073579"/>
      </left>
      <right style="thin">
        <color auto="1"/>
      </right>
      <top/>
      <bottom/>
      <diagonal/>
    </border>
    <border>
      <left style="thin">
        <color theme="1" tint="0.34998626667073579"/>
      </left>
      <right style="thin">
        <color theme="0"/>
      </right>
      <top/>
      <bottom style="thin">
        <color theme="1" tint="0.34998626667073579"/>
      </bottom>
      <diagonal/>
    </border>
    <border>
      <left style="thin">
        <color theme="0" tint="-4.9989318521683403E-2"/>
      </left>
      <right style="thin">
        <color theme="0" tint="-4.9989318521683403E-2"/>
      </right>
      <top/>
      <bottom style="thin">
        <color theme="1" tint="0.34998626667073579"/>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right style="thin">
        <color auto="1"/>
      </right>
      <top style="thin">
        <color theme="1"/>
      </top>
      <bottom style="medium">
        <color theme="1"/>
      </bottom>
      <diagonal/>
    </border>
    <border>
      <left/>
      <right/>
      <top/>
      <bottom style="medium">
        <color indexed="64"/>
      </bottom>
      <diagonal/>
    </border>
    <border>
      <left/>
      <right style="double">
        <color indexed="64"/>
      </right>
      <top/>
      <bottom style="thin">
        <color theme="0"/>
      </bottom>
      <diagonal/>
    </border>
    <border>
      <left style="thin">
        <color theme="0"/>
      </left>
      <right style="double">
        <color indexed="64"/>
      </right>
      <top style="thin">
        <color theme="0"/>
      </top>
      <bottom style="thin">
        <color theme="0"/>
      </bottom>
      <diagonal/>
    </border>
    <border>
      <left style="thin">
        <color indexed="64"/>
      </left>
      <right style="thin">
        <color theme="0"/>
      </right>
      <top/>
      <bottom style="thin">
        <color indexed="64"/>
      </bottom>
      <diagonal/>
    </border>
    <border>
      <left/>
      <right style="thin">
        <color theme="0"/>
      </right>
      <top/>
      <bottom style="thin">
        <color indexed="64"/>
      </bottom>
      <diagonal/>
    </border>
    <border>
      <left style="thin">
        <color theme="0"/>
      </left>
      <right/>
      <top style="thin">
        <color indexed="64"/>
      </top>
      <bottom/>
      <diagonal/>
    </border>
    <border>
      <left style="thin">
        <color indexed="64"/>
      </left>
      <right/>
      <top style="thin">
        <color indexed="64"/>
      </top>
      <bottom style="thin">
        <color theme="0"/>
      </bottom>
      <diagonal/>
    </border>
    <border>
      <left/>
      <right style="thin">
        <color indexed="64"/>
      </right>
      <top style="thin">
        <color indexed="64"/>
      </top>
      <bottom style="thin">
        <color theme="0"/>
      </bottom>
      <diagonal/>
    </border>
    <border>
      <left style="thin">
        <color theme="0"/>
      </left>
      <right style="thin">
        <color indexed="64"/>
      </right>
      <top/>
      <bottom/>
      <diagonal/>
    </border>
    <border>
      <left style="thin">
        <color theme="1" tint="0.249977111117893"/>
      </left>
      <right style="thin">
        <color indexed="64"/>
      </right>
      <top/>
      <bottom style="thin">
        <color indexed="64"/>
      </bottom>
      <diagonal/>
    </border>
    <border>
      <left/>
      <right/>
      <top style="thin">
        <color indexed="64"/>
      </top>
      <bottom style="thin">
        <color theme="0"/>
      </bottom>
      <diagonal/>
    </border>
    <border>
      <left style="thin">
        <color theme="0"/>
      </left>
      <right/>
      <top style="thin">
        <color indexed="64"/>
      </top>
      <bottom style="thin">
        <color theme="0"/>
      </bottom>
      <diagonal/>
    </border>
    <border>
      <left/>
      <right style="thin">
        <color theme="0"/>
      </right>
      <top style="thin">
        <color indexed="64"/>
      </top>
      <bottom style="thin">
        <color theme="0"/>
      </bottom>
      <diagonal/>
    </border>
    <border>
      <left/>
      <right style="medium">
        <color theme="1" tint="0.34998626667073579"/>
      </right>
      <top style="thin">
        <color indexed="64"/>
      </top>
      <bottom style="thin">
        <color theme="0"/>
      </bottom>
      <diagonal/>
    </border>
    <border>
      <left style="thin">
        <color theme="1" tint="0.249977111117893"/>
      </left>
      <right/>
      <top/>
      <bottom style="thin">
        <color indexed="64"/>
      </bottom>
      <diagonal/>
    </border>
    <border>
      <left style="thin">
        <color theme="1" tint="0.249977111117893"/>
      </left>
      <right style="medium">
        <color theme="1" tint="0.34998626667073579"/>
      </right>
      <top/>
      <bottom style="thin">
        <color indexed="64"/>
      </bottom>
      <diagonal/>
    </border>
    <border>
      <left style="thin">
        <color theme="0"/>
      </left>
      <right/>
      <top style="medium">
        <color indexed="64"/>
      </top>
      <bottom style="thin">
        <color theme="0"/>
      </bottom>
      <diagonal/>
    </border>
    <border>
      <left/>
      <right style="thin">
        <color theme="0"/>
      </right>
      <top style="medium">
        <color indexed="64"/>
      </top>
      <bottom style="thin">
        <color theme="0"/>
      </bottom>
      <diagonal/>
    </border>
    <border>
      <left style="thin">
        <color theme="0"/>
      </left>
      <right style="thin">
        <color theme="0"/>
      </right>
      <top style="medium">
        <color indexed="64"/>
      </top>
      <bottom style="thin">
        <color theme="0"/>
      </bottom>
      <diagonal/>
    </border>
    <border>
      <left/>
      <right style="medium">
        <color indexed="64"/>
      </right>
      <top/>
      <bottom style="thin">
        <color theme="0"/>
      </bottom>
      <diagonal/>
    </border>
    <border>
      <left style="medium">
        <color indexed="64"/>
      </left>
      <right/>
      <top/>
      <bottom style="medium">
        <color indexed="64"/>
      </bottom>
      <diagonal/>
    </border>
    <border>
      <left style="thin">
        <color theme="1" tint="0.249977111117893"/>
      </left>
      <right style="medium">
        <color indexed="64"/>
      </right>
      <top/>
      <bottom style="medium">
        <color indexed="64"/>
      </bottom>
      <diagonal/>
    </border>
    <border>
      <left style="thin">
        <color theme="0"/>
      </left>
      <right style="thin">
        <color theme="0"/>
      </right>
      <top style="thin">
        <color theme="0"/>
      </top>
      <bottom/>
      <diagonal/>
    </border>
    <border>
      <left style="thin">
        <color theme="0"/>
      </left>
      <right style="double">
        <color indexed="64"/>
      </right>
      <top style="thin">
        <color theme="0"/>
      </top>
      <bottom/>
      <diagonal/>
    </border>
    <border>
      <left style="medium">
        <color indexed="64"/>
      </left>
      <right style="thin">
        <color theme="1"/>
      </right>
      <top style="medium">
        <color indexed="64"/>
      </top>
      <bottom style="medium">
        <color theme="1"/>
      </bottom>
      <diagonal/>
    </border>
    <border>
      <left style="thin">
        <color theme="1"/>
      </left>
      <right style="thin">
        <color theme="1"/>
      </right>
      <top style="medium">
        <color indexed="64"/>
      </top>
      <bottom style="medium">
        <color theme="1"/>
      </bottom>
      <diagonal/>
    </border>
    <border>
      <left style="thin">
        <color theme="1"/>
      </left>
      <right style="medium">
        <color indexed="64"/>
      </right>
      <top style="medium">
        <color indexed="64"/>
      </top>
      <bottom style="medium">
        <color theme="1"/>
      </bottom>
      <diagonal/>
    </border>
    <border>
      <left style="thin">
        <color theme="0"/>
      </left>
      <right style="thin">
        <color theme="0"/>
      </right>
      <top/>
      <bottom style="thin">
        <color theme="0"/>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theme="0" tint="-4.9989318521683403E-2"/>
      </left>
      <right style="thin">
        <color theme="0" tint="-4.9989318521683403E-2"/>
      </right>
      <top style="thin">
        <color theme="0" tint="-4.9989318521683403E-2"/>
      </top>
      <bottom/>
      <diagonal/>
    </border>
    <border>
      <left style="thin">
        <color theme="0" tint="-4.9989318521683403E-2"/>
      </left>
      <right style="thin">
        <color theme="0" tint="-4.9989318521683403E-2"/>
      </right>
      <top/>
      <bottom style="thin">
        <color theme="0" tint="-4.9989318521683403E-2"/>
      </bottom>
      <diagonal/>
    </border>
    <border>
      <left style="thin">
        <color theme="0" tint="-4.9989318521683403E-2"/>
      </left>
      <right style="thin">
        <color theme="0" tint="-4.9989318521683403E-2"/>
      </right>
      <top style="thin">
        <color theme="0" tint="-4.9989318521683403E-2"/>
      </top>
      <bottom style="thin">
        <color theme="0"/>
      </bottom>
      <diagonal/>
    </border>
    <border>
      <left/>
      <right/>
      <top style="thin">
        <color indexed="64"/>
      </top>
      <bottom style="thin">
        <color indexed="64"/>
      </bottom>
      <diagonal/>
    </border>
    <border>
      <left/>
      <right/>
      <top style="thin">
        <color indexed="64"/>
      </top>
      <bottom style="thin">
        <color theme="0" tint="-0.499984740745262"/>
      </bottom>
      <diagonal/>
    </border>
    <border>
      <left/>
      <right/>
      <top style="thin">
        <color theme="0" tint="-0.499984740745262"/>
      </top>
      <bottom style="thin">
        <color theme="0" tint="-0.499984740745262"/>
      </bottom>
      <diagonal/>
    </border>
    <border>
      <left style="medium">
        <color rgb="FFCCCCCC"/>
      </left>
      <right/>
      <top/>
      <bottom/>
      <diagonal/>
    </border>
  </borders>
  <cellStyleXfs count="8">
    <xf numFmtId="0" fontId="0" fillId="0" borderId="0"/>
    <xf numFmtId="0" fontId="5" fillId="0" borderId="0"/>
    <xf numFmtId="0" fontId="4" fillId="0" borderId="0"/>
    <xf numFmtId="9" fontId="4"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9" fontId="4" fillId="0" borderId="0" applyFont="0" applyFill="0" applyBorder="0" applyAlignment="0" applyProtection="0"/>
    <xf numFmtId="0" fontId="23" fillId="0" borderId="0" applyNumberFormat="0" applyFill="0" applyBorder="0" applyAlignment="0" applyProtection="0"/>
  </cellStyleXfs>
  <cellXfs count="387">
    <xf numFmtId="0" fontId="0" fillId="0" borderId="0" xfId="0"/>
    <xf numFmtId="0" fontId="0" fillId="2" borderId="0" xfId="0" applyFill="1"/>
    <xf numFmtId="0" fontId="0" fillId="2" borderId="4" xfId="0" applyFill="1" applyBorder="1"/>
    <xf numFmtId="0" fontId="3" fillId="0" borderId="1" xfId="0" applyFont="1" applyBorder="1" applyAlignment="1">
      <alignment horizontal="left" vertical="top"/>
    </xf>
    <xf numFmtId="0" fontId="3" fillId="0" borderId="2" xfId="0" applyFont="1" applyBorder="1" applyAlignment="1">
      <alignment horizontal="left" vertical="top"/>
    </xf>
    <xf numFmtId="0" fontId="0" fillId="0" borderId="0" xfId="0" applyProtection="1">
      <protection locked="0"/>
    </xf>
    <xf numFmtId="0" fontId="8" fillId="0" borderId="0" xfId="0" applyFont="1"/>
    <xf numFmtId="0" fontId="3" fillId="0" borderId="5" xfId="0" applyFont="1" applyBorder="1" applyAlignment="1">
      <alignment horizontal="left" vertical="top"/>
    </xf>
    <xf numFmtId="165" fontId="0" fillId="0" borderId="0" xfId="0" applyNumberFormat="1"/>
    <xf numFmtId="165" fontId="0" fillId="0" borderId="9" xfId="0" applyNumberFormat="1" applyBorder="1"/>
    <xf numFmtId="165" fontId="0" fillId="0" borderId="11" xfId="0" applyNumberFormat="1" applyBorder="1"/>
    <xf numFmtId="0" fontId="0" fillId="0" borderId="14" xfId="0" applyBorder="1"/>
    <xf numFmtId="0" fontId="0" fillId="0" borderId="15" xfId="0" applyBorder="1"/>
    <xf numFmtId="165" fontId="0" fillId="0" borderId="14" xfId="0" applyNumberFormat="1" applyBorder="1"/>
    <xf numFmtId="165" fontId="0" fillId="0" borderId="15" xfId="0" applyNumberFormat="1" applyBorder="1"/>
    <xf numFmtId="0" fontId="3" fillId="0" borderId="16" xfId="0" applyFont="1" applyBorder="1" applyAlignment="1">
      <alignment horizontal="left" vertical="top"/>
    </xf>
    <xf numFmtId="0" fontId="3" fillId="0" borderId="17" xfId="0" applyFont="1" applyBorder="1" applyAlignment="1">
      <alignment horizontal="left" vertical="top"/>
    </xf>
    <xf numFmtId="0" fontId="3" fillId="0" borderId="18" xfId="0" applyFont="1" applyBorder="1" applyAlignment="1">
      <alignment horizontal="left" vertical="top"/>
    </xf>
    <xf numFmtId="0" fontId="3" fillId="0" borderId="19" xfId="0" applyFont="1" applyBorder="1" applyAlignment="1">
      <alignment horizontal="left" vertical="top"/>
    </xf>
    <xf numFmtId="0" fontId="3" fillId="0" borderId="20" xfId="0" applyFont="1" applyBorder="1" applyAlignment="1">
      <alignment horizontal="left" vertical="top"/>
    </xf>
    <xf numFmtId="165" fontId="0" fillId="0" borderId="13" xfId="0" applyNumberFormat="1" applyBorder="1"/>
    <xf numFmtId="0" fontId="3" fillId="0" borderId="10" xfId="0" applyFont="1" applyBorder="1" applyAlignment="1">
      <alignment horizontal="left" vertical="top"/>
    </xf>
    <xf numFmtId="165" fontId="9" fillId="4" borderId="11" xfId="0" applyNumberFormat="1" applyFont="1" applyFill="1" applyBorder="1"/>
    <xf numFmtId="165" fontId="9" fillId="4" borderId="0" xfId="0" applyNumberFormat="1" applyFont="1" applyFill="1"/>
    <xf numFmtId="3" fontId="0" fillId="0" borderId="0" xfId="0" applyNumberFormat="1"/>
    <xf numFmtId="0" fontId="3" fillId="0" borderId="6" xfId="0" applyFont="1" applyBorder="1" applyAlignment="1">
      <alignment horizontal="left" vertical="top"/>
    </xf>
    <xf numFmtId="0" fontId="11" fillId="3" borderId="0" xfId="0" applyFont="1" applyFill="1" applyAlignment="1">
      <alignment vertical="center"/>
    </xf>
    <xf numFmtId="0" fontId="0" fillId="3" borderId="0" xfId="0" applyFill="1"/>
    <xf numFmtId="10" fontId="0" fillId="3" borderId="0" xfId="0" applyNumberFormat="1" applyFill="1"/>
    <xf numFmtId="0" fontId="12" fillId="3" borderId="0" xfId="0" applyFont="1" applyFill="1" applyAlignment="1">
      <alignment vertical="center"/>
    </xf>
    <xf numFmtId="0" fontId="12" fillId="3" borderId="0" xfId="0" applyFont="1" applyFill="1"/>
    <xf numFmtId="0" fontId="7" fillId="5" borderId="21" xfId="0" applyFont="1" applyFill="1" applyBorder="1" applyAlignment="1">
      <alignment vertical="center"/>
    </xf>
    <xf numFmtId="0" fontId="7" fillId="5" borderId="21" xfId="0" applyFont="1" applyFill="1" applyBorder="1" applyAlignment="1">
      <alignment vertical="center" wrapText="1"/>
    </xf>
    <xf numFmtId="0" fontId="0" fillId="0" borderId="0" xfId="0" applyAlignment="1">
      <alignment vertical="center"/>
    </xf>
    <xf numFmtId="0" fontId="6" fillId="0" borderId="0" xfId="0" applyFont="1"/>
    <xf numFmtId="0" fontId="1" fillId="6" borderId="3" xfId="0" applyFont="1" applyFill="1" applyBorder="1"/>
    <xf numFmtId="0" fontId="1" fillId="6" borderId="0" xfId="0" applyFont="1" applyFill="1"/>
    <xf numFmtId="0" fontId="1" fillId="7" borderId="22" xfId="0" applyFont="1" applyFill="1" applyBorder="1"/>
    <xf numFmtId="0" fontId="1" fillId="7" borderId="3" xfId="0" applyFont="1" applyFill="1" applyBorder="1"/>
    <xf numFmtId="0" fontId="1" fillId="7" borderId="23" xfId="0" applyFont="1" applyFill="1" applyBorder="1"/>
    <xf numFmtId="0" fontId="1" fillId="7" borderId="11" xfId="0" applyFont="1" applyFill="1" applyBorder="1"/>
    <xf numFmtId="0" fontId="1" fillId="7" borderId="0" xfId="0" applyFont="1" applyFill="1"/>
    <xf numFmtId="0" fontId="1" fillId="7" borderId="9" xfId="0" applyFont="1" applyFill="1" applyBorder="1"/>
    <xf numFmtId="0" fontId="1" fillId="8" borderId="3" xfId="0" applyFont="1" applyFill="1" applyBorder="1"/>
    <xf numFmtId="0" fontId="1" fillId="8" borderId="0" xfId="0" applyFont="1" applyFill="1"/>
    <xf numFmtId="0" fontId="3" fillId="0" borderId="25" xfId="0" applyFont="1" applyBorder="1" applyAlignment="1">
      <alignment horizontal="left" vertical="top"/>
    </xf>
    <xf numFmtId="0" fontId="1" fillId="9" borderId="0" xfId="0" applyFont="1" applyFill="1"/>
    <xf numFmtId="0" fontId="13" fillId="0" borderId="2" xfId="0" applyFont="1" applyBorder="1" applyAlignment="1">
      <alignment horizontal="left" vertical="top"/>
    </xf>
    <xf numFmtId="0" fontId="1" fillId="0" borderId="0" xfId="0" applyFont="1"/>
    <xf numFmtId="0" fontId="14" fillId="0" borderId="0" xfId="0" applyFont="1"/>
    <xf numFmtId="9" fontId="0" fillId="0" borderId="0" xfId="6" applyFont="1"/>
    <xf numFmtId="165" fontId="15" fillId="4" borderId="0" xfId="0" applyNumberFormat="1" applyFont="1" applyFill="1"/>
    <xf numFmtId="165" fontId="10" fillId="0" borderId="0" xfId="0" applyNumberFormat="1" applyFont="1"/>
    <xf numFmtId="0" fontId="3" fillId="0" borderId="0" xfId="0" applyFont="1" applyAlignment="1">
      <alignment horizontal="left" vertical="top"/>
    </xf>
    <xf numFmtId="165" fontId="0" fillId="0" borderId="5" xfId="0" applyNumberFormat="1" applyBorder="1"/>
    <xf numFmtId="165" fontId="15" fillId="4" borderId="11" xfId="0" applyNumberFormat="1" applyFont="1" applyFill="1" applyBorder="1"/>
    <xf numFmtId="165" fontId="15" fillId="4" borderId="9" xfId="0" applyNumberFormat="1" applyFont="1" applyFill="1" applyBorder="1"/>
    <xf numFmtId="165" fontId="15" fillId="4" borderId="5" xfId="0" applyNumberFormat="1" applyFont="1" applyFill="1" applyBorder="1"/>
    <xf numFmtId="165" fontId="16" fillId="0" borderId="0" xfId="0" applyNumberFormat="1" applyFont="1"/>
    <xf numFmtId="0" fontId="0" fillId="0" borderId="26" xfId="0" applyBorder="1"/>
    <xf numFmtId="165" fontId="16" fillId="4" borderId="0" xfId="0" applyNumberFormat="1" applyFont="1" applyFill="1"/>
    <xf numFmtId="0" fontId="7" fillId="0" borderId="0" xfId="0" applyFont="1"/>
    <xf numFmtId="0" fontId="1" fillId="7" borderId="11" xfId="0" applyFont="1" applyFill="1" applyBorder="1" applyAlignment="1">
      <alignment horizontal="right"/>
    </xf>
    <xf numFmtId="0" fontId="1" fillId="7" borderId="0" xfId="0" applyFont="1" applyFill="1" applyAlignment="1">
      <alignment horizontal="right"/>
    </xf>
    <xf numFmtId="0" fontId="1" fillId="7" borderId="9" xfId="0" applyFont="1" applyFill="1" applyBorder="1" applyAlignment="1">
      <alignment horizontal="right"/>
    </xf>
    <xf numFmtId="3" fontId="0" fillId="0" borderId="30" xfId="0" applyNumberFormat="1" applyBorder="1"/>
    <xf numFmtId="0" fontId="19" fillId="0" borderId="0" xfId="0" applyFont="1"/>
    <xf numFmtId="0" fontId="1" fillId="11" borderId="3" xfId="0" applyFont="1" applyFill="1" applyBorder="1"/>
    <xf numFmtId="0" fontId="1" fillId="11" borderId="0" xfId="0" applyFont="1" applyFill="1"/>
    <xf numFmtId="0" fontId="1" fillId="8" borderId="0" xfId="0" applyFont="1" applyFill="1" applyAlignment="1">
      <alignment wrapText="1"/>
    </xf>
    <xf numFmtId="0" fontId="17" fillId="10" borderId="37" xfId="0" applyFont="1" applyFill="1" applyBorder="1"/>
    <xf numFmtId="0" fontId="17" fillId="10" borderId="38" xfId="0" applyFont="1" applyFill="1" applyBorder="1"/>
    <xf numFmtId="0" fontId="17" fillId="10" borderId="8" xfId="0" applyFont="1" applyFill="1" applyBorder="1"/>
    <xf numFmtId="0" fontId="17" fillId="10" borderId="0" xfId="0" applyFont="1" applyFill="1"/>
    <xf numFmtId="0" fontId="1" fillId="11" borderId="24" xfId="0" applyFont="1" applyFill="1" applyBorder="1"/>
    <xf numFmtId="0" fontId="1" fillId="9" borderId="8" xfId="0" applyFont="1" applyFill="1" applyBorder="1"/>
    <xf numFmtId="0" fontId="1" fillId="11" borderId="23" xfId="0" applyFont="1" applyFill="1" applyBorder="1"/>
    <xf numFmtId="0" fontId="1" fillId="9" borderId="9" xfId="0" applyFont="1" applyFill="1" applyBorder="1"/>
    <xf numFmtId="0" fontId="1" fillId="11" borderId="7" xfId="0" applyFont="1" applyFill="1" applyBorder="1"/>
    <xf numFmtId="0" fontId="0" fillId="0" borderId="0" xfId="0" applyAlignment="1">
      <alignment horizontal="center" vertical="center"/>
    </xf>
    <xf numFmtId="0" fontId="0" fillId="0" borderId="0" xfId="0" applyAlignment="1">
      <alignment wrapText="1"/>
    </xf>
    <xf numFmtId="166" fontId="0" fillId="0" borderId="0" xfId="0" applyNumberFormat="1"/>
    <xf numFmtId="165" fontId="7" fillId="0" borderId="0" xfId="0" applyNumberFormat="1" applyFont="1"/>
    <xf numFmtId="3" fontId="3" fillId="0" borderId="6" xfId="0" applyNumberFormat="1" applyFont="1" applyBorder="1" applyAlignment="1">
      <alignment horizontal="left" vertical="top"/>
    </xf>
    <xf numFmtId="3" fontId="3" fillId="0" borderId="39" xfId="0" applyNumberFormat="1" applyFont="1" applyBorder="1" applyAlignment="1">
      <alignment horizontal="left" vertical="top"/>
    </xf>
    <xf numFmtId="3" fontId="20" fillId="0" borderId="0" xfId="0" applyNumberFormat="1" applyFont="1"/>
    <xf numFmtId="3" fontId="20" fillId="0" borderId="49" xfId="0" applyNumberFormat="1" applyFont="1" applyBorder="1"/>
    <xf numFmtId="9" fontId="0" fillId="0" borderId="0" xfId="6" applyFont="1" applyBorder="1"/>
    <xf numFmtId="0" fontId="3" fillId="0" borderId="27" xfId="0" applyFont="1" applyBorder="1" applyAlignment="1">
      <alignment horizontal="left" vertical="top"/>
    </xf>
    <xf numFmtId="0" fontId="3" fillId="0" borderId="31" xfId="0" applyFont="1" applyBorder="1" applyAlignment="1">
      <alignment horizontal="left" vertical="top"/>
    </xf>
    <xf numFmtId="0" fontId="1" fillId="9" borderId="24" xfId="0" applyFont="1" applyFill="1" applyBorder="1"/>
    <xf numFmtId="0" fontId="1" fillId="9" borderId="23" xfId="0" applyFont="1" applyFill="1" applyBorder="1"/>
    <xf numFmtId="0" fontId="1" fillId="8" borderId="24" xfId="0" applyFont="1" applyFill="1" applyBorder="1"/>
    <xf numFmtId="0" fontId="1" fillId="11" borderId="8" xfId="0" applyFont="1" applyFill="1" applyBorder="1"/>
    <xf numFmtId="0" fontId="1" fillId="6" borderId="24" xfId="0" applyFont="1" applyFill="1" applyBorder="1"/>
    <xf numFmtId="0" fontId="3" fillId="0" borderId="8" xfId="0" applyFont="1" applyBorder="1" applyAlignment="1">
      <alignment horizontal="left" vertical="top"/>
    </xf>
    <xf numFmtId="3" fontId="3" fillId="0" borderId="50" xfId="0" applyNumberFormat="1" applyFont="1" applyBorder="1" applyAlignment="1">
      <alignment horizontal="left" vertical="top"/>
    </xf>
    <xf numFmtId="3" fontId="3" fillId="0" borderId="51" xfId="0" applyNumberFormat="1" applyFont="1" applyBorder="1" applyAlignment="1">
      <alignment horizontal="left" vertical="top"/>
    </xf>
    <xf numFmtId="3" fontId="19" fillId="0" borderId="0" xfId="0" applyNumberFormat="1" applyFont="1"/>
    <xf numFmtId="9" fontId="19" fillId="0" borderId="0" xfId="6" applyFont="1"/>
    <xf numFmtId="0" fontId="1" fillId="9" borderId="52" xfId="0" applyFont="1" applyFill="1" applyBorder="1"/>
    <xf numFmtId="0" fontId="1" fillId="9" borderId="53" xfId="0" applyFont="1" applyFill="1" applyBorder="1"/>
    <xf numFmtId="0" fontId="1" fillId="8" borderId="54" xfId="0" applyFont="1" applyFill="1" applyBorder="1"/>
    <xf numFmtId="0" fontId="1" fillId="6" borderId="55" xfId="0" applyFont="1" applyFill="1" applyBorder="1"/>
    <xf numFmtId="0" fontId="1" fillId="7" borderId="0" xfId="0" applyFont="1" applyFill="1" applyAlignment="1">
      <alignment horizontal="left"/>
    </xf>
    <xf numFmtId="0" fontId="1" fillId="7" borderId="11" xfId="0" applyFont="1" applyFill="1" applyBorder="1" applyAlignment="1">
      <alignment horizontal="left"/>
    </xf>
    <xf numFmtId="0" fontId="1" fillId="7" borderId="9" xfId="0" applyFont="1" applyFill="1" applyBorder="1" applyAlignment="1">
      <alignment horizontal="left"/>
    </xf>
    <xf numFmtId="0" fontId="1" fillId="9" borderId="56" xfId="0" applyFont="1" applyFill="1" applyBorder="1"/>
    <xf numFmtId="0" fontId="1" fillId="8" borderId="57" xfId="0" applyFont="1" applyFill="1" applyBorder="1"/>
    <xf numFmtId="0" fontId="1" fillId="9" borderId="34" xfId="0" applyFont="1" applyFill="1" applyBorder="1"/>
    <xf numFmtId="0" fontId="1" fillId="9" borderId="48" xfId="0" applyFont="1" applyFill="1" applyBorder="1"/>
    <xf numFmtId="0" fontId="1" fillId="11" borderId="0" xfId="0" applyFont="1" applyFill="1" applyAlignment="1">
      <alignment vertical="top" wrapText="1"/>
    </xf>
    <xf numFmtId="0" fontId="3" fillId="0" borderId="59" xfId="0" applyFont="1" applyBorder="1" applyAlignment="1">
      <alignment horizontal="left" vertical="top"/>
    </xf>
    <xf numFmtId="0" fontId="3" fillId="0" borderId="58" xfId="0" applyFont="1" applyBorder="1" applyAlignment="1">
      <alignment horizontal="left" vertical="top"/>
    </xf>
    <xf numFmtId="0" fontId="3" fillId="0" borderId="60" xfId="0" applyFont="1" applyBorder="1" applyAlignment="1">
      <alignment horizontal="left" vertical="top"/>
    </xf>
    <xf numFmtId="0" fontId="3" fillId="0" borderId="61" xfId="0" applyFont="1" applyBorder="1" applyAlignment="1">
      <alignment horizontal="left" vertical="top"/>
    </xf>
    <xf numFmtId="0" fontId="3" fillId="0" borderId="62" xfId="0" applyFont="1" applyBorder="1" applyAlignment="1">
      <alignment horizontal="left" vertical="top"/>
    </xf>
    <xf numFmtId="0" fontId="3" fillId="0" borderId="63" xfId="0" applyFont="1" applyBorder="1" applyAlignment="1">
      <alignment horizontal="left" vertical="top"/>
    </xf>
    <xf numFmtId="0" fontId="3" fillId="0" borderId="64" xfId="0" applyFont="1" applyBorder="1" applyAlignment="1">
      <alignment horizontal="left" vertical="top"/>
    </xf>
    <xf numFmtId="0" fontId="1" fillId="6" borderId="54" xfId="0" applyFont="1" applyFill="1" applyBorder="1"/>
    <xf numFmtId="0" fontId="13" fillId="0" borderId="35" xfId="0" applyFont="1" applyBorder="1" applyAlignment="1">
      <alignment horizontal="left" vertical="top"/>
    </xf>
    <xf numFmtId="165" fontId="16" fillId="0" borderId="36" xfId="0" applyNumberFormat="1" applyFont="1" applyBorder="1"/>
    <xf numFmtId="165" fontId="16" fillId="4" borderId="36" xfId="0" applyNumberFormat="1" applyFont="1" applyFill="1" applyBorder="1"/>
    <xf numFmtId="0" fontId="0" fillId="0" borderId="66" xfId="0" applyBorder="1"/>
    <xf numFmtId="165" fontId="10" fillId="0" borderId="36" xfId="0" applyNumberFormat="1" applyFont="1" applyBorder="1"/>
    <xf numFmtId="165" fontId="15" fillId="4" borderId="36" xfId="0" applyNumberFormat="1" applyFont="1" applyFill="1" applyBorder="1"/>
    <xf numFmtId="165" fontId="0" fillId="0" borderId="36" xfId="0" applyNumberFormat="1" applyBorder="1"/>
    <xf numFmtId="165" fontId="0" fillId="0" borderId="66" xfId="0" applyNumberFormat="1" applyBorder="1"/>
    <xf numFmtId="0" fontId="3" fillId="0" borderId="67" xfId="0" applyFont="1" applyBorder="1" applyAlignment="1">
      <alignment horizontal="left" vertical="top"/>
    </xf>
    <xf numFmtId="0" fontId="3" fillId="0" borderId="68" xfId="0" applyFont="1" applyBorder="1" applyAlignment="1">
      <alignment horizontal="left" vertical="top"/>
    </xf>
    <xf numFmtId="0" fontId="13" fillId="0" borderId="69" xfId="0" applyFont="1" applyBorder="1" applyAlignment="1">
      <alignment horizontal="left" vertical="top"/>
    </xf>
    <xf numFmtId="0" fontId="3" fillId="0" borderId="69" xfId="0" applyFont="1" applyBorder="1" applyAlignment="1">
      <alignment horizontal="left" vertical="top"/>
    </xf>
    <xf numFmtId="0" fontId="1" fillId="8" borderId="70" xfId="0" applyFont="1" applyFill="1" applyBorder="1" applyAlignment="1">
      <alignment horizontal="left" vertical="top" wrapText="1"/>
    </xf>
    <xf numFmtId="3" fontId="3" fillId="0" borderId="71" xfId="0" applyNumberFormat="1" applyFont="1" applyBorder="1" applyAlignment="1">
      <alignment horizontal="left" vertical="top"/>
    </xf>
    <xf numFmtId="3" fontId="0" fillId="0" borderId="71" xfId="0" applyNumberFormat="1" applyBorder="1"/>
    <xf numFmtId="165" fontId="0" fillId="0" borderId="12" xfId="0" applyNumberFormat="1" applyBorder="1"/>
    <xf numFmtId="0" fontId="13" fillId="0" borderId="72" xfId="0" applyFont="1" applyBorder="1" applyAlignment="1">
      <alignment horizontal="left" vertical="top"/>
    </xf>
    <xf numFmtId="165" fontId="10" fillId="0" borderId="11" xfId="0" applyNumberFormat="1" applyFont="1" applyBorder="1"/>
    <xf numFmtId="0" fontId="0" fillId="0" borderId="73" xfId="0" applyBorder="1"/>
    <xf numFmtId="0" fontId="3" fillId="0" borderId="11" xfId="0" applyFont="1" applyBorder="1" applyAlignment="1">
      <alignment horizontal="left" vertical="top"/>
    </xf>
    <xf numFmtId="165" fontId="0" fillId="0" borderId="73" xfId="0" applyNumberFormat="1" applyBorder="1"/>
    <xf numFmtId="3" fontId="0" fillId="0" borderId="0" xfId="6" applyNumberFormat="1" applyFont="1"/>
    <xf numFmtId="165" fontId="21" fillId="0" borderId="0" xfId="0" applyNumberFormat="1" applyFont="1"/>
    <xf numFmtId="0" fontId="21" fillId="0" borderId="0" xfId="0" applyFont="1"/>
    <xf numFmtId="0" fontId="3" fillId="0" borderId="12" xfId="0" applyFont="1" applyBorder="1" applyAlignment="1">
      <alignment horizontal="left" vertical="top"/>
    </xf>
    <xf numFmtId="0" fontId="0" fillId="0" borderId="0" xfId="0" quotePrefix="1"/>
    <xf numFmtId="0" fontId="0" fillId="2" borderId="0" xfId="0" applyFill="1" applyAlignment="1">
      <alignment wrapText="1"/>
    </xf>
    <xf numFmtId="0" fontId="1" fillId="7" borderId="11" xfId="0" applyFont="1" applyFill="1" applyBorder="1" applyAlignment="1">
      <alignment wrapText="1"/>
    </xf>
    <xf numFmtId="0" fontId="1" fillId="7" borderId="0" xfId="0" applyFont="1" applyFill="1" applyAlignment="1">
      <alignment wrapText="1"/>
    </xf>
    <xf numFmtId="0" fontId="1" fillId="7" borderId="9" xfId="0" applyFont="1" applyFill="1" applyBorder="1" applyAlignment="1">
      <alignment wrapText="1"/>
    </xf>
    <xf numFmtId="0" fontId="1" fillId="6" borderId="0" xfId="0" applyFont="1" applyFill="1" applyAlignment="1">
      <alignment wrapText="1"/>
    </xf>
    <xf numFmtId="0" fontId="1" fillId="11" borderId="0" xfId="0" applyFont="1" applyFill="1" applyAlignment="1">
      <alignment wrapText="1"/>
    </xf>
    <xf numFmtId="165" fontId="16" fillId="0" borderId="11" xfId="0" applyNumberFormat="1" applyFont="1" applyBorder="1" applyAlignment="1">
      <alignment horizontal="right"/>
    </xf>
    <xf numFmtId="165" fontId="16" fillId="14" borderId="0" xfId="0" applyNumberFormat="1" applyFont="1" applyFill="1" applyAlignment="1">
      <alignment horizontal="right"/>
    </xf>
    <xf numFmtId="165" fontId="16" fillId="0" borderId="0" xfId="0" applyNumberFormat="1" applyFont="1" applyAlignment="1">
      <alignment horizontal="right"/>
    </xf>
    <xf numFmtId="165" fontId="0" fillId="14" borderId="0" xfId="0" applyNumberFormat="1" applyFill="1" applyAlignment="1">
      <alignment horizontal="right"/>
    </xf>
    <xf numFmtId="165" fontId="16" fillId="0" borderId="5" xfId="0" applyNumberFormat="1" applyFont="1" applyBorder="1" applyAlignment="1">
      <alignment horizontal="right"/>
    </xf>
    <xf numFmtId="165" fontId="0" fillId="14" borderId="11" xfId="0" applyNumberFormat="1" applyFill="1" applyBorder="1" applyAlignment="1">
      <alignment horizontal="right"/>
    </xf>
    <xf numFmtId="165" fontId="0" fillId="0" borderId="0" xfId="0" applyNumberFormat="1" applyAlignment="1">
      <alignment horizontal="right"/>
    </xf>
    <xf numFmtId="165" fontId="0" fillId="0" borderId="12" xfId="0" applyNumberFormat="1" applyBorder="1" applyAlignment="1">
      <alignment horizontal="right"/>
    </xf>
    <xf numFmtId="165" fontId="0" fillId="14" borderId="5" xfId="0" applyNumberFormat="1" applyFill="1" applyBorder="1" applyAlignment="1">
      <alignment horizontal="right"/>
    </xf>
    <xf numFmtId="165" fontId="16" fillId="14" borderId="12" xfId="0" applyNumberFormat="1" applyFont="1" applyFill="1" applyBorder="1" applyAlignment="1">
      <alignment horizontal="right"/>
    </xf>
    <xf numFmtId="165" fontId="0" fillId="13" borderId="0" xfId="0" applyNumberFormat="1" applyFill="1" applyAlignment="1">
      <alignment horizontal="right"/>
    </xf>
    <xf numFmtId="165" fontId="0" fillId="13" borderId="11" xfId="0" applyNumberFormat="1" applyFill="1" applyBorder="1" applyAlignment="1">
      <alignment horizontal="right"/>
    </xf>
    <xf numFmtId="165" fontId="0" fillId="13" borderId="5" xfId="0" applyNumberFormat="1" applyFill="1" applyBorder="1" applyAlignment="1">
      <alignment horizontal="right"/>
    </xf>
    <xf numFmtId="0" fontId="1" fillId="15" borderId="0" xfId="0" applyFont="1" applyFill="1"/>
    <xf numFmtId="0" fontId="1" fillId="15" borderId="0" xfId="0" applyFont="1" applyFill="1" applyAlignment="1">
      <alignment wrapText="1"/>
    </xf>
    <xf numFmtId="165" fontId="10" fillId="0" borderId="5" xfId="0" applyNumberFormat="1" applyFont="1" applyBorder="1"/>
    <xf numFmtId="165" fontId="0" fillId="3" borderId="15" xfId="0" applyNumberFormat="1" applyFill="1" applyBorder="1"/>
    <xf numFmtId="0" fontId="20" fillId="0" borderId="0" xfId="0" applyFont="1"/>
    <xf numFmtId="0" fontId="17" fillId="16" borderId="0" xfId="0" applyFont="1" applyFill="1"/>
    <xf numFmtId="0" fontId="0" fillId="16" borderId="0" xfId="0" applyFill="1"/>
    <xf numFmtId="0" fontId="1" fillId="8" borderId="76" xfId="0" applyFont="1" applyFill="1" applyBorder="1"/>
    <xf numFmtId="0" fontId="1" fillId="9" borderId="76" xfId="0" applyFont="1" applyFill="1" applyBorder="1"/>
    <xf numFmtId="0" fontId="1" fillId="8" borderId="75" xfId="0" applyFont="1" applyFill="1" applyBorder="1"/>
    <xf numFmtId="3" fontId="3" fillId="0" borderId="77" xfId="0" applyNumberFormat="1" applyFont="1" applyBorder="1" applyAlignment="1">
      <alignment horizontal="left" vertical="top"/>
    </xf>
    <xf numFmtId="3" fontId="20" fillId="0" borderId="78" xfId="0" applyNumberFormat="1" applyFont="1" applyBorder="1"/>
    <xf numFmtId="0" fontId="0" fillId="16" borderId="79" xfId="0" applyFill="1" applyBorder="1"/>
    <xf numFmtId="3" fontId="20" fillId="0" borderId="0" xfId="0" quotePrefix="1" applyNumberFormat="1" applyFont="1"/>
    <xf numFmtId="9" fontId="0" fillId="0" borderId="0" xfId="6" applyFont="1" applyAlignment="1">
      <alignment horizontal="center"/>
    </xf>
    <xf numFmtId="167" fontId="0" fillId="0" borderId="0" xfId="0" applyNumberFormat="1"/>
    <xf numFmtId="3" fontId="0" fillId="0" borderId="0" xfId="0" applyNumberFormat="1" applyAlignment="1">
      <alignment horizontal="center" vertical="center"/>
    </xf>
    <xf numFmtId="9" fontId="0" fillId="0" borderId="0" xfId="6" applyFont="1" applyAlignment="1">
      <alignment horizontal="center" vertical="center"/>
    </xf>
    <xf numFmtId="0" fontId="7" fillId="0" borderId="0" xfId="0" applyFont="1" applyAlignment="1">
      <alignment horizontal="center"/>
    </xf>
    <xf numFmtId="9" fontId="7" fillId="0" borderId="0" xfId="6" applyFont="1" applyAlignment="1">
      <alignment horizontal="center" vertical="center"/>
    </xf>
    <xf numFmtId="0" fontId="7" fillId="0" borderId="0" xfId="0" applyFont="1" applyAlignment="1">
      <alignment horizontal="center" wrapText="1"/>
    </xf>
    <xf numFmtId="9" fontId="7" fillId="0" borderId="0" xfId="6" applyFont="1" applyAlignment="1">
      <alignment horizontal="center"/>
    </xf>
    <xf numFmtId="168" fontId="0" fillId="0" borderId="0" xfId="0" applyNumberFormat="1" applyAlignment="1">
      <alignment horizontal="center"/>
    </xf>
    <xf numFmtId="168" fontId="7" fillId="0" borderId="0" xfId="0" applyNumberFormat="1" applyFont="1" applyAlignment="1">
      <alignment horizontal="center"/>
    </xf>
    <xf numFmtId="0" fontId="1" fillId="17" borderId="3" xfId="0" applyFont="1" applyFill="1" applyBorder="1"/>
    <xf numFmtId="0" fontId="1" fillId="17" borderId="24" xfId="0" applyFont="1" applyFill="1" applyBorder="1"/>
    <xf numFmtId="0" fontId="1" fillId="17" borderId="23" xfId="0" applyFont="1" applyFill="1" applyBorder="1"/>
    <xf numFmtId="0" fontId="1" fillId="17" borderId="7" xfId="0" applyFont="1" applyFill="1" applyBorder="1"/>
    <xf numFmtId="0" fontId="1" fillId="17" borderId="8" xfId="0" applyFont="1" applyFill="1" applyBorder="1"/>
    <xf numFmtId="0" fontId="1" fillId="17" borderId="0" xfId="0" applyFont="1" applyFill="1"/>
    <xf numFmtId="0" fontId="1" fillId="17" borderId="9" xfId="0" applyFont="1" applyFill="1" applyBorder="1"/>
    <xf numFmtId="0" fontId="1" fillId="17" borderId="65" xfId="0" applyFont="1" applyFill="1" applyBorder="1"/>
    <xf numFmtId="0" fontId="1" fillId="17" borderId="0" xfId="0" applyFont="1" applyFill="1" applyAlignment="1">
      <alignment vertical="top" wrapText="1"/>
    </xf>
    <xf numFmtId="165" fontId="15" fillId="4" borderId="28" xfId="0" applyNumberFormat="1" applyFont="1" applyFill="1" applyBorder="1"/>
    <xf numFmtId="165" fontId="15" fillId="4" borderId="32" xfId="0" applyNumberFormat="1" applyFont="1" applyFill="1" applyBorder="1"/>
    <xf numFmtId="165" fontId="15" fillId="4" borderId="29" xfId="0" applyNumberFormat="1" applyFont="1" applyFill="1" applyBorder="1"/>
    <xf numFmtId="165" fontId="15" fillId="4" borderId="6" xfId="0" applyNumberFormat="1" applyFont="1" applyFill="1" applyBorder="1"/>
    <xf numFmtId="165" fontId="0" fillId="0" borderId="6" xfId="0" applyNumberFormat="1" applyBorder="1"/>
    <xf numFmtId="165" fontId="15" fillId="4" borderId="30" xfId="0" applyNumberFormat="1" applyFont="1" applyFill="1" applyBorder="1"/>
    <xf numFmtId="165" fontId="15" fillId="4" borderId="4" xfId="0" applyNumberFormat="1" applyFont="1" applyFill="1" applyBorder="1"/>
    <xf numFmtId="165" fontId="15" fillId="4" borderId="31" xfId="0" applyNumberFormat="1" applyFont="1" applyFill="1" applyBorder="1"/>
    <xf numFmtId="0" fontId="3" fillId="0" borderId="28" xfId="0" applyFont="1" applyBorder="1" applyAlignment="1">
      <alignment horizontal="left" vertical="top"/>
    </xf>
    <xf numFmtId="0" fontId="3" fillId="0" borderId="32" xfId="0" applyFont="1" applyBorder="1" applyAlignment="1">
      <alignment horizontal="left" vertical="top"/>
    </xf>
    <xf numFmtId="0" fontId="3" fillId="0" borderId="29" xfId="0" applyFont="1" applyBorder="1" applyAlignment="1">
      <alignment horizontal="left" vertical="top"/>
    </xf>
    <xf numFmtId="165" fontId="0" fillId="0" borderId="81" xfId="0" applyNumberFormat="1" applyBorder="1"/>
    <xf numFmtId="165" fontId="0" fillId="0" borderId="82" xfId="0" applyNumberFormat="1" applyBorder="1"/>
    <xf numFmtId="165" fontId="0" fillId="0" borderId="31" xfId="0" applyNumberFormat="1" applyBorder="1"/>
    <xf numFmtId="0" fontId="3" fillId="0" borderId="83" xfId="0" applyFont="1" applyBorder="1" applyAlignment="1">
      <alignment horizontal="left" vertical="top"/>
    </xf>
    <xf numFmtId="3" fontId="0" fillId="0" borderId="5" xfId="0" applyNumberFormat="1" applyBorder="1"/>
    <xf numFmtId="3" fontId="0" fillId="0" borderId="6" xfId="0" applyNumberFormat="1" applyBorder="1"/>
    <xf numFmtId="3" fontId="0" fillId="0" borderId="81" xfId="0" applyNumberFormat="1" applyBorder="1"/>
    <xf numFmtId="3" fontId="0" fillId="0" borderId="82" xfId="0" applyNumberFormat="1" applyBorder="1"/>
    <xf numFmtId="3" fontId="0" fillId="0" borderId="31" xfId="0" applyNumberFormat="1" applyBorder="1"/>
    <xf numFmtId="0" fontId="3" fillId="0" borderId="33" xfId="0" applyFont="1" applyBorder="1" applyAlignment="1">
      <alignment horizontal="left" vertical="top"/>
    </xf>
    <xf numFmtId="0" fontId="17" fillId="12" borderId="84" xfId="0" applyFont="1" applyFill="1" applyBorder="1"/>
    <xf numFmtId="0" fontId="17" fillId="12" borderId="85" xfId="0" applyFont="1" applyFill="1" applyBorder="1"/>
    <xf numFmtId="0" fontId="17" fillId="12" borderId="5" xfId="0" applyFont="1" applyFill="1" applyBorder="1"/>
    <xf numFmtId="0" fontId="17" fillId="12" borderId="86" xfId="0" applyFont="1" applyFill="1" applyBorder="1"/>
    <xf numFmtId="0" fontId="0" fillId="0" borderId="87" xfId="0" applyBorder="1"/>
    <xf numFmtId="3" fontId="3" fillId="0" borderId="0" xfId="0" applyNumberFormat="1" applyFont="1" applyAlignment="1">
      <alignment horizontal="left" vertical="top"/>
    </xf>
    <xf numFmtId="0" fontId="1" fillId="8" borderId="84" xfId="0" applyFont="1" applyFill="1" applyBorder="1"/>
    <xf numFmtId="0" fontId="1" fillId="8" borderId="88" xfId="0" applyFont="1" applyFill="1" applyBorder="1"/>
    <xf numFmtId="0" fontId="1" fillId="8" borderId="89" xfId="0" applyFont="1" applyFill="1" applyBorder="1"/>
    <xf numFmtId="0" fontId="1" fillId="8" borderId="90" xfId="0" applyFont="1" applyFill="1" applyBorder="1"/>
    <xf numFmtId="0" fontId="1" fillId="8" borderId="91" xfId="0" applyFont="1" applyFill="1" applyBorder="1"/>
    <xf numFmtId="0" fontId="1" fillId="8" borderId="5" xfId="0" applyFont="1" applyFill="1" applyBorder="1"/>
    <xf numFmtId="3" fontId="3" fillId="0" borderId="2" xfId="0" applyNumberFormat="1" applyFont="1" applyBorder="1" applyAlignment="1">
      <alignment horizontal="left" vertical="top"/>
    </xf>
    <xf numFmtId="3" fontId="0" fillId="0" borderId="92" xfId="0" applyNumberFormat="1" applyBorder="1"/>
    <xf numFmtId="3" fontId="0" fillId="0" borderId="93" xfId="0" applyNumberFormat="1" applyBorder="1"/>
    <xf numFmtId="0" fontId="1" fillId="17" borderId="43" xfId="0" applyFont="1" applyFill="1" applyBorder="1"/>
    <xf numFmtId="0" fontId="1" fillId="17" borderId="44" xfId="0" applyFont="1" applyFill="1" applyBorder="1"/>
    <xf numFmtId="0" fontId="1" fillId="17" borderId="94" xfId="0" applyFont="1" applyFill="1" applyBorder="1"/>
    <xf numFmtId="0" fontId="1" fillId="17" borderId="95" xfId="0" applyFont="1" applyFill="1" applyBorder="1"/>
    <xf numFmtId="0" fontId="1" fillId="17" borderId="96" xfId="0" applyFont="1" applyFill="1" applyBorder="1"/>
    <xf numFmtId="0" fontId="1" fillId="17" borderId="45" xfId="0" applyFont="1" applyFill="1" applyBorder="1"/>
    <xf numFmtId="0" fontId="1" fillId="17" borderId="46" xfId="0" applyFont="1" applyFill="1" applyBorder="1"/>
    <xf numFmtId="0" fontId="1" fillId="17" borderId="97" xfId="0" applyFont="1" applyFill="1" applyBorder="1" applyAlignment="1">
      <alignment vertical="top" wrapText="1"/>
    </xf>
    <xf numFmtId="0" fontId="3" fillId="0" borderId="46" xfId="0" applyFont="1" applyBorder="1" applyAlignment="1">
      <alignment horizontal="left" vertical="top"/>
    </xf>
    <xf numFmtId="0" fontId="3" fillId="0" borderId="47" xfId="0" applyFont="1" applyBorder="1" applyAlignment="1">
      <alignment horizontal="left" vertical="top"/>
    </xf>
    <xf numFmtId="3" fontId="0" fillId="0" borderId="46" xfId="0" applyNumberFormat="1" applyBorder="1"/>
    <xf numFmtId="3" fontId="0" fillId="0" borderId="47" xfId="0" applyNumberFormat="1" applyBorder="1"/>
    <xf numFmtId="3" fontId="0" fillId="0" borderId="98" xfId="0" applyNumberFormat="1" applyBorder="1"/>
    <xf numFmtId="3" fontId="0" fillId="0" borderId="49" xfId="0" applyNumberFormat="1" applyBorder="1"/>
    <xf numFmtId="3" fontId="0" fillId="0" borderId="99" xfId="0" applyNumberFormat="1" applyBorder="1"/>
    <xf numFmtId="0" fontId="1" fillId="11" borderId="43" xfId="0" applyFont="1" applyFill="1" applyBorder="1"/>
    <xf numFmtId="0" fontId="1" fillId="11" borderId="44" xfId="0" applyFont="1" applyFill="1" applyBorder="1"/>
    <xf numFmtId="0" fontId="1" fillId="11" borderId="94" xfId="0" applyFont="1" applyFill="1" applyBorder="1"/>
    <xf numFmtId="0" fontId="1" fillId="11" borderId="95" xfId="0" applyFont="1" applyFill="1" applyBorder="1"/>
    <xf numFmtId="0" fontId="1" fillId="11" borderId="45" xfId="0" applyFont="1" applyFill="1" applyBorder="1"/>
    <xf numFmtId="0" fontId="1" fillId="11" borderId="46" xfId="0" applyFont="1" applyFill="1" applyBorder="1"/>
    <xf numFmtId="0" fontId="1" fillId="11" borderId="97" xfId="0" applyFont="1" applyFill="1" applyBorder="1" applyAlignment="1">
      <alignment vertical="top" wrapText="1"/>
    </xf>
    <xf numFmtId="0" fontId="1" fillId="11" borderId="96" xfId="0" applyFont="1" applyFill="1" applyBorder="1"/>
    <xf numFmtId="3" fontId="3" fillId="0" borderId="46" xfId="0" applyNumberFormat="1" applyFont="1" applyBorder="1" applyAlignment="1">
      <alignment horizontal="left" vertical="top"/>
    </xf>
    <xf numFmtId="3" fontId="3" fillId="0" borderId="47" xfId="0" applyNumberFormat="1" applyFont="1" applyBorder="1" applyAlignment="1">
      <alignment horizontal="left" vertical="top"/>
    </xf>
    <xf numFmtId="165" fontId="10" fillId="0" borderId="6" xfId="0" applyNumberFormat="1" applyFont="1" applyBorder="1"/>
    <xf numFmtId="165" fontId="8" fillId="0" borderId="6" xfId="0" applyNumberFormat="1" applyFont="1" applyBorder="1"/>
    <xf numFmtId="0" fontId="1" fillId="17" borderId="0" xfId="0" applyFont="1" applyFill="1" applyAlignment="1">
      <alignment wrapText="1"/>
    </xf>
    <xf numFmtId="0" fontId="1" fillId="17" borderId="76" xfId="0" applyFont="1" applyFill="1" applyBorder="1"/>
    <xf numFmtId="0" fontId="17" fillId="18" borderId="0" xfId="0" applyFont="1" applyFill="1"/>
    <xf numFmtId="0" fontId="0" fillId="18" borderId="79" xfId="0" applyFill="1" applyBorder="1"/>
    <xf numFmtId="0" fontId="0" fillId="18" borderId="0" xfId="0" applyFill="1"/>
    <xf numFmtId="0" fontId="1" fillId="17" borderId="100" xfId="0" applyFont="1" applyFill="1" applyBorder="1"/>
    <xf numFmtId="0" fontId="1" fillId="9" borderId="100" xfId="0" applyFont="1" applyFill="1" applyBorder="1"/>
    <xf numFmtId="0" fontId="1" fillId="11" borderId="100" xfId="0" applyFont="1" applyFill="1" applyBorder="1"/>
    <xf numFmtId="3" fontId="3" fillId="0" borderId="40" xfId="0" applyNumberFormat="1" applyFont="1" applyBorder="1" applyAlignment="1">
      <alignment horizontal="left" vertical="top"/>
    </xf>
    <xf numFmtId="3" fontId="3" fillId="0" borderId="41" xfId="0" applyNumberFormat="1" applyFont="1" applyBorder="1" applyAlignment="1">
      <alignment horizontal="left" vertical="top"/>
    </xf>
    <xf numFmtId="3" fontId="3" fillId="0" borderId="42" xfId="0" applyNumberFormat="1" applyFont="1" applyBorder="1" applyAlignment="1">
      <alignment horizontal="left" vertical="top"/>
    </xf>
    <xf numFmtId="3" fontId="20" fillId="0" borderId="46" xfId="0" applyNumberFormat="1" applyFont="1" applyBorder="1"/>
    <xf numFmtId="3" fontId="20" fillId="0" borderId="47" xfId="0" applyNumberFormat="1" applyFont="1" applyBorder="1"/>
    <xf numFmtId="3" fontId="20" fillId="0" borderId="98" xfId="0" applyNumberFormat="1" applyFont="1" applyBorder="1"/>
    <xf numFmtId="3" fontId="20" fillId="0" borderId="99" xfId="0" applyNumberFormat="1" applyFont="1" applyBorder="1"/>
    <xf numFmtId="3" fontId="3" fillId="0" borderId="102" xfId="0" applyNumberFormat="1" applyFont="1" applyBorder="1" applyAlignment="1">
      <alignment horizontal="left" vertical="top"/>
    </xf>
    <xf numFmtId="3" fontId="3" fillId="0" borderId="103" xfId="0" applyNumberFormat="1" applyFont="1" applyBorder="1" applyAlignment="1">
      <alignment horizontal="left" vertical="top"/>
    </xf>
    <xf numFmtId="3" fontId="3" fillId="0" borderId="104" xfId="0" applyNumberFormat="1" applyFont="1" applyBorder="1" applyAlignment="1">
      <alignment horizontal="left" vertical="top"/>
    </xf>
    <xf numFmtId="0" fontId="1" fillId="11" borderId="37" xfId="0" applyFont="1" applyFill="1" applyBorder="1"/>
    <xf numFmtId="0" fontId="1" fillId="11" borderId="38" xfId="0" applyFont="1" applyFill="1" applyBorder="1"/>
    <xf numFmtId="0" fontId="1" fillId="11" borderId="75" xfId="0" applyFont="1" applyFill="1" applyBorder="1"/>
    <xf numFmtId="0" fontId="1" fillId="17" borderId="37" xfId="0" applyFont="1" applyFill="1" applyBorder="1"/>
    <xf numFmtId="0" fontId="1" fillId="17" borderId="38" xfId="0" applyFont="1" applyFill="1" applyBorder="1"/>
    <xf numFmtId="0" fontId="1" fillId="17" borderId="75" xfId="0" applyFont="1" applyFill="1" applyBorder="1"/>
    <xf numFmtId="0" fontId="1" fillId="8" borderId="38" xfId="0" applyFont="1" applyFill="1" applyBorder="1"/>
    <xf numFmtId="0" fontId="1" fillId="8" borderId="37" xfId="0" applyFont="1" applyFill="1" applyBorder="1"/>
    <xf numFmtId="3" fontId="20" fillId="0" borderId="5" xfId="0" applyNumberFormat="1" applyFont="1" applyBorder="1"/>
    <xf numFmtId="3" fontId="20" fillId="0" borderId="6" xfId="0" applyNumberFormat="1" applyFont="1" applyBorder="1"/>
    <xf numFmtId="3" fontId="20" fillId="0" borderId="30" xfId="0" applyNumberFormat="1" applyFont="1" applyBorder="1"/>
    <xf numFmtId="3" fontId="20" fillId="0" borderId="92" xfId="0" applyNumberFormat="1" applyFont="1" applyBorder="1"/>
    <xf numFmtId="3" fontId="20" fillId="0" borderId="87" xfId="0" applyNumberFormat="1" applyFont="1" applyBorder="1"/>
    <xf numFmtId="0" fontId="1" fillId="17" borderId="76" xfId="0" applyFont="1" applyFill="1" applyBorder="1" applyAlignment="1">
      <alignment vertical="center"/>
    </xf>
    <xf numFmtId="0" fontId="1" fillId="11" borderId="76" xfId="0" applyFont="1" applyFill="1" applyBorder="1" applyAlignment="1">
      <alignment vertical="center"/>
    </xf>
    <xf numFmtId="0" fontId="1" fillId="6" borderId="55" xfId="0" applyFont="1" applyFill="1" applyBorder="1" applyAlignment="1">
      <alignment vertical="center"/>
    </xf>
    <xf numFmtId="0" fontId="8" fillId="0" borderId="0" xfId="0" applyFont="1" applyAlignment="1">
      <alignment horizontal="center" vertical="center"/>
    </xf>
    <xf numFmtId="0" fontId="11" fillId="3" borderId="0" xfId="0" applyFont="1" applyFill="1" applyAlignment="1">
      <alignment horizontal="left" vertical="center"/>
    </xf>
    <xf numFmtId="0" fontId="12" fillId="3" borderId="0" xfId="0" applyFont="1" applyFill="1" applyAlignment="1">
      <alignment horizontal="left" vertical="center"/>
    </xf>
    <xf numFmtId="0" fontId="1" fillId="19" borderId="107" xfId="0" applyFont="1" applyFill="1" applyBorder="1" applyAlignment="1">
      <alignment horizontal="left" wrapText="1"/>
    </xf>
    <xf numFmtId="0" fontId="1" fillId="20" borderId="107" xfId="0" applyFont="1" applyFill="1" applyBorder="1" applyAlignment="1">
      <alignment horizontal="left" wrapText="1"/>
    </xf>
    <xf numFmtId="0" fontId="0" fillId="0" borderId="0" xfId="0" applyAlignment="1">
      <alignment horizontal="left"/>
    </xf>
    <xf numFmtId="0" fontId="1" fillId="11" borderId="108" xfId="0" applyFont="1" applyFill="1" applyBorder="1" applyAlignment="1">
      <alignment horizontal="left"/>
    </xf>
    <xf numFmtId="0" fontId="1" fillId="11" borderId="108" xfId="0" applyFont="1" applyFill="1" applyBorder="1" applyAlignment="1">
      <alignment horizontal="left" wrapText="1"/>
    </xf>
    <xf numFmtId="0" fontId="1" fillId="19" borderId="108" xfId="0" applyFont="1" applyFill="1" applyBorder="1" applyAlignment="1">
      <alignment horizontal="left" vertical="center" wrapText="1"/>
    </xf>
    <xf numFmtId="0" fontId="1" fillId="17" borderId="108" xfId="0" applyFont="1" applyFill="1" applyBorder="1" applyAlignment="1">
      <alignment horizontal="left" vertical="center" wrapText="1"/>
    </xf>
    <xf numFmtId="0" fontId="1" fillId="20" borderId="108" xfId="0" applyFont="1" applyFill="1" applyBorder="1" applyAlignment="1">
      <alignment horizontal="left" vertical="center" wrapText="1"/>
    </xf>
    <xf numFmtId="0" fontId="0" fillId="0" borderId="0" xfId="0" applyAlignment="1">
      <alignment horizontal="left" wrapText="1"/>
    </xf>
    <xf numFmtId="0" fontId="0" fillId="0" borderId="78" xfId="0" applyBorder="1"/>
    <xf numFmtId="0" fontId="0" fillId="0" borderId="110" xfId="0" quotePrefix="1" applyBorder="1" applyAlignment="1">
      <alignment vertical="center" wrapText="1"/>
    </xf>
    <xf numFmtId="0" fontId="0" fillId="0" borderId="110" xfId="0" applyBorder="1" applyAlignment="1">
      <alignment vertical="center" wrapText="1"/>
    </xf>
    <xf numFmtId="0" fontId="0" fillId="0" borderId="110" xfId="0" applyBorder="1" applyAlignment="1">
      <alignment vertical="top" wrapText="1"/>
    </xf>
    <xf numFmtId="0" fontId="11" fillId="0" borderId="0" xfId="0" applyFont="1"/>
    <xf numFmtId="0" fontId="22" fillId="0" borderId="0" xfId="0" applyFont="1"/>
    <xf numFmtId="0" fontId="7" fillId="0" borderId="0" xfId="0" applyFont="1" applyAlignment="1">
      <alignment vertical="center"/>
    </xf>
    <xf numFmtId="0" fontId="0" fillId="0" borderId="0" xfId="0" applyAlignment="1" applyProtection="1">
      <alignment horizontal="center" vertical="center"/>
      <protection locked="0"/>
    </xf>
    <xf numFmtId="0" fontId="12" fillId="0" borderId="0" xfId="0" applyFont="1" applyAlignment="1">
      <alignment horizontal="left" vertical="center"/>
    </xf>
    <xf numFmtId="0" fontId="11" fillId="0" borderId="0" xfId="0" applyFont="1" applyAlignment="1">
      <alignment horizontal="left" vertical="center"/>
    </xf>
    <xf numFmtId="0" fontId="18" fillId="0" borderId="0" xfId="0" applyFont="1" applyProtection="1">
      <protection locked="0"/>
    </xf>
    <xf numFmtId="0" fontId="0" fillId="0" borderId="0" xfId="0" applyAlignment="1" applyProtection="1">
      <alignment horizontal="left" vertical="center"/>
      <protection locked="0"/>
    </xf>
    <xf numFmtId="0" fontId="0" fillId="0" borderId="110" xfId="0" applyBorder="1"/>
    <xf numFmtId="0" fontId="23" fillId="0" borderId="110" xfId="7" applyBorder="1" applyAlignment="1">
      <alignment vertical="top"/>
    </xf>
    <xf numFmtId="0" fontId="23" fillId="0" borderId="110" xfId="7" applyBorder="1" applyAlignment="1">
      <alignment horizontal="left" vertical="top"/>
    </xf>
    <xf numFmtId="0" fontId="11" fillId="3" borderId="0" xfId="0" applyFont="1" applyFill="1"/>
    <xf numFmtId="0" fontId="24" fillId="3" borderId="0" xfId="0" applyFont="1" applyFill="1"/>
    <xf numFmtId="0" fontId="8" fillId="3" borderId="0" xfId="0" applyFont="1" applyFill="1"/>
    <xf numFmtId="10" fontId="8" fillId="3" borderId="0" xfId="0" applyNumberFormat="1" applyFont="1" applyFill="1"/>
    <xf numFmtId="0" fontId="25" fillId="21" borderId="0" xfId="0" applyFont="1" applyFill="1"/>
    <xf numFmtId="0" fontId="0" fillId="21" borderId="0" xfId="0" applyFill="1"/>
    <xf numFmtId="10" fontId="0" fillId="21" borderId="0" xfId="0" applyNumberFormat="1" applyFill="1"/>
    <xf numFmtId="0" fontId="25" fillId="3" borderId="0" xfId="0" applyFont="1" applyFill="1"/>
    <xf numFmtId="0" fontId="26" fillId="22" borderId="4" xfId="0" applyFont="1" applyFill="1" applyBorder="1" applyAlignment="1">
      <alignment vertical="center"/>
    </xf>
    <xf numFmtId="0" fontId="27" fillId="3" borderId="0" xfId="0" applyFont="1" applyFill="1" applyAlignment="1">
      <alignment vertical="center"/>
    </xf>
    <xf numFmtId="0" fontId="27" fillId="22" borderId="4" xfId="0" applyFont="1" applyFill="1" applyBorder="1" applyAlignment="1">
      <alignment vertical="center"/>
    </xf>
    <xf numFmtId="0" fontId="28" fillId="3" borderId="0" xfId="0" applyFont="1" applyFill="1"/>
    <xf numFmtId="0" fontId="29" fillId="22" borderId="0" xfId="0" applyFont="1" applyFill="1" applyAlignment="1">
      <alignment vertical="center"/>
    </xf>
    <xf numFmtId="0" fontId="26" fillId="22" borderId="0" xfId="0" applyFont="1" applyFill="1" applyAlignment="1">
      <alignment vertical="center"/>
    </xf>
    <xf numFmtId="0" fontId="27" fillId="22" borderId="0" xfId="0" applyFont="1" applyFill="1" applyAlignment="1">
      <alignment vertical="center"/>
    </xf>
    <xf numFmtId="0" fontId="27" fillId="0" borderId="111" xfId="0" applyFont="1" applyBorder="1"/>
    <xf numFmtId="0" fontId="27" fillId="0" borderId="111" xfId="0" applyFont="1" applyBorder="1" applyAlignment="1">
      <alignment horizontal="right"/>
    </xf>
    <xf numFmtId="0" fontId="27" fillId="3" borderId="0" xfId="0" applyFont="1" applyFill="1"/>
    <xf numFmtId="0" fontId="28" fillId="0" borderId="112" xfId="0" applyFont="1" applyBorder="1"/>
    <xf numFmtId="10" fontId="28" fillId="0" borderId="112" xfId="6" applyNumberFormat="1" applyFont="1" applyBorder="1" applyAlignment="1">
      <alignment horizontal="right"/>
    </xf>
    <xf numFmtId="10" fontId="0" fillId="0" borderId="0" xfId="0" applyNumberFormat="1"/>
    <xf numFmtId="0" fontId="27" fillId="0" borderId="112" xfId="0" applyFont="1" applyBorder="1"/>
    <xf numFmtId="10" fontId="27" fillId="0" borderId="112" xfId="0" applyNumberFormat="1" applyFont="1" applyBorder="1"/>
    <xf numFmtId="10" fontId="27" fillId="0" borderId="112" xfId="6" applyNumberFormat="1" applyFont="1" applyBorder="1"/>
    <xf numFmtId="0" fontId="30" fillId="3" borderId="0" xfId="0" applyFont="1" applyFill="1" applyAlignment="1">
      <alignment horizontal="left" vertical="top" wrapText="1"/>
    </xf>
    <xf numFmtId="169" fontId="0" fillId="3" borderId="0" xfId="0" applyNumberFormat="1" applyFill="1"/>
    <xf numFmtId="0" fontId="25" fillId="21" borderId="0" xfId="0" applyFont="1" applyFill="1" applyAlignment="1">
      <alignment horizontal="left"/>
    </xf>
    <xf numFmtId="0" fontId="27" fillId="3" borderId="111" xfId="0" applyFont="1" applyFill="1" applyBorder="1"/>
    <xf numFmtId="0" fontId="27" fillId="3" borderId="111" xfId="0" applyFont="1" applyFill="1" applyBorder="1" applyAlignment="1">
      <alignment horizontal="right"/>
    </xf>
    <xf numFmtId="0" fontId="28" fillId="3" borderId="112" xfId="0" applyFont="1" applyFill="1" applyBorder="1"/>
    <xf numFmtId="10" fontId="28" fillId="3" borderId="112" xfId="6" applyNumberFormat="1" applyFont="1" applyFill="1" applyBorder="1" applyAlignment="1">
      <alignment horizontal="right"/>
    </xf>
    <xf numFmtId="0" fontId="27" fillId="3" borderId="112" xfId="0" applyFont="1" applyFill="1" applyBorder="1"/>
    <xf numFmtId="10" fontId="27" fillId="3" borderId="112" xfId="0" applyNumberFormat="1" applyFont="1" applyFill="1" applyBorder="1"/>
    <xf numFmtId="0" fontId="12" fillId="0" borderId="0" xfId="0" applyFont="1"/>
    <xf numFmtId="0" fontId="0" fillId="2" borderId="4" xfId="0" applyFill="1" applyBorder="1" applyAlignment="1">
      <alignment wrapText="1"/>
    </xf>
    <xf numFmtId="0" fontId="0" fillId="2" borderId="4" xfId="0" applyFill="1" applyBorder="1" applyAlignment="1">
      <alignment vertical="top" wrapText="1"/>
    </xf>
    <xf numFmtId="0" fontId="0" fillId="2" borderId="4" xfId="0" applyFill="1" applyBorder="1" applyAlignment="1">
      <alignment horizontal="left" wrapText="1"/>
    </xf>
    <xf numFmtId="0" fontId="32" fillId="3" borderId="27" xfId="0" applyFont="1" applyFill="1" applyBorder="1" applyAlignment="1">
      <alignment horizontal="left" vertical="top"/>
    </xf>
    <xf numFmtId="0" fontId="33" fillId="0" borderId="0" xfId="0" applyFont="1"/>
    <xf numFmtId="0" fontId="33" fillId="0" borderId="112" xfId="0" applyFont="1" applyBorder="1"/>
    <xf numFmtId="0" fontId="34" fillId="3" borderId="0" xfId="0" applyFont="1" applyFill="1" applyAlignment="1">
      <alignment vertical="center"/>
    </xf>
    <xf numFmtId="0" fontId="33" fillId="0" borderId="112" xfId="0" applyFont="1" applyBorder="1" applyAlignment="1">
      <alignment horizontal="right"/>
    </xf>
    <xf numFmtId="3" fontId="0" fillId="0" borderId="0" xfId="6" applyNumberFormat="1" applyFont="1" applyBorder="1"/>
    <xf numFmtId="0" fontId="1" fillId="8" borderId="108" xfId="0" applyFont="1" applyFill="1" applyBorder="1" applyAlignment="1">
      <alignment horizontal="left" vertical="top" wrapText="1"/>
    </xf>
    <xf numFmtId="0" fontId="1" fillId="8" borderId="106" xfId="0" applyFont="1" applyFill="1" applyBorder="1" applyAlignment="1">
      <alignment horizontal="left" vertical="top" wrapText="1"/>
    </xf>
    <xf numFmtId="0" fontId="1" fillId="11" borderId="109" xfId="0" applyFont="1" applyFill="1" applyBorder="1" applyAlignment="1">
      <alignment horizontal="left" vertical="center"/>
    </xf>
    <xf numFmtId="0" fontId="1" fillId="17" borderId="109" xfId="0" applyFont="1" applyFill="1" applyBorder="1" applyAlignment="1">
      <alignment horizontal="left" vertical="center"/>
    </xf>
    <xf numFmtId="0" fontId="1" fillId="8" borderId="106" xfId="0" applyFont="1" applyFill="1" applyBorder="1" applyAlignment="1">
      <alignment horizontal="left" vertical="top"/>
    </xf>
    <xf numFmtId="0" fontId="1" fillId="11" borderId="80" xfId="0" applyFont="1" applyFill="1" applyBorder="1" applyAlignment="1">
      <alignment horizontal="center" vertical="center" wrapText="1"/>
    </xf>
    <xf numFmtId="0" fontId="1" fillId="11" borderId="101" xfId="0" applyFont="1" applyFill="1" applyBorder="1" applyAlignment="1">
      <alignment horizontal="center" vertical="center" wrapText="1"/>
    </xf>
    <xf numFmtId="0" fontId="1" fillId="8" borderId="37" xfId="0" applyFont="1" applyFill="1" applyBorder="1" applyAlignment="1">
      <alignment horizontal="center" vertical="center" wrapText="1"/>
    </xf>
    <xf numFmtId="0" fontId="1" fillId="8" borderId="76" xfId="0" applyFont="1" applyFill="1" applyBorder="1" applyAlignment="1">
      <alignment horizontal="center" vertical="center" wrapText="1"/>
    </xf>
    <xf numFmtId="0" fontId="1" fillId="17" borderId="80" xfId="0" applyFont="1" applyFill="1" applyBorder="1" applyAlignment="1">
      <alignment horizontal="center" vertical="center" wrapText="1"/>
    </xf>
    <xf numFmtId="0" fontId="1" fillId="17" borderId="101" xfId="0" applyFont="1" applyFill="1" applyBorder="1" applyAlignment="1">
      <alignment horizontal="center" vertical="center" wrapText="1"/>
    </xf>
    <xf numFmtId="0" fontId="1" fillId="8" borderId="100" xfId="0" applyFont="1" applyFill="1" applyBorder="1" applyAlignment="1">
      <alignment horizontal="center" vertical="center" wrapText="1"/>
    </xf>
    <xf numFmtId="0" fontId="1" fillId="8" borderId="105" xfId="0" applyFont="1" applyFill="1" applyBorder="1" applyAlignment="1">
      <alignment horizontal="center" vertical="center" wrapText="1"/>
    </xf>
    <xf numFmtId="0" fontId="0" fillId="13" borderId="0" xfId="0" applyFill="1" applyAlignment="1">
      <alignment horizontal="center"/>
    </xf>
    <xf numFmtId="0" fontId="1" fillId="8" borderId="57" xfId="0" applyFont="1" applyFill="1" applyBorder="1" applyAlignment="1">
      <alignment horizontal="center" wrapText="1"/>
    </xf>
    <xf numFmtId="0" fontId="1" fillId="8" borderId="74" xfId="0" applyFont="1" applyFill="1" applyBorder="1" applyAlignment="1">
      <alignment horizontal="center" wrapText="1"/>
    </xf>
    <xf numFmtId="0" fontId="1" fillId="6" borderId="55" xfId="0" applyFont="1" applyFill="1" applyBorder="1" applyAlignment="1">
      <alignment horizontal="center" wrapText="1"/>
    </xf>
    <xf numFmtId="0" fontId="31" fillId="21" borderId="113" xfId="0" quotePrefix="1" applyFont="1" applyFill="1" applyBorder="1" applyAlignment="1">
      <alignment horizontal="left" vertical="top" wrapText="1"/>
    </xf>
    <xf numFmtId="0" fontId="31" fillId="21" borderId="0" xfId="0" applyFont="1" applyFill="1" applyAlignment="1">
      <alignment horizontal="left" vertical="top" wrapText="1"/>
    </xf>
    <xf numFmtId="0" fontId="25" fillId="21" borderId="0" xfId="0" applyFont="1" applyFill="1" applyAlignment="1">
      <alignment horizontal="left"/>
    </xf>
    <xf numFmtId="0" fontId="35" fillId="23" borderId="0" xfId="0" quotePrefix="1" applyFont="1" applyFill="1" applyAlignment="1">
      <alignment horizontal="left" vertical="top" wrapText="1"/>
    </xf>
    <xf numFmtId="0" fontId="35" fillId="23" borderId="0" xfId="0" applyFont="1" applyFill="1" applyAlignment="1">
      <alignment horizontal="left" vertical="top" wrapText="1"/>
    </xf>
  </cellXfs>
  <cellStyles count="8">
    <cellStyle name="Comma 2" xfId="4" xr:uid="{F397AB6F-8AE6-4FD9-BFF4-6BB88B2F73E0}"/>
    <cellStyle name="Comma 3" xfId="5" xr:uid="{530530EC-3A6A-497A-809E-C2C08EF1305D}"/>
    <cellStyle name="Hyperlink" xfId="7" builtinId="8"/>
    <cellStyle name="Normal" xfId="0" builtinId="0"/>
    <cellStyle name="Normal 2" xfId="1" xr:uid="{32B0D365-C00C-4C71-8C1A-79CA3B3361D8}"/>
    <cellStyle name="Normal 2 2" xfId="2" xr:uid="{D30FF798-DED4-4591-B6C7-09265E8DACB4}"/>
    <cellStyle name="Percent" xfId="6" builtinId="5"/>
    <cellStyle name="Percent 2" xfId="3" xr:uid="{A65F6561-B88C-465B-8772-916E0827DC29}"/>
  </cellStyles>
  <dxfs count="1298">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numFmt numFmtId="0" formatCode="General"/>
    </dxf>
    <dxf>
      <numFmt numFmtId="0" formatCode="General"/>
    </dxf>
    <dxf>
      <numFmt numFmtId="0" formatCode="General"/>
    </dxf>
    <dxf>
      <font>
        <strike val="0"/>
        <outline val="0"/>
        <shadow val="0"/>
        <u val="none"/>
        <vertAlign val="baseline"/>
        <sz val="11"/>
        <color theme="1" tint="0.499984740745262"/>
        <name val="Calibri"/>
        <family val="2"/>
        <scheme val="minor"/>
      </font>
    </dxf>
    <dxf>
      <font>
        <b val="0"/>
        <i val="0"/>
        <strike val="0"/>
        <condense val="0"/>
        <extend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alignment horizontal="general" vertical="center" textRotation="0" wrapText="1" indent="0" justifyLastLine="0" shrinkToFit="0" readingOrder="0"/>
    </dxf>
    <dxf>
      <font>
        <strike val="0"/>
        <outline val="0"/>
        <shadow val="0"/>
        <u val="none"/>
        <vertAlign val="baseline"/>
        <sz val="11"/>
        <color auto="1"/>
        <name val="Calibri"/>
        <family val="2"/>
        <scheme val="minor"/>
      </font>
      <fill>
        <patternFill patternType="solid">
          <fgColor indexed="64"/>
          <bgColor theme="0"/>
        </patternFill>
      </fill>
      <alignment horizontal="general" vertical="center" textRotation="0" wrapText="1" indent="0" justifyLastLine="0" shrinkToFit="0" readingOrder="0"/>
    </dxf>
    <dxf>
      <font>
        <strike val="0"/>
        <outline val="0"/>
        <shadow val="0"/>
        <u val="none"/>
        <vertAlign val="baseline"/>
        <sz val="11"/>
        <color auto="1"/>
        <name val="Calibri"/>
        <family val="2"/>
        <scheme val="minor"/>
      </font>
      <alignment horizontal="general" vertical="center" textRotation="0" wrapText="1" indent="0" justifyLastLine="0" shrinkToFit="0" readingOrder="0"/>
    </dxf>
    <dxf>
      <border outline="0">
        <top style="thin">
          <color auto="1"/>
        </top>
      </border>
    </dxf>
    <dxf>
      <font>
        <strike val="0"/>
        <outline val="0"/>
        <shadow val="0"/>
        <u val="none"/>
        <vertAlign val="baseline"/>
        <sz val="11"/>
        <color auto="1"/>
        <name val="Calibri"/>
        <family val="2"/>
        <scheme val="minor"/>
      </font>
    </dxf>
    <dxf>
      <border outline="0">
        <bottom style="thin">
          <color auto="1"/>
        </bottom>
      </border>
    </dxf>
    <dxf>
      <font>
        <b/>
        <i val="0"/>
        <strike val="0"/>
        <condense val="0"/>
        <extend val="0"/>
        <outline val="0"/>
        <shadow val="0"/>
        <u val="none"/>
        <vertAlign val="baseline"/>
        <sz val="11"/>
        <color theme="0" tint="-0.249977111117893"/>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11"/>
        <color auto="1"/>
        <name val="Calibri"/>
        <family val="2"/>
        <scheme val="minor"/>
      </font>
      <alignment horizontal="general" vertical="center" textRotation="0" wrapText="1" indent="0" justifyLastLine="0" shrinkToFit="0" readingOrder="0"/>
    </dxf>
    <dxf>
      <font>
        <strike val="0"/>
        <outline val="0"/>
        <shadow val="0"/>
        <u val="none"/>
        <vertAlign val="baseline"/>
        <sz val="11"/>
        <color auto="1"/>
        <name val="Calibri"/>
        <family val="2"/>
        <scheme val="minor"/>
      </font>
      <alignment horizontal="general" vertical="center" textRotation="0" wrapText="1" indent="0" justifyLastLine="0" shrinkToFit="0" readingOrder="0"/>
    </dxf>
    <dxf>
      <font>
        <strike val="0"/>
        <outline val="0"/>
        <shadow val="0"/>
        <u val="none"/>
        <vertAlign val="baseline"/>
        <sz val="11"/>
        <color auto="1"/>
        <name val="Calibri"/>
        <family val="2"/>
        <scheme val="minor"/>
      </font>
      <alignment horizontal="general" vertical="center" textRotation="0" wrapText="1" indent="0" justifyLastLine="0" shrinkToFit="0" readingOrder="0"/>
    </dxf>
    <dxf>
      <border outline="0">
        <top style="thin">
          <color auto="1"/>
        </top>
      </border>
    </dxf>
    <dxf>
      <font>
        <strike val="0"/>
        <outline val="0"/>
        <shadow val="0"/>
        <u val="none"/>
        <vertAlign val="baseline"/>
        <sz val="11"/>
        <color auto="1"/>
        <name val="Calibri"/>
        <family val="2"/>
        <scheme val="minor"/>
      </font>
      <alignment horizontal="general" vertical="center" textRotation="0" wrapText="1" indent="0" justifyLastLine="0" shrinkToFit="0" readingOrder="0"/>
    </dxf>
    <dxf>
      <border outline="0">
        <bottom style="thin">
          <color auto="1"/>
        </bottom>
      </border>
    </dxf>
    <dxf>
      <font>
        <b/>
        <i val="0"/>
        <strike val="0"/>
        <condense val="0"/>
        <extend val="0"/>
        <outline val="0"/>
        <shadow val="0"/>
        <u val="none"/>
        <vertAlign val="baseline"/>
        <sz val="11"/>
        <color theme="0" tint="-0.249977111117893"/>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11"/>
        <color auto="1"/>
        <name val="Calibri"/>
        <family val="2"/>
        <scheme val="minor"/>
      </font>
      <fill>
        <patternFill patternType="none">
          <fgColor indexed="64"/>
          <bgColor auto="1"/>
        </patternFill>
      </fill>
      <alignment vertical="bottom" textRotation="0" wrapText="0" indent="0" justifyLastLine="0" shrinkToFit="0" readingOrder="0"/>
      <border diagonalUp="0" diagonalDown="0" outline="0">
        <left/>
        <right/>
        <top style="thin">
          <color theme="0" tint="-0.499984740745262"/>
        </top>
        <bottom style="thin">
          <color theme="0" tint="-0.499984740745262"/>
        </bottom>
      </border>
    </dxf>
    <dxf>
      <font>
        <strike val="0"/>
        <outline val="0"/>
        <shadow val="0"/>
        <u val="none"/>
        <vertAlign val="baseline"/>
        <sz val="11"/>
        <color auto="1"/>
        <name val="Calibri"/>
        <family val="2"/>
        <scheme val="minor"/>
      </font>
      <fill>
        <patternFill patternType="none">
          <fgColor indexed="64"/>
          <bgColor auto="1"/>
        </patternFill>
      </fill>
      <alignment vertical="bottom" textRotation="0" wrapText="0" indent="0" justifyLastLine="0" shrinkToFit="0" readingOrder="0"/>
      <border diagonalUp="0" diagonalDown="0" outline="0">
        <left/>
        <right/>
        <top style="thin">
          <color theme="0" tint="-0.499984740745262"/>
        </top>
        <bottom style="thin">
          <color theme="0" tint="-0.499984740745262"/>
        </bottom>
      </border>
    </dxf>
    <dxf>
      <font>
        <strike val="0"/>
        <outline val="0"/>
        <shadow val="0"/>
        <u val="none"/>
        <vertAlign val="baseline"/>
        <sz val="11"/>
        <color auto="1"/>
        <name val="Calibri"/>
        <family val="2"/>
        <scheme val="minor"/>
      </font>
      <fill>
        <patternFill patternType="none">
          <fgColor indexed="64"/>
          <bgColor auto="1"/>
        </patternFill>
      </fill>
      <alignment vertical="bottom" textRotation="0" wrapText="0" indent="0" justifyLastLine="0" shrinkToFit="0" readingOrder="0"/>
      <border diagonalUp="0" diagonalDown="0" outline="0">
        <left/>
        <right/>
        <top style="thin">
          <color theme="0" tint="-0.499984740745262"/>
        </top>
        <bottom style="thin">
          <color theme="0" tint="-0.499984740745262"/>
        </bottom>
      </border>
    </dxf>
    <dxf>
      <font>
        <strike val="0"/>
        <outline val="0"/>
        <shadow val="0"/>
        <u val="none"/>
        <vertAlign val="baseline"/>
        <sz val="11"/>
        <color auto="1"/>
        <name val="Calibri"/>
        <family val="2"/>
        <scheme val="minor"/>
      </font>
      <fill>
        <patternFill patternType="none">
          <fgColor indexed="64"/>
          <bgColor auto="1"/>
        </patternFill>
      </fill>
      <alignment vertical="bottom" textRotation="0" wrapText="0" indent="0" justifyLastLine="0" shrinkToFit="0" readingOrder="0"/>
      <border diagonalUp="0" diagonalDown="0" outline="0">
        <left/>
        <right/>
        <top style="thin">
          <color theme="0" tint="-0.499984740745262"/>
        </top>
        <bottom style="thin">
          <color theme="0" tint="-0.499984740745262"/>
        </bottom>
      </border>
    </dxf>
    <dxf>
      <border outline="0">
        <top style="thin">
          <color indexed="64"/>
        </top>
      </border>
    </dxf>
    <dxf>
      <font>
        <strike val="0"/>
        <outline val="0"/>
        <shadow val="0"/>
        <u val="none"/>
        <vertAlign val="baseline"/>
        <sz val="11"/>
        <color auto="1"/>
        <name val="Calibri"/>
        <family val="2"/>
        <scheme val="minor"/>
      </font>
      <fill>
        <patternFill patternType="none">
          <fgColor indexed="64"/>
          <bgColor auto="1"/>
        </patternFill>
      </fill>
      <alignment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0" tint="-0.249977111117893"/>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outline="0">
        <left style="thin">
          <color auto="1"/>
        </left>
        <right style="thin">
          <color auto="1"/>
        </right>
        <top/>
        <bottom/>
      </border>
    </dxf>
    <dxf>
      <numFmt numFmtId="165" formatCode="#,##0;\-#,##0;\-"/>
      <border diagonalUp="0" diagonalDown="0" outline="0">
        <left/>
        <right style="thin">
          <color indexed="64"/>
        </right>
        <top/>
        <bottom style="thin">
          <color indexed="64"/>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border diagonalUp="0" diagonalDown="0">
        <left/>
        <right style="thin">
          <color indexed="64"/>
        </right>
        <top/>
        <bottom/>
        <vertical/>
        <horizontal/>
      </border>
    </dxf>
    <dxf>
      <numFmt numFmtId="165" formatCode="#,##0;\-#,##0;\-"/>
      <border diagonalUp="0" diagonalDown="0" outline="0">
        <left/>
        <right style="thin">
          <color theme="0"/>
        </right>
        <top/>
        <bottom style="thin">
          <color indexed="64"/>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indexed="64"/>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indexed="64"/>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indexed="64"/>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indexed="64"/>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indexed="64"/>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indexed="64"/>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indexed="64"/>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indexed="64"/>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indexed="64"/>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indexed="64"/>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style="thin">
          <color indexed="64"/>
        </left>
        <right style="thin">
          <color theme="0"/>
        </right>
        <top/>
        <bottom style="thin">
          <color indexed="64"/>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border diagonalUp="0" diagonalDown="0">
        <left style="thin">
          <color indexed="64"/>
        </left>
        <right/>
        <top/>
        <bottom/>
        <vertical/>
        <horizontal/>
      </border>
    </dxf>
    <dxf>
      <numFmt numFmtId="165" formatCode="#,##0;\-#,##0;\-"/>
      <border diagonalUp="0" diagonalDown="0" outline="0">
        <left/>
        <right style="thin">
          <color indexed="64"/>
        </right>
        <top/>
        <bottom style="thin">
          <color indexed="64"/>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rgb="FF000000"/>
          <bgColor auto="1"/>
        </patternFill>
      </fill>
    </dxf>
    <dxf>
      <numFmt numFmtId="165" formatCode="#,##0;\-#,##0;\-"/>
      <border diagonalUp="0" diagonalDown="0" outline="0">
        <left/>
        <right style="thin">
          <color theme="0"/>
        </right>
        <top/>
        <bottom style="thin">
          <color indexed="64"/>
        </bottom>
      </border>
    </dxf>
    <dxf>
      <font>
        <b val="0"/>
        <i val="0"/>
        <strike val="0"/>
        <condense val="0"/>
        <extend val="0"/>
        <outline val="0"/>
        <shadow val="0"/>
        <u val="none"/>
        <vertAlign val="baseline"/>
        <sz val="11"/>
        <color theme="1" tint="0.24994659260841701"/>
        <name val="Calibri"/>
        <family val="2"/>
        <scheme val="minor"/>
      </font>
      <numFmt numFmtId="165" formatCode="#,##0;\-#,##0;\-"/>
    </dxf>
    <dxf>
      <numFmt numFmtId="165" formatCode="#,##0;\-#,##0;\-"/>
      <border diagonalUp="0" diagonalDown="0" outline="0">
        <left/>
        <right style="thin">
          <color theme="0"/>
        </right>
        <top/>
        <bottom style="thin">
          <color indexed="64"/>
        </bottom>
      </border>
    </dxf>
    <dxf>
      <font>
        <b val="0"/>
        <i val="0"/>
        <strike val="0"/>
        <condense val="0"/>
        <extend val="0"/>
        <outline val="0"/>
        <shadow val="0"/>
        <u val="none"/>
        <vertAlign val="baseline"/>
        <sz val="11"/>
        <color theme="1" tint="0.24994659260841701"/>
        <name val="Calibri"/>
        <family val="2"/>
        <scheme val="minor"/>
      </font>
      <numFmt numFmtId="165" formatCode="#,##0;\-#,##0;\-"/>
    </dxf>
    <dxf>
      <numFmt numFmtId="165" formatCode="#,##0;\-#,##0;\-"/>
      <border diagonalUp="0" diagonalDown="0" outline="0">
        <left/>
        <right style="thin">
          <color theme="0"/>
        </right>
        <top/>
        <bottom style="thin">
          <color indexed="64"/>
        </bottom>
      </border>
    </dxf>
    <dxf>
      <font>
        <b val="0"/>
        <i val="0"/>
        <strike val="0"/>
        <condense val="0"/>
        <extend val="0"/>
        <outline val="0"/>
        <shadow val="0"/>
        <u val="none"/>
        <vertAlign val="baseline"/>
        <sz val="11"/>
        <color theme="1" tint="0.24994659260841701"/>
        <name val="Calibri"/>
        <family val="2"/>
        <scheme val="minor"/>
      </font>
      <numFmt numFmtId="165" formatCode="#,##0;\-#,##0;\-"/>
    </dxf>
    <dxf>
      <numFmt numFmtId="165" formatCode="#,##0;\-#,##0;\-"/>
      <border diagonalUp="0" diagonalDown="0" outline="0">
        <left/>
        <right style="thin">
          <color theme="0"/>
        </right>
        <top/>
        <bottom style="thin">
          <color indexed="64"/>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rgb="FF000000"/>
          <bgColor auto="1"/>
        </patternFill>
      </fill>
    </dxf>
    <dxf>
      <numFmt numFmtId="165" formatCode="#,##0;\-#,##0;\-"/>
      <border diagonalUp="0" diagonalDown="0" outline="0">
        <left/>
        <right style="thin">
          <color theme="0"/>
        </right>
        <top/>
        <bottom style="thin">
          <color indexed="64"/>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rgb="FF000000"/>
          <bgColor auto="1"/>
        </patternFill>
      </fill>
    </dxf>
    <dxf>
      <numFmt numFmtId="165" formatCode="#,##0;\-#,##0;\-"/>
      <border diagonalUp="0" diagonalDown="0" outline="0">
        <left/>
        <right style="thin">
          <color theme="0"/>
        </right>
        <top/>
        <bottom style="thin">
          <color indexed="64"/>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rgb="FF000000"/>
          <bgColor auto="1"/>
        </patternFill>
      </fill>
    </dxf>
    <dxf>
      <numFmt numFmtId="165" formatCode="#,##0;\-#,##0;\-"/>
      <border diagonalUp="0" diagonalDown="0" outline="0">
        <left/>
        <right style="thin">
          <color theme="0"/>
        </right>
        <top/>
        <bottom style="thin">
          <color indexed="64"/>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rgb="FF000000"/>
          <bgColor auto="1"/>
        </patternFill>
      </fill>
    </dxf>
    <dxf>
      <numFmt numFmtId="165" formatCode="#,##0;\-#,##0;\-"/>
      <border diagonalUp="0" diagonalDown="0" outline="0">
        <left/>
        <right style="thin">
          <color theme="0"/>
        </right>
        <top/>
        <bottom style="thin">
          <color indexed="64"/>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rgb="FF000000"/>
          <bgColor auto="1"/>
        </patternFill>
      </fill>
    </dxf>
    <dxf>
      <numFmt numFmtId="165" formatCode="#,##0;\-#,##0;\-"/>
      <border diagonalUp="0" diagonalDown="0" outline="0">
        <left/>
        <right style="thin">
          <color theme="0"/>
        </right>
        <top/>
        <bottom style="thin">
          <color indexed="64"/>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rgb="FF000000"/>
          <bgColor auto="1"/>
        </patternFill>
      </fill>
    </dxf>
    <dxf>
      <numFmt numFmtId="165" formatCode="#,##0;\-#,##0;\-"/>
      <border diagonalUp="0" diagonalDown="0" outline="0">
        <left/>
        <right style="thin">
          <color theme="0"/>
        </right>
        <top/>
        <bottom style="thin">
          <color indexed="64"/>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rgb="FF000000"/>
          <bgColor auto="1"/>
        </patternFill>
      </fill>
    </dxf>
    <dxf>
      <numFmt numFmtId="165" formatCode="#,##0;\-#,##0;\-"/>
      <border diagonalUp="0" diagonalDown="0" outline="0">
        <left/>
        <right style="thin">
          <color theme="0"/>
        </right>
        <top/>
        <bottom style="thin">
          <color indexed="64"/>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rgb="FF000000"/>
          <bgColor auto="1"/>
        </patternFill>
      </fill>
    </dxf>
    <dxf>
      <numFmt numFmtId="165" formatCode="#,##0;\-#,##0;\-"/>
      <border diagonalUp="0" diagonalDown="0" outline="0">
        <left style="thin">
          <color indexed="64"/>
        </left>
        <right style="thin">
          <color theme="0"/>
        </right>
        <top/>
        <bottom style="thin">
          <color indexed="64"/>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rgb="FF000000"/>
          <bgColor auto="1"/>
        </patternFill>
      </fill>
      <border diagonalUp="0" diagonalDown="0">
        <left style="thin">
          <color indexed="64"/>
        </left>
        <top/>
        <bottom/>
        <vertical/>
        <horizontal/>
      </border>
    </dxf>
    <dxf>
      <border diagonalUp="0" diagonalDown="0" outline="0">
        <left/>
        <right/>
        <top/>
        <bottom style="thin">
          <color theme="1" tint="0.34998626667073579"/>
        </bottom>
      </border>
    </dxf>
    <dxf>
      <font>
        <b val="0"/>
        <i val="0"/>
        <strike val="0"/>
        <condense val="0"/>
        <extend val="0"/>
        <outline val="0"/>
        <shadow val="0"/>
        <u val="none"/>
        <vertAlign val="baseline"/>
        <sz val="11"/>
        <color theme="1" tint="0.249977111117893"/>
        <name val="Calibri"/>
        <family val="2"/>
        <scheme val="minor"/>
      </font>
      <numFmt numFmtId="165" formatCode="#,##0;\-#,##0;\-"/>
      <fill>
        <patternFill patternType="none">
          <fgColor indexed="64"/>
          <bgColor auto="1"/>
        </patternFill>
      </fill>
    </dxf>
    <dxf>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77111117893"/>
        <name val="Calibri"/>
        <family val="2"/>
        <scheme val="minor"/>
      </font>
      <numFmt numFmtId="165" formatCode="#,##0;\-#,##0;\-"/>
    </dxf>
    <dxf>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77111117893"/>
        <name val="Calibri"/>
        <family val="2"/>
        <scheme val="minor"/>
      </font>
      <numFmt numFmtId="165" formatCode="#,##0;\-#,##0;\-"/>
    </dxf>
    <dxf>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77111117893"/>
        <name val="Calibri"/>
        <family val="2"/>
        <scheme val="minor"/>
      </font>
      <numFmt numFmtId="165" formatCode="#,##0;\-#,##0;\-"/>
      <fill>
        <patternFill patternType="none">
          <fgColor indexed="64"/>
          <bgColor auto="1"/>
        </patternFill>
      </fill>
    </dxf>
    <dxf>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77111117893"/>
        <name val="Calibri"/>
        <family val="2"/>
        <scheme val="minor"/>
      </font>
      <numFmt numFmtId="165" formatCode="#,##0;\-#,##0;\-"/>
      <fill>
        <patternFill patternType="none">
          <fgColor indexed="64"/>
          <bgColor auto="1"/>
        </patternFill>
      </fill>
    </dxf>
    <dxf>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77111117893"/>
        <name val="Calibri"/>
        <family val="2"/>
        <scheme val="minor"/>
      </font>
      <numFmt numFmtId="165" formatCode="#,##0;\-#,##0;\-"/>
      <fill>
        <patternFill patternType="none">
          <fgColor indexed="64"/>
          <bgColor auto="1"/>
        </patternFill>
      </fill>
    </dxf>
    <dxf>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77111117893"/>
        <name val="Calibri"/>
        <family val="2"/>
        <scheme val="minor"/>
      </font>
      <numFmt numFmtId="165" formatCode="#,##0;\-#,##0;\-"/>
      <fill>
        <patternFill patternType="none">
          <fgColor indexed="64"/>
          <bgColor auto="1"/>
        </patternFill>
      </fill>
    </dxf>
    <dxf>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77111117893"/>
        <name val="Calibri"/>
        <family val="2"/>
        <scheme val="minor"/>
      </font>
      <numFmt numFmtId="165" formatCode="#,##0;\-#,##0;\-"/>
      <fill>
        <patternFill patternType="none">
          <fgColor indexed="64"/>
          <bgColor auto="1"/>
        </patternFill>
      </fill>
    </dxf>
    <dxf>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77111117893"/>
        <name val="Calibri"/>
        <family val="2"/>
        <scheme val="minor"/>
      </font>
      <numFmt numFmtId="165" formatCode="#,##0;\-#,##0;\-"/>
      <fill>
        <patternFill patternType="none">
          <fgColor indexed="64"/>
          <bgColor auto="1"/>
        </patternFill>
      </fill>
    </dxf>
    <dxf>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77111117893"/>
        <name val="Calibri"/>
        <family val="2"/>
        <scheme val="minor"/>
      </font>
      <numFmt numFmtId="165" formatCode="#,##0;\-#,##0;\-"/>
      <fill>
        <patternFill patternType="none">
          <fgColor indexed="64"/>
          <bgColor auto="1"/>
        </patternFill>
      </fill>
    </dxf>
    <dxf>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77111117893"/>
        <name val="Calibri"/>
        <family val="2"/>
        <scheme val="minor"/>
      </font>
      <numFmt numFmtId="165" formatCode="#,##0;\-#,##0;\-"/>
      <fill>
        <patternFill patternType="none">
          <fgColor indexed="64"/>
          <bgColor auto="1"/>
        </patternFill>
      </fill>
    </dxf>
    <dxf>
      <border diagonalUp="0" diagonalDown="0" outline="0">
        <left style="thin">
          <color theme="1" tint="0.499984740745262"/>
        </left>
        <right style="thin">
          <color theme="0"/>
        </right>
        <top/>
        <bottom style="thin">
          <color theme="1" tint="0.34998626667073579"/>
        </bottom>
      </border>
    </dxf>
    <dxf>
      <font>
        <b val="0"/>
        <i val="0"/>
        <strike val="0"/>
        <condense val="0"/>
        <extend val="0"/>
        <outline val="0"/>
        <shadow val="0"/>
        <u val="none"/>
        <vertAlign val="baseline"/>
        <sz val="11"/>
        <color theme="1" tint="0.249977111117893"/>
        <name val="Calibri"/>
        <family val="2"/>
        <scheme val="minor"/>
      </font>
      <numFmt numFmtId="165" formatCode="#,##0;\-#,##0;\-"/>
      <fill>
        <patternFill patternType="none">
          <fgColor indexed="64"/>
          <bgColor auto="1"/>
        </patternFill>
      </fill>
      <border diagonalUp="0" diagonalDown="0">
        <left style="thin">
          <color theme="1" tint="0.499984740745262"/>
        </left>
        <top/>
        <bottom/>
        <vertical/>
        <horizontal/>
      </border>
    </dxf>
    <dxf>
      <numFmt numFmtId="165" formatCode="#,##0;\-#,##0;\-"/>
      <border diagonalUp="0" diagonalDown="0" outline="0">
        <left/>
        <right/>
        <top/>
        <bottom style="thin">
          <color theme="1" tint="0.34998626667073579"/>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indexed="64"/>
          <bgColor auto="1"/>
        </patternFill>
      </fill>
    </dxf>
    <dxf>
      <numFmt numFmtId="165" formatCode="#,##0;\-#,##0;\-"/>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4659260841701"/>
        <name val="Calibri"/>
        <family val="2"/>
        <scheme val="minor"/>
      </font>
      <numFmt numFmtId="165" formatCode="#,##0;\-#,##0;\-"/>
    </dxf>
    <dxf>
      <numFmt numFmtId="165" formatCode="#,##0;\-#,##0;\-"/>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4659260841701"/>
        <name val="Calibri"/>
        <family val="2"/>
        <scheme val="minor"/>
      </font>
      <numFmt numFmtId="165" formatCode="#,##0;\-#,##0;\-"/>
    </dxf>
    <dxf>
      <numFmt numFmtId="165" formatCode="#,##0;\-#,##0;\-"/>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indexed="64"/>
          <bgColor auto="1"/>
        </patternFill>
      </fill>
    </dxf>
    <dxf>
      <numFmt numFmtId="165" formatCode="#,##0;\-#,##0;\-"/>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indexed="64"/>
          <bgColor auto="1"/>
        </patternFill>
      </fill>
    </dxf>
    <dxf>
      <numFmt numFmtId="165" formatCode="#,##0;\-#,##0;\-"/>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indexed="64"/>
          <bgColor auto="1"/>
        </patternFill>
      </fill>
    </dxf>
    <dxf>
      <numFmt numFmtId="165" formatCode="#,##0;\-#,##0;\-"/>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indexed="64"/>
          <bgColor auto="1"/>
        </patternFill>
      </fill>
    </dxf>
    <dxf>
      <numFmt numFmtId="165" formatCode="#,##0;\-#,##0;\-"/>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indexed="64"/>
          <bgColor auto="1"/>
        </patternFill>
      </fill>
    </dxf>
    <dxf>
      <numFmt numFmtId="165" formatCode="#,##0;\-#,##0;\-"/>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indexed="64"/>
          <bgColor auto="1"/>
        </patternFill>
      </fill>
    </dxf>
    <dxf>
      <numFmt numFmtId="165" formatCode="#,##0;\-#,##0;\-"/>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indexed="64"/>
          <bgColor auto="1"/>
        </patternFill>
      </fill>
    </dxf>
    <dxf>
      <numFmt numFmtId="165" formatCode="#,##0;\-#,##0;\-"/>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indexed="64"/>
          <bgColor auto="1"/>
        </patternFill>
      </fill>
    </dxf>
    <dxf>
      <numFmt numFmtId="165" formatCode="#,##0;\-#,##0;\-"/>
      <border diagonalUp="0" diagonalDown="0" outline="0">
        <left style="thin">
          <color theme="1" tint="0.499984740745262"/>
        </left>
        <right style="thin">
          <color theme="0"/>
        </right>
        <top/>
        <bottom style="thin">
          <color theme="1" tint="0.34998626667073579"/>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indexed="64"/>
          <bgColor auto="1"/>
        </patternFill>
      </fill>
      <border diagonalUp="0" diagonalDown="0">
        <left style="thin">
          <color theme="1" tint="0.499984740745262"/>
        </left>
        <top/>
        <bottom/>
        <vertical/>
        <horizontal/>
      </border>
    </dxf>
    <dxf>
      <numFmt numFmtId="165" formatCode="#,##0;\-#,##0;\-"/>
      <border diagonalUp="0" diagonalDown="0" outline="0">
        <left/>
        <right/>
        <top/>
        <bottom style="thin">
          <color theme="1" tint="0.34998626667073579"/>
        </bottom>
      </border>
    </dxf>
    <dxf>
      <font>
        <b val="0"/>
        <i val="0"/>
        <strike/>
        <condense val="0"/>
        <extend val="0"/>
        <outline val="0"/>
        <shadow val="0"/>
        <u val="none"/>
        <vertAlign val="baseline"/>
        <sz val="11"/>
        <color theme="1"/>
        <name val="Calibri"/>
        <family val="2"/>
        <scheme val="minor"/>
      </font>
      <numFmt numFmtId="165" formatCode="#,##0;\-#,##0;\-"/>
      <fill>
        <patternFill patternType="solid">
          <fgColor indexed="64"/>
          <bgColor theme="0" tint="-0.499984740745262"/>
        </patternFill>
      </fill>
      <border diagonalUp="0" diagonalDown="0">
        <left/>
        <right style="thin">
          <color indexed="64"/>
        </right>
        <top/>
        <bottom/>
        <vertical/>
        <horizontal/>
      </border>
    </dxf>
    <dxf>
      <numFmt numFmtId="165" formatCode="#,##0;\-#,##0;\-"/>
      <border diagonalUp="0" diagonalDown="0" outline="0">
        <left/>
        <right/>
        <top/>
        <bottom style="thin">
          <color theme="1" tint="0.34998626667073579"/>
        </bottom>
      </border>
    </dxf>
    <dxf>
      <font>
        <b val="0"/>
        <i val="0"/>
        <strike/>
        <condense val="0"/>
        <extend val="0"/>
        <outline val="0"/>
        <shadow val="0"/>
        <u val="none"/>
        <vertAlign val="baseline"/>
        <sz val="11"/>
        <color theme="1"/>
        <name val="Calibri"/>
        <family val="2"/>
        <scheme val="minor"/>
      </font>
      <numFmt numFmtId="165" formatCode="#,##0;\-#,##0;\-"/>
      <fill>
        <patternFill patternType="solid">
          <fgColor indexed="64"/>
          <bgColor theme="0" tint="-0.499984740745262"/>
        </patternFill>
      </fill>
    </dxf>
    <dxf>
      <numFmt numFmtId="165" formatCode="#,##0;\-#,##0;\-"/>
      <border diagonalUp="0" diagonalDown="0" outline="0">
        <left style="thin">
          <color theme="1" tint="0.34998626667073579"/>
        </left>
        <right/>
        <top/>
        <bottom style="thin">
          <color theme="1" tint="0.34998626667073579"/>
        </bottom>
      </border>
    </dxf>
    <dxf>
      <font>
        <strike/>
      </font>
      <numFmt numFmtId="165" formatCode="#,##0;\-#,##0;\-"/>
      <fill>
        <patternFill patternType="solid">
          <fgColor indexed="64"/>
          <bgColor theme="0" tint="-0.499984740745262"/>
        </patternFill>
      </fill>
      <border diagonalUp="0" diagonalDown="0">
        <left style="thin">
          <color indexed="64"/>
        </left>
        <right/>
        <top/>
        <bottom/>
        <vertical/>
        <horizontal/>
      </border>
    </dxf>
    <dxf>
      <numFmt numFmtId="0" formatCode="Genera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rgb="FF000000"/>
          <bgColor auto="1"/>
        </patternFill>
      </fill>
    </dxf>
    <dxf>
      <font>
        <b val="0"/>
        <i val="0"/>
        <strike val="0"/>
        <condense val="0"/>
        <extend val="0"/>
        <outline val="0"/>
        <shadow val="0"/>
        <u val="none"/>
        <vertAlign val="baseline"/>
        <sz val="11"/>
        <color theme="0" tint="-0.249977111117893"/>
        <name val="Calibri"/>
        <family val="2"/>
        <scheme val="minor"/>
      </font>
      <fill>
        <patternFill patternType="none">
          <fgColor indexed="64"/>
          <bgColor indexed="65"/>
        </patternFill>
      </fill>
      <alignment horizontal="left" vertical="top" textRotation="0" wrapText="0" indent="0" justifyLastLine="0" shrinkToFit="0" readingOrder="0"/>
      <border diagonalUp="0" diagonalDown="0" outline="0">
        <left style="thin">
          <color auto="1"/>
        </left>
        <right style="thin">
          <color auto="1"/>
        </right>
        <top/>
        <bottom/>
      </border>
    </dxf>
    <dxf>
      <numFmt numFmtId="165" formatCode="#,##0;\-#,##0;\-"/>
      <border diagonalUp="0" diagonalDown="0" outline="0">
        <left/>
        <right style="thin">
          <color indexed="64"/>
        </right>
        <top/>
        <bottom style="thin">
          <color indexed="64"/>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rgb="FF000000"/>
          <bgColor auto="1"/>
        </patternFill>
      </fill>
      <border diagonalUp="0" diagonalDown="0">
        <left/>
        <right style="thin">
          <color indexed="64"/>
        </right>
        <top/>
        <bottom/>
        <vertical/>
        <horizontal/>
      </border>
    </dxf>
    <dxf>
      <numFmt numFmtId="165" formatCode="#,##0;\-#,##0;\-"/>
      <border diagonalUp="0" diagonalDown="0" outline="0">
        <left/>
        <right style="thin">
          <color theme="0"/>
        </right>
        <top/>
        <bottom style="thin">
          <color indexed="64"/>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rgb="FF000000"/>
          <bgColor auto="1"/>
        </patternFill>
      </fill>
    </dxf>
    <dxf>
      <numFmt numFmtId="165" formatCode="#,##0;\-#,##0;\-"/>
      <border diagonalUp="0" diagonalDown="0" outline="0">
        <left/>
        <right style="thin">
          <color theme="0"/>
        </right>
        <top/>
        <bottom style="thin">
          <color indexed="64"/>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rgb="FF000000"/>
          <bgColor auto="1"/>
        </patternFill>
      </fill>
    </dxf>
    <dxf>
      <numFmt numFmtId="165" formatCode="#,##0;\-#,##0;\-"/>
      <border diagonalUp="0" diagonalDown="0" outline="0">
        <left/>
        <right style="thin">
          <color theme="0"/>
        </right>
        <top/>
        <bottom style="thin">
          <color indexed="64"/>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rgb="FF000000"/>
          <bgColor auto="1"/>
        </patternFill>
      </fill>
    </dxf>
    <dxf>
      <numFmt numFmtId="165" formatCode="#,##0;\-#,##0;\-"/>
      <border diagonalUp="0" diagonalDown="0" outline="0">
        <left/>
        <right style="thin">
          <color theme="0"/>
        </right>
        <top/>
        <bottom style="thin">
          <color indexed="64"/>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rgb="FF000000"/>
          <bgColor auto="1"/>
        </patternFill>
      </fill>
    </dxf>
    <dxf>
      <numFmt numFmtId="165" formatCode="#,##0;\-#,##0;\-"/>
      <border diagonalUp="0" diagonalDown="0" outline="0">
        <left/>
        <right style="thin">
          <color theme="0"/>
        </right>
        <top/>
        <bottom style="thin">
          <color indexed="64"/>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rgb="FF000000"/>
          <bgColor auto="1"/>
        </patternFill>
      </fill>
    </dxf>
    <dxf>
      <numFmt numFmtId="165" formatCode="#,##0;\-#,##0;\-"/>
      <border diagonalUp="0" diagonalDown="0" outline="0">
        <left/>
        <right style="thin">
          <color theme="0"/>
        </right>
        <top/>
        <bottom style="thin">
          <color indexed="64"/>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rgb="FF000000"/>
          <bgColor auto="1"/>
        </patternFill>
      </fill>
    </dxf>
    <dxf>
      <numFmt numFmtId="165" formatCode="#,##0;\-#,##0;\-"/>
      <border diagonalUp="0" diagonalDown="0" outline="0">
        <left/>
        <right style="thin">
          <color theme="0"/>
        </right>
        <top/>
        <bottom style="thin">
          <color indexed="64"/>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rgb="FF000000"/>
          <bgColor auto="1"/>
        </patternFill>
      </fill>
    </dxf>
    <dxf>
      <numFmt numFmtId="165" formatCode="#,##0;\-#,##0;\-"/>
      <border diagonalUp="0" diagonalDown="0" outline="0">
        <left/>
        <right style="thin">
          <color theme="0"/>
        </right>
        <top/>
        <bottom style="thin">
          <color indexed="64"/>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rgb="FF000000"/>
          <bgColor auto="1"/>
        </patternFill>
      </fill>
    </dxf>
    <dxf>
      <numFmt numFmtId="165" formatCode="#,##0;\-#,##0;\-"/>
      <border diagonalUp="0" diagonalDown="0" outline="0">
        <left/>
        <right style="thin">
          <color theme="0"/>
        </right>
        <top/>
        <bottom style="thin">
          <color indexed="64"/>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rgb="FF000000"/>
          <bgColor auto="1"/>
        </patternFill>
      </fill>
    </dxf>
    <dxf>
      <numFmt numFmtId="165" formatCode="#,##0;\-#,##0;\-"/>
      <border diagonalUp="0" diagonalDown="0" outline="0">
        <left/>
        <right style="thin">
          <color theme="0"/>
        </right>
        <top/>
        <bottom style="thin">
          <color indexed="64"/>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rgb="FF000000"/>
          <bgColor auto="1"/>
        </patternFill>
      </fill>
    </dxf>
    <dxf>
      <numFmt numFmtId="165" formatCode="#,##0;\-#,##0;\-"/>
      <border diagonalUp="0" diagonalDown="0" outline="0">
        <left/>
        <right style="thin">
          <color theme="0"/>
        </right>
        <top/>
        <bottom style="thin">
          <color indexed="64"/>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rgb="FF000000"/>
          <bgColor auto="1"/>
        </patternFill>
      </fill>
    </dxf>
    <dxf>
      <numFmt numFmtId="165" formatCode="#,##0;\-#,##0;\-"/>
      <border diagonalUp="0" diagonalDown="0" outline="0">
        <left style="thin">
          <color indexed="64"/>
        </left>
        <right style="thin">
          <color theme="0"/>
        </right>
        <top/>
        <bottom style="thin">
          <color indexed="64"/>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rgb="FF000000"/>
          <bgColor auto="1"/>
        </patternFill>
      </fill>
      <border diagonalUp="0" diagonalDown="0">
        <left style="thin">
          <color indexed="64"/>
        </left>
        <right/>
        <top/>
        <bottom/>
        <vertical/>
        <horizontal/>
      </border>
    </dxf>
    <dxf>
      <numFmt numFmtId="165" formatCode="#,##0;\-#,##0;\-"/>
      <border diagonalUp="0" diagonalDown="0" outline="0">
        <left/>
        <right style="thin">
          <color indexed="64"/>
        </right>
        <top/>
        <bottom style="thin">
          <color indexed="64"/>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indexed="64"/>
          <bgColor auto="1"/>
        </patternFill>
      </fill>
    </dxf>
    <dxf>
      <numFmt numFmtId="165" formatCode="#,##0;\-#,##0;\-"/>
      <border diagonalUp="0" diagonalDown="0" outline="0">
        <left/>
        <right style="thin">
          <color theme="0"/>
        </right>
        <top/>
        <bottom style="thin">
          <color indexed="64"/>
        </bottom>
      </border>
    </dxf>
    <dxf>
      <font>
        <b val="0"/>
        <i val="0"/>
        <strike val="0"/>
        <condense val="0"/>
        <extend val="0"/>
        <outline val="0"/>
        <shadow val="0"/>
        <u val="none"/>
        <vertAlign val="baseline"/>
        <sz val="11"/>
        <color theme="1" tint="0.24994659260841701"/>
        <name val="Calibri"/>
        <family val="2"/>
        <scheme val="minor"/>
      </font>
      <numFmt numFmtId="165" formatCode="#,##0;\-#,##0;\-"/>
    </dxf>
    <dxf>
      <numFmt numFmtId="165" formatCode="#,##0;\-#,##0;\-"/>
      <border diagonalUp="0" diagonalDown="0" outline="0">
        <left/>
        <right style="thin">
          <color theme="0"/>
        </right>
        <top/>
        <bottom style="thin">
          <color indexed="64"/>
        </bottom>
      </border>
    </dxf>
    <dxf>
      <font>
        <b val="0"/>
        <i val="0"/>
        <strike val="0"/>
        <condense val="0"/>
        <extend val="0"/>
        <outline val="0"/>
        <shadow val="0"/>
        <u val="none"/>
        <vertAlign val="baseline"/>
        <sz val="11"/>
        <color theme="1" tint="0.24994659260841701"/>
        <name val="Calibri"/>
        <family val="2"/>
        <scheme val="minor"/>
      </font>
      <numFmt numFmtId="165" formatCode="#,##0;\-#,##0;\-"/>
    </dxf>
    <dxf>
      <numFmt numFmtId="165" formatCode="#,##0;\-#,##0;\-"/>
      <border diagonalUp="0" diagonalDown="0" outline="0">
        <left/>
        <right style="thin">
          <color theme="0"/>
        </right>
        <top/>
        <bottom style="thin">
          <color indexed="64"/>
        </bottom>
      </border>
    </dxf>
    <dxf>
      <font>
        <b val="0"/>
        <i val="0"/>
        <strike val="0"/>
        <condense val="0"/>
        <extend val="0"/>
        <outline val="0"/>
        <shadow val="0"/>
        <u val="none"/>
        <vertAlign val="baseline"/>
        <sz val="11"/>
        <color theme="1" tint="0.24994659260841701"/>
        <name val="Calibri"/>
        <family val="2"/>
        <scheme val="minor"/>
      </font>
      <numFmt numFmtId="165" formatCode="#,##0;\-#,##0;\-"/>
    </dxf>
    <dxf>
      <numFmt numFmtId="165" formatCode="#,##0;\-#,##0;\-"/>
      <border diagonalUp="0" diagonalDown="0" outline="0">
        <left/>
        <right style="thin">
          <color theme="0"/>
        </right>
        <top/>
        <bottom style="thin">
          <color indexed="64"/>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rgb="FF000000"/>
          <bgColor auto="1"/>
        </patternFill>
      </fill>
    </dxf>
    <dxf>
      <numFmt numFmtId="165" formatCode="#,##0;\-#,##0;\-"/>
      <border diagonalUp="0" diagonalDown="0" outline="0">
        <left/>
        <right style="thin">
          <color theme="0"/>
        </right>
        <top/>
        <bottom style="thin">
          <color indexed="64"/>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rgb="FF000000"/>
          <bgColor auto="1"/>
        </patternFill>
      </fill>
    </dxf>
    <dxf>
      <numFmt numFmtId="165" formatCode="#,##0;\-#,##0;\-"/>
      <border diagonalUp="0" diagonalDown="0" outline="0">
        <left/>
        <right style="thin">
          <color theme="0"/>
        </right>
        <top/>
        <bottom style="thin">
          <color indexed="64"/>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rgb="FF000000"/>
          <bgColor auto="1"/>
        </patternFill>
      </fill>
    </dxf>
    <dxf>
      <numFmt numFmtId="165" formatCode="#,##0;\-#,##0;\-"/>
      <border diagonalUp="0" diagonalDown="0" outline="0">
        <left/>
        <right style="thin">
          <color theme="0"/>
        </right>
        <top/>
        <bottom style="thin">
          <color indexed="64"/>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rgb="FF000000"/>
          <bgColor auto="1"/>
        </patternFill>
      </fill>
    </dxf>
    <dxf>
      <numFmt numFmtId="165" formatCode="#,##0;\-#,##0;\-"/>
      <border diagonalUp="0" diagonalDown="0" outline="0">
        <left/>
        <right style="thin">
          <color theme="0"/>
        </right>
        <top/>
        <bottom style="thin">
          <color indexed="64"/>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rgb="FF000000"/>
          <bgColor auto="1"/>
        </patternFill>
      </fill>
    </dxf>
    <dxf>
      <numFmt numFmtId="165" formatCode="#,##0;\-#,##0;\-"/>
      <border diagonalUp="0" diagonalDown="0" outline="0">
        <left/>
        <right style="thin">
          <color theme="0"/>
        </right>
        <top/>
        <bottom style="thin">
          <color indexed="64"/>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rgb="FF000000"/>
          <bgColor auto="1"/>
        </patternFill>
      </fill>
    </dxf>
    <dxf>
      <numFmt numFmtId="165" formatCode="#,##0;\-#,##0;\-"/>
      <border diagonalUp="0" diagonalDown="0" outline="0">
        <left/>
        <right style="thin">
          <color theme="0"/>
        </right>
        <top/>
        <bottom style="thin">
          <color indexed="64"/>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rgb="FF000000"/>
          <bgColor auto="1"/>
        </patternFill>
      </fill>
    </dxf>
    <dxf>
      <numFmt numFmtId="165" formatCode="#,##0;\-#,##0;\-"/>
      <border diagonalUp="0" diagonalDown="0" outline="0">
        <left/>
        <right style="thin">
          <color theme="0"/>
        </right>
        <top/>
        <bottom style="thin">
          <color indexed="64"/>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rgb="FF000000"/>
          <bgColor auto="1"/>
        </patternFill>
      </fill>
    </dxf>
    <dxf>
      <numFmt numFmtId="165" formatCode="#,##0;\-#,##0;\-"/>
      <border diagonalUp="0" diagonalDown="0" outline="0">
        <left style="thin">
          <color indexed="64"/>
        </left>
        <right style="thin">
          <color theme="0"/>
        </right>
        <top/>
        <bottom style="thin">
          <color indexed="64"/>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rgb="FF000000"/>
          <bgColor auto="1"/>
        </patternFill>
      </fill>
      <border diagonalUp="0" diagonalDown="0">
        <left style="thin">
          <color indexed="64"/>
        </left>
        <top/>
        <bottom/>
        <vertical/>
        <horizontal/>
      </border>
    </dxf>
    <dxf>
      <border diagonalUp="0" diagonalDown="0" outline="0">
        <left/>
        <right/>
        <top/>
        <bottom style="thin">
          <color theme="1" tint="0.34998626667073579"/>
        </bottom>
      </border>
    </dxf>
    <dxf>
      <font>
        <b val="0"/>
        <i val="0"/>
        <strike val="0"/>
        <condense val="0"/>
        <extend val="0"/>
        <outline val="0"/>
        <shadow val="0"/>
        <u val="none"/>
        <vertAlign val="baseline"/>
        <sz val="11"/>
        <color theme="1" tint="0.249977111117893"/>
        <name val="Calibri"/>
        <family val="2"/>
        <scheme val="minor"/>
      </font>
      <numFmt numFmtId="165" formatCode="#,##0;\-#,##0;\-"/>
      <fill>
        <patternFill patternType="none">
          <fgColor indexed="64"/>
          <bgColor auto="1"/>
        </patternFill>
      </fill>
    </dxf>
    <dxf>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77111117893"/>
        <name val="Calibri"/>
        <family val="2"/>
        <scheme val="minor"/>
      </font>
      <numFmt numFmtId="165" formatCode="#,##0;\-#,##0;\-"/>
    </dxf>
    <dxf>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77111117893"/>
        <name val="Calibri"/>
        <family val="2"/>
        <scheme val="minor"/>
      </font>
      <numFmt numFmtId="165" formatCode="#,##0;\-#,##0;\-"/>
    </dxf>
    <dxf>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77111117893"/>
        <name val="Calibri"/>
        <family val="2"/>
        <scheme val="minor"/>
      </font>
      <numFmt numFmtId="165" formatCode="#,##0;\-#,##0;\-"/>
      <fill>
        <patternFill patternType="none">
          <fgColor indexed="64"/>
          <bgColor auto="1"/>
        </patternFill>
      </fill>
    </dxf>
    <dxf>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77111117893"/>
        <name val="Calibri"/>
        <family val="2"/>
        <scheme val="minor"/>
      </font>
      <numFmt numFmtId="165" formatCode="#,##0;\-#,##0;\-"/>
      <fill>
        <patternFill patternType="none">
          <fgColor indexed="64"/>
          <bgColor auto="1"/>
        </patternFill>
      </fill>
    </dxf>
    <dxf>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77111117893"/>
        <name val="Calibri"/>
        <family val="2"/>
        <scheme val="minor"/>
      </font>
      <numFmt numFmtId="165" formatCode="#,##0;\-#,##0;\-"/>
      <fill>
        <patternFill patternType="none">
          <fgColor indexed="64"/>
          <bgColor auto="1"/>
        </patternFill>
      </fill>
    </dxf>
    <dxf>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77111117893"/>
        <name val="Calibri"/>
        <family val="2"/>
        <scheme val="minor"/>
      </font>
      <numFmt numFmtId="165" formatCode="#,##0;\-#,##0;\-"/>
      <fill>
        <patternFill patternType="none">
          <fgColor indexed="64"/>
          <bgColor auto="1"/>
        </patternFill>
      </fill>
    </dxf>
    <dxf>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77111117893"/>
        <name val="Calibri"/>
        <family val="2"/>
        <scheme val="minor"/>
      </font>
      <numFmt numFmtId="165" formatCode="#,##0;\-#,##0;\-"/>
      <fill>
        <patternFill patternType="none">
          <fgColor indexed="64"/>
          <bgColor auto="1"/>
        </patternFill>
      </fill>
    </dxf>
    <dxf>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77111117893"/>
        <name val="Calibri"/>
        <family val="2"/>
        <scheme val="minor"/>
      </font>
      <numFmt numFmtId="165" formatCode="#,##0;\-#,##0;\-"/>
      <fill>
        <patternFill patternType="none">
          <fgColor indexed="64"/>
          <bgColor auto="1"/>
        </patternFill>
      </fill>
    </dxf>
    <dxf>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77111117893"/>
        <name val="Calibri"/>
        <family val="2"/>
        <scheme val="minor"/>
      </font>
      <numFmt numFmtId="165" formatCode="#,##0;\-#,##0;\-"/>
      <fill>
        <patternFill patternType="none">
          <fgColor indexed="64"/>
          <bgColor auto="1"/>
        </patternFill>
      </fill>
    </dxf>
    <dxf>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77111117893"/>
        <name val="Calibri"/>
        <family val="2"/>
        <scheme val="minor"/>
      </font>
      <numFmt numFmtId="165" formatCode="#,##0;\-#,##0;\-"/>
      <fill>
        <patternFill patternType="none">
          <fgColor indexed="64"/>
          <bgColor auto="1"/>
        </patternFill>
      </fill>
    </dxf>
    <dxf>
      <border diagonalUp="0" diagonalDown="0" outline="0">
        <left style="thin">
          <color theme="1" tint="0.499984740745262"/>
        </left>
        <right style="thin">
          <color theme="0"/>
        </right>
        <top/>
        <bottom style="thin">
          <color theme="1" tint="0.34998626667073579"/>
        </bottom>
      </border>
    </dxf>
    <dxf>
      <font>
        <b val="0"/>
        <i val="0"/>
        <strike val="0"/>
        <condense val="0"/>
        <extend val="0"/>
        <outline val="0"/>
        <shadow val="0"/>
        <u val="none"/>
        <vertAlign val="baseline"/>
        <sz val="11"/>
        <color theme="1" tint="0.249977111117893"/>
        <name val="Calibri"/>
        <family val="2"/>
        <scheme val="minor"/>
      </font>
      <numFmt numFmtId="165" formatCode="#,##0;\-#,##0;\-"/>
      <fill>
        <patternFill patternType="none">
          <fgColor indexed="64"/>
          <bgColor auto="1"/>
        </patternFill>
      </fill>
      <border diagonalUp="0" diagonalDown="0">
        <left style="thin">
          <color theme="1" tint="0.499984740745262"/>
        </left>
        <top/>
        <bottom/>
        <vertical/>
        <horizontal/>
      </border>
    </dxf>
    <dxf>
      <numFmt numFmtId="165" formatCode="#,##0;\-#,##0;\-"/>
      <border diagonalUp="0" diagonalDown="0" outline="0">
        <left/>
        <right/>
        <top/>
        <bottom style="thin">
          <color theme="1" tint="0.34998626667073579"/>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indexed="64"/>
          <bgColor auto="1"/>
        </patternFill>
      </fill>
    </dxf>
    <dxf>
      <numFmt numFmtId="165" formatCode="#,##0;\-#,##0;\-"/>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4659260841701"/>
        <name val="Calibri"/>
        <family val="2"/>
        <scheme val="minor"/>
      </font>
      <numFmt numFmtId="165" formatCode="#,##0;\-#,##0;\-"/>
    </dxf>
    <dxf>
      <numFmt numFmtId="165" formatCode="#,##0;\-#,##0;\-"/>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4659260841701"/>
        <name val="Calibri"/>
        <family val="2"/>
        <scheme val="minor"/>
      </font>
      <numFmt numFmtId="165" formatCode="#,##0;\-#,##0;\-"/>
    </dxf>
    <dxf>
      <numFmt numFmtId="165" formatCode="#,##0;\-#,##0;\-"/>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indexed="64"/>
          <bgColor auto="1"/>
        </patternFill>
      </fill>
    </dxf>
    <dxf>
      <numFmt numFmtId="165" formatCode="#,##0;\-#,##0;\-"/>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indexed="64"/>
          <bgColor auto="1"/>
        </patternFill>
      </fill>
    </dxf>
    <dxf>
      <numFmt numFmtId="165" formatCode="#,##0;\-#,##0;\-"/>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indexed="64"/>
          <bgColor auto="1"/>
        </patternFill>
      </fill>
    </dxf>
    <dxf>
      <numFmt numFmtId="165" formatCode="#,##0;\-#,##0;\-"/>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indexed="64"/>
          <bgColor auto="1"/>
        </patternFill>
      </fill>
    </dxf>
    <dxf>
      <numFmt numFmtId="165" formatCode="#,##0;\-#,##0;\-"/>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indexed="64"/>
          <bgColor auto="1"/>
        </patternFill>
      </fill>
    </dxf>
    <dxf>
      <numFmt numFmtId="165" formatCode="#,##0;\-#,##0;\-"/>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indexed="64"/>
          <bgColor auto="1"/>
        </patternFill>
      </fill>
    </dxf>
    <dxf>
      <numFmt numFmtId="165" formatCode="#,##0;\-#,##0;\-"/>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indexed="64"/>
          <bgColor auto="1"/>
        </patternFill>
      </fill>
    </dxf>
    <dxf>
      <numFmt numFmtId="165" formatCode="#,##0;\-#,##0;\-"/>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indexed="64"/>
          <bgColor auto="1"/>
        </patternFill>
      </fill>
    </dxf>
    <dxf>
      <numFmt numFmtId="165" formatCode="#,##0;\-#,##0;\-"/>
      <border diagonalUp="0" diagonalDown="0" outline="0">
        <left style="thin">
          <color theme="1" tint="0.499984740745262"/>
        </left>
        <right style="thin">
          <color theme="0"/>
        </right>
        <top/>
        <bottom style="thin">
          <color theme="1" tint="0.34998626667073579"/>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indexed="64"/>
          <bgColor auto="1"/>
        </patternFill>
      </fill>
      <border diagonalUp="0" diagonalDown="0">
        <left style="thin">
          <color theme="1" tint="0.499984740745262"/>
        </left>
        <top/>
        <bottom/>
        <vertical/>
        <horizontal/>
      </border>
    </dxf>
    <dxf>
      <numFmt numFmtId="165" formatCode="#,##0;\-#,##0;\-"/>
      <border diagonalUp="0" diagonalDown="0" outline="0">
        <left/>
        <right/>
        <top/>
        <bottom style="thin">
          <color theme="1" tint="0.34998626667073579"/>
        </bottom>
      </border>
    </dxf>
    <dxf>
      <font>
        <b val="0"/>
        <i val="0"/>
        <strike/>
        <condense val="0"/>
        <extend val="0"/>
        <outline val="0"/>
        <shadow val="0"/>
        <u val="none"/>
        <vertAlign val="baseline"/>
        <sz val="11"/>
        <color theme="1"/>
        <name val="Calibri"/>
        <family val="2"/>
        <scheme val="minor"/>
      </font>
      <numFmt numFmtId="165" formatCode="#,##0;\-#,##0;\-"/>
      <fill>
        <patternFill patternType="solid">
          <fgColor indexed="64"/>
          <bgColor theme="0" tint="-0.499984740745262"/>
        </patternFill>
      </fill>
      <border diagonalUp="0" diagonalDown="0">
        <left/>
        <right style="thin">
          <color indexed="64"/>
        </right>
        <top/>
        <bottom/>
        <vertical/>
        <horizontal/>
      </border>
    </dxf>
    <dxf>
      <numFmt numFmtId="165" formatCode="#,##0;\-#,##0;\-"/>
      <border diagonalUp="0" diagonalDown="0" outline="0">
        <left/>
        <right/>
        <top/>
        <bottom style="thin">
          <color theme="1" tint="0.34998626667073579"/>
        </bottom>
      </border>
    </dxf>
    <dxf>
      <font>
        <b val="0"/>
        <i val="0"/>
        <strike/>
        <condense val="0"/>
        <extend val="0"/>
        <outline val="0"/>
        <shadow val="0"/>
        <u val="none"/>
        <vertAlign val="baseline"/>
        <sz val="11"/>
        <color theme="1"/>
        <name val="Calibri"/>
        <family val="2"/>
        <scheme val="minor"/>
      </font>
      <numFmt numFmtId="165" formatCode="#,##0;\-#,##0;\-"/>
      <fill>
        <patternFill patternType="solid">
          <fgColor indexed="64"/>
          <bgColor theme="0" tint="-0.499984740745262"/>
        </patternFill>
      </fill>
    </dxf>
    <dxf>
      <numFmt numFmtId="165" formatCode="#,##0;\-#,##0;\-"/>
      <border diagonalUp="0" diagonalDown="0" outline="0">
        <left style="thin">
          <color theme="1" tint="0.34998626667073579"/>
        </left>
        <right/>
        <top/>
        <bottom style="thin">
          <color theme="1" tint="0.34998626667073579"/>
        </bottom>
      </border>
    </dxf>
    <dxf>
      <font>
        <strike/>
      </font>
      <numFmt numFmtId="165" formatCode="#,##0;\-#,##0;\-"/>
      <fill>
        <patternFill patternType="solid">
          <fgColor indexed="64"/>
          <bgColor theme="0" tint="-0.499984740745262"/>
        </patternFill>
      </fill>
      <border diagonalUp="0" diagonalDown="0">
        <left style="thin">
          <color indexed="64"/>
        </left>
        <right/>
        <top/>
        <bottom/>
        <vertical/>
        <horizontal/>
      </border>
    </dxf>
    <dxf>
      <numFmt numFmtId="0" formatCode="Genera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rgb="FF000000"/>
          <bgColor auto="1"/>
        </patternFill>
      </fill>
    </dxf>
    <dxf>
      <font>
        <b val="0"/>
        <i val="0"/>
        <strike val="0"/>
        <condense val="0"/>
        <extend val="0"/>
        <outline val="0"/>
        <shadow val="0"/>
        <u val="none"/>
        <vertAlign val="baseline"/>
        <sz val="11"/>
        <color theme="0" tint="-0.249977111117893"/>
        <name val="Calibri"/>
        <family val="2"/>
        <scheme val="minor"/>
      </font>
      <fill>
        <patternFill patternType="none">
          <fgColor indexed="64"/>
          <bgColor indexed="65"/>
        </patternFill>
      </fill>
      <alignment horizontal="left" vertical="top" textRotation="0" wrapText="0" indent="0" justifyLastLine="0" shrinkToFit="0" readingOrder="0"/>
      <border diagonalUp="0" diagonalDown="0" outline="0">
        <left style="thin">
          <color auto="1"/>
        </left>
        <right style="thin">
          <color auto="1"/>
        </right>
        <top/>
        <bottom/>
      </border>
    </dxf>
    <dxf>
      <numFmt numFmtId="165" formatCode="#,##0;\-#,##0;\-"/>
      <border diagonalUp="0" diagonalDown="0" outline="0">
        <left/>
        <right style="thin">
          <color indexed="64"/>
        </right>
        <top/>
        <bottom style="thin">
          <color indexed="64"/>
        </bottom>
      </border>
    </dxf>
    <dxf>
      <font>
        <b val="0"/>
        <i val="0"/>
        <strike val="0"/>
        <condense val="0"/>
        <extend val="0"/>
        <outline val="0"/>
        <shadow val="0"/>
        <u val="none"/>
        <vertAlign val="baseline"/>
        <sz val="11"/>
        <color theme="1"/>
        <name val="Calibri"/>
        <family val="2"/>
        <scheme val="minor"/>
      </font>
      <numFmt numFmtId="165" formatCode="#,##0;\-#,##0;\-"/>
      <fill>
        <patternFill patternType="none">
          <fgColor rgb="FF000000"/>
          <bgColor auto="1"/>
        </patternFill>
      </fill>
      <border diagonalUp="0" diagonalDown="0">
        <left/>
        <right style="thin">
          <color indexed="64"/>
        </right>
        <top/>
        <bottom/>
        <vertical/>
        <horizontal/>
      </border>
    </dxf>
    <dxf>
      <numFmt numFmtId="165" formatCode="#,##0;\-#,##0;\-"/>
      <border diagonalUp="0" diagonalDown="0" outline="0">
        <left/>
        <right style="thin">
          <color theme="0"/>
        </right>
        <top/>
        <bottom style="thin">
          <color indexed="64"/>
        </bottom>
      </border>
    </dxf>
    <dxf>
      <font>
        <b val="0"/>
        <i val="0"/>
        <strike val="0"/>
        <condense val="0"/>
        <extend val="0"/>
        <outline val="0"/>
        <shadow val="0"/>
        <u val="none"/>
        <vertAlign val="baseline"/>
        <sz val="11"/>
        <color theme="1"/>
        <name val="Calibri"/>
        <family val="2"/>
        <scheme val="minor"/>
      </font>
      <numFmt numFmtId="165" formatCode="#,##0;\-#,##0;\-"/>
      <fill>
        <patternFill patternType="none">
          <fgColor rgb="FF000000"/>
          <bgColor auto="1"/>
        </patternFill>
      </fill>
    </dxf>
    <dxf>
      <numFmt numFmtId="165" formatCode="#,##0;\-#,##0;\-"/>
      <border diagonalUp="0" diagonalDown="0" outline="0">
        <left/>
        <right style="thin">
          <color theme="0"/>
        </right>
        <top/>
        <bottom style="thin">
          <color indexed="64"/>
        </bottom>
      </border>
    </dxf>
    <dxf>
      <font>
        <b val="0"/>
        <i val="0"/>
        <strike val="0"/>
        <condense val="0"/>
        <extend val="0"/>
        <outline val="0"/>
        <shadow val="0"/>
        <u val="none"/>
        <vertAlign val="baseline"/>
        <sz val="11"/>
        <color theme="1"/>
        <name val="Calibri"/>
        <family val="2"/>
        <scheme val="minor"/>
      </font>
      <numFmt numFmtId="165" formatCode="#,##0;\-#,##0;\-"/>
      <fill>
        <patternFill patternType="none">
          <fgColor rgb="FF000000"/>
          <bgColor auto="1"/>
        </patternFill>
      </fill>
    </dxf>
    <dxf>
      <numFmt numFmtId="165" formatCode="#,##0;\-#,##0;\-"/>
      <border diagonalUp="0" diagonalDown="0" outline="0">
        <left/>
        <right style="thin">
          <color theme="0"/>
        </right>
        <top/>
        <bottom style="thin">
          <color indexed="64"/>
        </bottom>
      </border>
    </dxf>
    <dxf>
      <font>
        <b val="0"/>
        <i val="0"/>
        <strike val="0"/>
        <condense val="0"/>
        <extend val="0"/>
        <outline val="0"/>
        <shadow val="0"/>
        <u val="none"/>
        <vertAlign val="baseline"/>
        <sz val="11"/>
        <color theme="1"/>
        <name val="Calibri"/>
        <family val="2"/>
        <scheme val="minor"/>
      </font>
      <numFmt numFmtId="165" formatCode="#,##0;\-#,##0;\-"/>
      <fill>
        <patternFill patternType="none">
          <fgColor rgb="FF000000"/>
          <bgColor auto="1"/>
        </patternFill>
      </fill>
    </dxf>
    <dxf>
      <numFmt numFmtId="165" formatCode="#,##0;\-#,##0;\-"/>
      <border diagonalUp="0" diagonalDown="0" outline="0">
        <left/>
        <right style="thin">
          <color theme="0"/>
        </right>
        <top/>
        <bottom style="thin">
          <color indexed="64"/>
        </bottom>
      </border>
    </dxf>
    <dxf>
      <font>
        <b val="0"/>
        <i val="0"/>
        <strike val="0"/>
        <condense val="0"/>
        <extend val="0"/>
        <outline val="0"/>
        <shadow val="0"/>
        <u val="none"/>
        <vertAlign val="baseline"/>
        <sz val="11"/>
        <color theme="1"/>
        <name val="Calibri"/>
        <family val="2"/>
        <scheme val="minor"/>
      </font>
      <numFmt numFmtId="165" formatCode="#,##0;\-#,##0;\-"/>
      <fill>
        <patternFill patternType="none">
          <fgColor rgb="FF000000"/>
          <bgColor auto="1"/>
        </patternFill>
      </fill>
    </dxf>
    <dxf>
      <numFmt numFmtId="165" formatCode="#,##0;\-#,##0;\-"/>
      <border diagonalUp="0" diagonalDown="0" outline="0">
        <left/>
        <right style="thin">
          <color theme="0"/>
        </right>
        <top/>
        <bottom style="thin">
          <color indexed="64"/>
        </bottom>
      </border>
    </dxf>
    <dxf>
      <font>
        <b val="0"/>
        <i val="0"/>
        <strike val="0"/>
        <condense val="0"/>
        <extend val="0"/>
        <outline val="0"/>
        <shadow val="0"/>
        <u val="none"/>
        <vertAlign val="baseline"/>
        <sz val="11"/>
        <color theme="1"/>
        <name val="Calibri"/>
        <family val="2"/>
        <scheme val="minor"/>
      </font>
      <numFmt numFmtId="165" formatCode="#,##0;\-#,##0;\-"/>
      <fill>
        <patternFill patternType="none">
          <fgColor rgb="FF000000"/>
          <bgColor auto="1"/>
        </patternFill>
      </fill>
    </dxf>
    <dxf>
      <numFmt numFmtId="165" formatCode="#,##0;\-#,##0;\-"/>
      <border diagonalUp="0" diagonalDown="0" outline="0">
        <left/>
        <right style="thin">
          <color theme="0"/>
        </right>
        <top/>
        <bottom style="thin">
          <color indexed="64"/>
        </bottom>
      </border>
    </dxf>
    <dxf>
      <font>
        <b val="0"/>
        <i val="0"/>
        <strike val="0"/>
        <condense val="0"/>
        <extend val="0"/>
        <outline val="0"/>
        <shadow val="0"/>
        <u val="none"/>
        <vertAlign val="baseline"/>
        <sz val="11"/>
        <color theme="1"/>
        <name val="Calibri"/>
        <family val="2"/>
        <scheme val="minor"/>
      </font>
      <numFmt numFmtId="165" formatCode="#,##0;\-#,##0;\-"/>
      <fill>
        <patternFill patternType="none">
          <fgColor rgb="FF000000"/>
          <bgColor auto="1"/>
        </patternFill>
      </fill>
    </dxf>
    <dxf>
      <numFmt numFmtId="165" formatCode="#,##0;\-#,##0;\-"/>
      <border diagonalUp="0" diagonalDown="0" outline="0">
        <left/>
        <right style="thin">
          <color theme="0"/>
        </right>
        <top/>
        <bottom style="thin">
          <color indexed="64"/>
        </bottom>
      </border>
    </dxf>
    <dxf>
      <font>
        <b val="0"/>
        <i val="0"/>
        <strike val="0"/>
        <condense val="0"/>
        <extend val="0"/>
        <outline val="0"/>
        <shadow val="0"/>
        <u val="none"/>
        <vertAlign val="baseline"/>
        <sz val="11"/>
        <color theme="1"/>
        <name val="Calibri"/>
        <family val="2"/>
        <scheme val="minor"/>
      </font>
      <numFmt numFmtId="165" formatCode="#,##0;\-#,##0;\-"/>
      <fill>
        <patternFill patternType="none">
          <fgColor rgb="FF000000"/>
          <bgColor auto="1"/>
        </patternFill>
      </fill>
    </dxf>
    <dxf>
      <numFmt numFmtId="165" formatCode="#,##0;\-#,##0;\-"/>
      <border diagonalUp="0" diagonalDown="0" outline="0">
        <left/>
        <right style="thin">
          <color theme="0"/>
        </right>
        <top/>
        <bottom style="thin">
          <color indexed="64"/>
        </bottom>
      </border>
    </dxf>
    <dxf>
      <font>
        <b val="0"/>
        <i val="0"/>
        <strike val="0"/>
        <condense val="0"/>
        <extend val="0"/>
        <outline val="0"/>
        <shadow val="0"/>
        <u val="none"/>
        <vertAlign val="baseline"/>
        <sz val="11"/>
        <color theme="1"/>
        <name val="Calibri"/>
        <family val="2"/>
        <scheme val="minor"/>
      </font>
      <numFmt numFmtId="165" formatCode="#,##0;\-#,##0;\-"/>
      <fill>
        <patternFill patternType="none">
          <fgColor rgb="FF000000"/>
          <bgColor auto="1"/>
        </patternFill>
      </fill>
    </dxf>
    <dxf>
      <numFmt numFmtId="165" formatCode="#,##0;\-#,##0;\-"/>
      <border diagonalUp="0" diagonalDown="0" outline="0">
        <left/>
        <right style="thin">
          <color theme="0"/>
        </right>
        <top/>
        <bottom style="thin">
          <color indexed="64"/>
        </bottom>
      </border>
    </dxf>
    <dxf>
      <font>
        <b val="0"/>
        <i val="0"/>
        <strike val="0"/>
        <condense val="0"/>
        <extend val="0"/>
        <outline val="0"/>
        <shadow val="0"/>
        <u val="none"/>
        <vertAlign val="baseline"/>
        <sz val="11"/>
        <color theme="1"/>
        <name val="Calibri"/>
        <family val="2"/>
        <scheme val="minor"/>
      </font>
      <numFmt numFmtId="165" formatCode="#,##0;\-#,##0;\-"/>
      <fill>
        <patternFill patternType="none">
          <fgColor rgb="FF000000"/>
          <bgColor auto="1"/>
        </patternFill>
      </fill>
    </dxf>
    <dxf>
      <numFmt numFmtId="165" formatCode="#,##0;\-#,##0;\-"/>
      <border diagonalUp="0" diagonalDown="0" outline="0">
        <left/>
        <right style="thin">
          <color theme="0"/>
        </right>
        <top/>
        <bottom style="thin">
          <color indexed="64"/>
        </bottom>
      </border>
    </dxf>
    <dxf>
      <font>
        <b val="0"/>
        <i val="0"/>
        <strike val="0"/>
        <condense val="0"/>
        <extend val="0"/>
        <outline val="0"/>
        <shadow val="0"/>
        <u val="none"/>
        <vertAlign val="baseline"/>
        <sz val="11"/>
        <color theme="1"/>
        <name val="Calibri"/>
        <family val="2"/>
        <scheme val="minor"/>
      </font>
      <numFmt numFmtId="165" formatCode="#,##0;\-#,##0;\-"/>
      <fill>
        <patternFill patternType="none">
          <fgColor rgb="FF000000"/>
          <bgColor auto="1"/>
        </patternFill>
      </fill>
    </dxf>
    <dxf>
      <numFmt numFmtId="165" formatCode="#,##0;\-#,##0;\-"/>
      <border diagonalUp="0" diagonalDown="0" outline="0">
        <left/>
        <right style="thin">
          <color theme="0"/>
        </right>
        <top/>
        <bottom style="thin">
          <color indexed="64"/>
        </bottom>
      </border>
    </dxf>
    <dxf>
      <font>
        <b val="0"/>
        <i val="0"/>
        <strike val="0"/>
        <condense val="0"/>
        <extend val="0"/>
        <outline val="0"/>
        <shadow val="0"/>
        <u val="none"/>
        <vertAlign val="baseline"/>
        <sz val="11"/>
        <color theme="1"/>
        <name val="Calibri"/>
        <family val="2"/>
        <scheme val="minor"/>
      </font>
      <numFmt numFmtId="165" formatCode="#,##0;\-#,##0;\-"/>
      <fill>
        <patternFill patternType="none">
          <fgColor rgb="FF000000"/>
          <bgColor auto="1"/>
        </patternFill>
      </fill>
    </dxf>
    <dxf>
      <numFmt numFmtId="165" formatCode="#,##0;\-#,##0;\-"/>
      <border diagonalUp="0" diagonalDown="0" outline="0">
        <left style="thin">
          <color indexed="64"/>
        </left>
        <right style="thin">
          <color theme="0"/>
        </right>
        <top/>
        <bottom style="thin">
          <color indexed="64"/>
        </bottom>
      </border>
    </dxf>
    <dxf>
      <font>
        <b val="0"/>
        <i val="0"/>
        <strike val="0"/>
        <condense val="0"/>
        <extend val="0"/>
        <outline val="0"/>
        <shadow val="0"/>
        <u val="none"/>
        <vertAlign val="baseline"/>
        <sz val="11"/>
        <color theme="1"/>
        <name val="Calibri"/>
        <family val="2"/>
        <scheme val="minor"/>
      </font>
      <numFmt numFmtId="165" formatCode="#,##0;\-#,##0;\-"/>
      <fill>
        <patternFill patternType="none">
          <fgColor rgb="FF000000"/>
          <bgColor auto="1"/>
        </patternFill>
      </fill>
      <border diagonalUp="0" diagonalDown="0">
        <left style="thin">
          <color indexed="64"/>
        </left>
        <right/>
        <top/>
        <bottom/>
        <vertical/>
        <horizontal/>
      </border>
    </dxf>
    <dxf>
      <numFmt numFmtId="165" formatCode="#,##0;\-#,##0;\-"/>
      <border diagonalUp="0" diagonalDown="0" outline="0">
        <left/>
        <right style="thin">
          <color indexed="64"/>
        </right>
        <top/>
        <bottom style="thin">
          <color indexed="64"/>
        </bottom>
      </border>
    </dxf>
    <dxf>
      <font>
        <b val="0"/>
        <i val="0"/>
        <strike val="0"/>
        <condense val="0"/>
        <extend val="0"/>
        <outline val="0"/>
        <shadow val="0"/>
        <u val="none"/>
        <vertAlign val="baseline"/>
        <sz val="11"/>
        <color theme="1"/>
        <name val="Calibri"/>
        <family val="2"/>
        <scheme val="minor"/>
      </font>
      <numFmt numFmtId="165" formatCode="#,##0;\-#,##0;\-"/>
      <fill>
        <patternFill patternType="none">
          <fgColor indexed="64"/>
          <bgColor auto="1"/>
        </patternFill>
      </fill>
    </dxf>
    <dxf>
      <numFmt numFmtId="165" formatCode="#,##0;\-#,##0;\-"/>
      <border diagonalUp="0" diagonalDown="0" outline="0">
        <left/>
        <right style="thin">
          <color theme="0"/>
        </right>
        <top/>
        <bottom style="thin">
          <color indexed="64"/>
        </bottom>
      </border>
    </dxf>
    <dxf>
      <font>
        <b val="0"/>
        <i val="0"/>
        <strike val="0"/>
        <condense val="0"/>
        <extend val="0"/>
        <outline val="0"/>
        <shadow val="0"/>
        <u val="none"/>
        <vertAlign val="baseline"/>
        <sz val="11"/>
        <color theme="1"/>
        <name val="Calibri"/>
        <family val="2"/>
        <scheme val="minor"/>
      </font>
      <numFmt numFmtId="165" formatCode="#,##0;\-#,##0;\-"/>
      <fill>
        <patternFill patternType="none">
          <fgColor indexed="64"/>
          <bgColor auto="1"/>
        </patternFill>
      </fill>
    </dxf>
    <dxf>
      <numFmt numFmtId="165" formatCode="#,##0;\-#,##0;\-"/>
      <border diagonalUp="0" diagonalDown="0" outline="0">
        <left/>
        <right style="thin">
          <color theme="0"/>
        </right>
        <top/>
        <bottom style="thin">
          <color indexed="64"/>
        </bottom>
      </border>
    </dxf>
    <dxf>
      <font>
        <b val="0"/>
        <i val="0"/>
        <strike val="0"/>
        <condense val="0"/>
        <extend val="0"/>
        <outline val="0"/>
        <shadow val="0"/>
        <u val="none"/>
        <vertAlign val="baseline"/>
        <sz val="11"/>
        <color theme="1"/>
        <name val="Calibri"/>
        <family val="2"/>
        <scheme val="minor"/>
      </font>
      <numFmt numFmtId="165" formatCode="#,##0;\-#,##0;\-"/>
      <fill>
        <patternFill patternType="none">
          <fgColor indexed="64"/>
          <bgColor auto="1"/>
        </patternFill>
      </fill>
    </dxf>
    <dxf>
      <numFmt numFmtId="165" formatCode="#,##0;\-#,##0;\-"/>
      <border diagonalUp="0" diagonalDown="0" outline="0">
        <left/>
        <right style="thin">
          <color theme="0"/>
        </right>
        <top/>
        <bottom style="thin">
          <color indexed="64"/>
        </bottom>
      </border>
    </dxf>
    <dxf>
      <font>
        <b val="0"/>
        <i val="0"/>
        <strike val="0"/>
        <condense val="0"/>
        <extend val="0"/>
        <outline val="0"/>
        <shadow val="0"/>
        <u val="none"/>
        <vertAlign val="baseline"/>
        <sz val="11"/>
        <color theme="1"/>
        <name val="Calibri"/>
        <family val="2"/>
        <scheme val="minor"/>
      </font>
      <numFmt numFmtId="165" formatCode="#,##0;\-#,##0;\-"/>
      <fill>
        <patternFill patternType="none">
          <fgColor indexed="64"/>
          <bgColor auto="1"/>
        </patternFill>
      </fill>
    </dxf>
    <dxf>
      <numFmt numFmtId="165" formatCode="#,##0;\-#,##0;\-"/>
      <border diagonalUp="0" diagonalDown="0" outline="0">
        <left/>
        <right style="thin">
          <color theme="0"/>
        </right>
        <top/>
        <bottom style="thin">
          <color indexed="64"/>
        </bottom>
      </border>
    </dxf>
    <dxf>
      <font>
        <b val="0"/>
        <i val="0"/>
        <strike val="0"/>
        <condense val="0"/>
        <extend val="0"/>
        <outline val="0"/>
        <shadow val="0"/>
        <u val="none"/>
        <vertAlign val="baseline"/>
        <sz val="11"/>
        <color theme="1"/>
        <name val="Calibri"/>
        <family val="2"/>
        <scheme val="minor"/>
      </font>
      <numFmt numFmtId="165" formatCode="#,##0;\-#,##0;\-"/>
      <fill>
        <patternFill patternType="none">
          <fgColor indexed="64"/>
          <bgColor auto="1"/>
        </patternFill>
      </fill>
    </dxf>
    <dxf>
      <numFmt numFmtId="165" formatCode="#,##0;\-#,##0;\-"/>
      <border diagonalUp="0" diagonalDown="0" outline="0">
        <left/>
        <right style="thin">
          <color theme="0"/>
        </right>
        <top/>
        <bottom style="thin">
          <color indexed="64"/>
        </bottom>
      </border>
    </dxf>
    <dxf>
      <font>
        <b val="0"/>
        <i val="0"/>
        <strike val="0"/>
        <condense val="0"/>
        <extend val="0"/>
        <outline val="0"/>
        <shadow val="0"/>
        <u val="none"/>
        <vertAlign val="baseline"/>
        <sz val="11"/>
        <color theme="1"/>
        <name val="Calibri"/>
        <family val="2"/>
        <scheme val="minor"/>
      </font>
      <numFmt numFmtId="165" formatCode="#,##0;\-#,##0;\-"/>
      <fill>
        <patternFill patternType="none">
          <fgColor indexed="64"/>
          <bgColor auto="1"/>
        </patternFill>
      </fill>
    </dxf>
    <dxf>
      <numFmt numFmtId="165" formatCode="#,##0;\-#,##0;\-"/>
      <border diagonalUp="0" diagonalDown="0" outline="0">
        <left/>
        <right style="thin">
          <color theme="0"/>
        </right>
        <top/>
        <bottom style="thin">
          <color indexed="64"/>
        </bottom>
      </border>
    </dxf>
    <dxf>
      <font>
        <b val="0"/>
        <i val="0"/>
        <strike val="0"/>
        <condense val="0"/>
        <extend val="0"/>
        <outline val="0"/>
        <shadow val="0"/>
        <u val="none"/>
        <vertAlign val="baseline"/>
        <sz val="11"/>
        <color theme="1"/>
        <name val="Calibri"/>
        <family val="2"/>
        <scheme val="minor"/>
      </font>
      <numFmt numFmtId="165" formatCode="#,##0;\-#,##0;\-"/>
      <fill>
        <patternFill patternType="none">
          <fgColor indexed="64"/>
          <bgColor auto="1"/>
        </patternFill>
      </fill>
    </dxf>
    <dxf>
      <numFmt numFmtId="165" formatCode="#,##0;\-#,##0;\-"/>
      <border diagonalUp="0" diagonalDown="0" outline="0">
        <left/>
        <right style="thin">
          <color theme="0"/>
        </right>
        <top/>
        <bottom style="thin">
          <color indexed="64"/>
        </bottom>
      </border>
    </dxf>
    <dxf>
      <font>
        <b val="0"/>
        <i val="0"/>
        <strike val="0"/>
        <condense val="0"/>
        <extend val="0"/>
        <outline val="0"/>
        <shadow val="0"/>
        <u val="none"/>
        <vertAlign val="baseline"/>
        <sz val="11"/>
        <color theme="1"/>
        <name val="Calibri"/>
        <family val="2"/>
        <scheme val="minor"/>
      </font>
      <numFmt numFmtId="165" formatCode="#,##0;\-#,##0;\-"/>
      <fill>
        <patternFill patternType="none">
          <fgColor indexed="64"/>
          <bgColor auto="1"/>
        </patternFill>
      </fill>
    </dxf>
    <dxf>
      <numFmt numFmtId="165" formatCode="#,##0;\-#,##0;\-"/>
      <border diagonalUp="0" diagonalDown="0" outline="0">
        <left/>
        <right style="thin">
          <color theme="0"/>
        </right>
        <top/>
        <bottom style="thin">
          <color indexed="64"/>
        </bottom>
      </border>
    </dxf>
    <dxf>
      <font>
        <b val="0"/>
        <i val="0"/>
        <strike val="0"/>
        <condense val="0"/>
        <extend val="0"/>
        <outline val="0"/>
        <shadow val="0"/>
        <u val="none"/>
        <vertAlign val="baseline"/>
        <sz val="11"/>
        <color theme="1"/>
        <name val="Calibri"/>
        <family val="2"/>
        <scheme val="minor"/>
      </font>
      <numFmt numFmtId="165" formatCode="#,##0;\-#,##0;\-"/>
      <fill>
        <patternFill patternType="none">
          <fgColor indexed="64"/>
          <bgColor auto="1"/>
        </patternFill>
      </fill>
    </dxf>
    <dxf>
      <numFmt numFmtId="165" formatCode="#,##0;\-#,##0;\-"/>
      <border diagonalUp="0" diagonalDown="0" outline="0">
        <left/>
        <right style="thin">
          <color theme="0"/>
        </right>
        <top/>
        <bottom style="thin">
          <color indexed="64"/>
        </bottom>
      </border>
    </dxf>
    <dxf>
      <font>
        <b val="0"/>
        <i val="0"/>
        <strike val="0"/>
        <condense val="0"/>
        <extend val="0"/>
        <outline val="0"/>
        <shadow val="0"/>
        <u val="none"/>
        <vertAlign val="baseline"/>
        <sz val="11"/>
        <color theme="1"/>
        <name val="Calibri"/>
        <family val="2"/>
        <scheme val="minor"/>
      </font>
      <numFmt numFmtId="165" formatCode="#,##0;\-#,##0;\-"/>
      <fill>
        <patternFill patternType="none">
          <fgColor indexed="64"/>
          <bgColor auto="1"/>
        </patternFill>
      </fill>
    </dxf>
    <dxf>
      <numFmt numFmtId="165" formatCode="#,##0;\-#,##0;\-"/>
      <border diagonalUp="0" diagonalDown="0" outline="0">
        <left/>
        <right style="thin">
          <color theme="0"/>
        </right>
        <top/>
        <bottom style="thin">
          <color indexed="64"/>
        </bottom>
      </border>
    </dxf>
    <dxf>
      <font>
        <b val="0"/>
        <i val="0"/>
        <strike val="0"/>
        <condense val="0"/>
        <extend val="0"/>
        <outline val="0"/>
        <shadow val="0"/>
        <u val="none"/>
        <vertAlign val="baseline"/>
        <sz val="11"/>
        <color theme="1"/>
        <name val="Calibri"/>
        <family val="2"/>
        <scheme val="minor"/>
      </font>
      <numFmt numFmtId="165" formatCode="#,##0;\-#,##0;\-"/>
      <fill>
        <patternFill patternType="none">
          <fgColor indexed="64"/>
          <bgColor auto="1"/>
        </patternFill>
      </fill>
    </dxf>
    <dxf>
      <numFmt numFmtId="165" formatCode="#,##0;\-#,##0;\-"/>
      <border diagonalUp="0" diagonalDown="0" outline="0">
        <left/>
        <right style="thin">
          <color theme="0"/>
        </right>
        <top/>
        <bottom style="thin">
          <color indexed="64"/>
        </bottom>
      </border>
    </dxf>
    <dxf>
      <font>
        <b val="0"/>
        <i val="0"/>
        <strike val="0"/>
        <condense val="0"/>
        <extend val="0"/>
        <outline val="0"/>
        <shadow val="0"/>
        <u val="none"/>
        <vertAlign val="baseline"/>
        <sz val="11"/>
        <color theme="1"/>
        <name val="Calibri"/>
        <family val="2"/>
        <scheme val="minor"/>
      </font>
      <numFmt numFmtId="165" formatCode="#,##0;\-#,##0;\-"/>
      <fill>
        <patternFill patternType="none">
          <fgColor indexed="64"/>
          <bgColor auto="1"/>
        </patternFill>
      </fill>
    </dxf>
    <dxf>
      <numFmt numFmtId="165" formatCode="#,##0;\-#,##0;\-"/>
      <border diagonalUp="0" diagonalDown="0" outline="0">
        <left style="thin">
          <color indexed="64"/>
        </left>
        <right style="thin">
          <color theme="0"/>
        </right>
        <top/>
        <bottom style="thin">
          <color indexed="64"/>
        </bottom>
      </border>
    </dxf>
    <dxf>
      <font>
        <b val="0"/>
        <i val="0"/>
        <strike val="0"/>
        <condense val="0"/>
        <extend val="0"/>
        <outline val="0"/>
        <shadow val="0"/>
        <u val="none"/>
        <vertAlign val="baseline"/>
        <sz val="11"/>
        <color theme="1"/>
        <name val="Calibri"/>
        <family val="2"/>
        <scheme val="minor"/>
      </font>
      <numFmt numFmtId="165" formatCode="#,##0;\-#,##0;\-"/>
      <fill>
        <patternFill patternType="none">
          <fgColor indexed="64"/>
          <bgColor auto="1"/>
        </patternFill>
      </fill>
      <border diagonalUp="0" diagonalDown="0">
        <left style="thin">
          <color indexed="64"/>
        </left>
        <top/>
        <bottom/>
        <horizontal/>
      </border>
    </dxf>
    <dxf>
      <border diagonalUp="0" diagonalDown="0" outline="0">
        <left/>
        <right/>
        <top/>
        <bottom style="thin">
          <color theme="1" tint="0.34998626667073579"/>
        </bottom>
      </border>
    </dxf>
    <dxf>
      <font>
        <b val="0"/>
        <i val="0"/>
        <strike val="0"/>
        <condense val="0"/>
        <extend val="0"/>
        <outline val="0"/>
        <shadow val="0"/>
        <u val="none"/>
        <vertAlign val="baseline"/>
        <sz val="11"/>
        <color theme="1"/>
        <name val="Calibri"/>
        <family val="2"/>
        <scheme val="minor"/>
      </font>
      <numFmt numFmtId="165" formatCode="#,##0;\-#,##0;\-"/>
      <fill>
        <patternFill patternType="none">
          <fgColor indexed="64"/>
          <bgColor auto="1"/>
        </patternFill>
      </fill>
    </dxf>
    <dxf>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name val="Calibri"/>
        <family val="2"/>
        <scheme val="minor"/>
      </font>
      <numFmt numFmtId="165" formatCode="#,##0;\-#,##0;\-"/>
      <fill>
        <patternFill patternType="none">
          <fgColor indexed="64"/>
          <bgColor auto="1"/>
        </patternFill>
      </fill>
    </dxf>
    <dxf>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name val="Calibri"/>
        <family val="2"/>
        <scheme val="minor"/>
      </font>
      <numFmt numFmtId="165" formatCode="#,##0;\-#,##0;\-"/>
      <fill>
        <patternFill patternType="none">
          <fgColor indexed="64"/>
          <bgColor auto="1"/>
        </patternFill>
      </fill>
    </dxf>
    <dxf>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name val="Calibri"/>
        <family val="2"/>
        <scheme val="minor"/>
      </font>
      <numFmt numFmtId="165" formatCode="#,##0;\-#,##0;\-"/>
      <fill>
        <patternFill patternType="none">
          <fgColor indexed="64"/>
          <bgColor auto="1"/>
        </patternFill>
      </fill>
    </dxf>
    <dxf>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name val="Calibri"/>
        <family val="2"/>
        <scheme val="minor"/>
      </font>
      <numFmt numFmtId="165" formatCode="#,##0;\-#,##0;\-"/>
      <fill>
        <patternFill patternType="none">
          <fgColor indexed="64"/>
          <bgColor auto="1"/>
        </patternFill>
      </fill>
    </dxf>
    <dxf>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name val="Calibri"/>
        <family val="2"/>
        <scheme val="minor"/>
      </font>
      <numFmt numFmtId="165" formatCode="#,##0;\-#,##0;\-"/>
      <fill>
        <patternFill patternType="none">
          <fgColor indexed="64"/>
          <bgColor auto="1"/>
        </patternFill>
      </fill>
    </dxf>
    <dxf>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name val="Calibri"/>
        <family val="2"/>
        <scheme val="minor"/>
      </font>
      <numFmt numFmtId="165" formatCode="#,##0;\-#,##0;\-"/>
      <fill>
        <patternFill patternType="none">
          <fgColor indexed="64"/>
          <bgColor auto="1"/>
        </patternFill>
      </fill>
    </dxf>
    <dxf>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name val="Calibri"/>
        <family val="2"/>
        <scheme val="minor"/>
      </font>
      <numFmt numFmtId="165" formatCode="#,##0;\-#,##0;\-"/>
      <fill>
        <patternFill patternType="none">
          <fgColor indexed="64"/>
          <bgColor auto="1"/>
        </patternFill>
      </fill>
    </dxf>
    <dxf>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name val="Calibri"/>
        <family val="2"/>
        <scheme val="minor"/>
      </font>
      <numFmt numFmtId="165" formatCode="#,##0;\-#,##0;\-"/>
      <fill>
        <patternFill patternType="none">
          <fgColor indexed="64"/>
          <bgColor auto="1"/>
        </patternFill>
      </fill>
    </dxf>
    <dxf>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name val="Calibri"/>
        <family val="2"/>
        <scheme val="minor"/>
      </font>
      <numFmt numFmtId="165" formatCode="#,##0;\-#,##0;\-"/>
      <fill>
        <patternFill patternType="none">
          <fgColor indexed="64"/>
          <bgColor auto="1"/>
        </patternFill>
      </fill>
    </dxf>
    <dxf>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name val="Calibri"/>
        <family val="2"/>
        <scheme val="minor"/>
      </font>
      <numFmt numFmtId="165" formatCode="#,##0;\-#,##0;\-"/>
      <fill>
        <patternFill patternType="none">
          <fgColor indexed="64"/>
          <bgColor auto="1"/>
        </patternFill>
      </fill>
    </dxf>
    <dxf>
      <border diagonalUp="0" diagonalDown="0" outline="0">
        <left style="thin">
          <color theme="1" tint="0.499984740745262"/>
        </left>
        <right style="thin">
          <color theme="0"/>
        </right>
        <top/>
        <bottom style="thin">
          <color theme="1" tint="0.34998626667073579"/>
        </bottom>
      </border>
    </dxf>
    <dxf>
      <font>
        <b val="0"/>
        <i val="0"/>
        <strike val="0"/>
        <condense val="0"/>
        <extend val="0"/>
        <outline val="0"/>
        <shadow val="0"/>
        <u val="none"/>
        <vertAlign val="baseline"/>
        <sz val="11"/>
        <color theme="1"/>
        <name val="Calibri"/>
        <family val="2"/>
        <scheme val="minor"/>
      </font>
      <numFmt numFmtId="165" formatCode="#,##0;\-#,##0;\-"/>
      <fill>
        <patternFill patternType="none">
          <fgColor indexed="64"/>
          <bgColor auto="1"/>
        </patternFill>
      </fill>
    </dxf>
    <dxf>
      <numFmt numFmtId="165" formatCode="#,##0;\-#,##0;\-"/>
      <border diagonalUp="0" diagonalDown="0" outline="0">
        <left/>
        <right/>
        <top/>
        <bottom style="thin">
          <color theme="1" tint="0.34998626667073579"/>
        </bottom>
      </border>
    </dxf>
    <dxf>
      <font>
        <b val="0"/>
        <i val="0"/>
        <strike val="0"/>
        <condense val="0"/>
        <extend val="0"/>
        <outline val="0"/>
        <shadow val="0"/>
        <u val="none"/>
        <vertAlign val="baseline"/>
        <sz val="11"/>
        <color theme="1"/>
        <name val="Calibri"/>
        <family val="2"/>
        <scheme val="minor"/>
      </font>
      <numFmt numFmtId="165" formatCode="#,##0;\-#,##0;\-"/>
      <fill>
        <patternFill patternType="none">
          <fgColor indexed="64"/>
          <bgColor auto="1"/>
        </patternFill>
      </fill>
    </dxf>
    <dxf>
      <numFmt numFmtId="165" formatCode="#,##0;\-#,##0;\-"/>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name val="Calibri"/>
        <family val="2"/>
        <scheme val="minor"/>
      </font>
      <numFmt numFmtId="165" formatCode="#,##0;\-#,##0;\-"/>
      <fill>
        <patternFill patternType="none">
          <fgColor indexed="64"/>
          <bgColor auto="1"/>
        </patternFill>
      </fill>
    </dxf>
    <dxf>
      <numFmt numFmtId="165" formatCode="#,##0;\-#,##0;\-"/>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name val="Calibri"/>
        <family val="2"/>
        <scheme val="minor"/>
      </font>
      <numFmt numFmtId="165" formatCode="#,##0;\-#,##0;\-"/>
      <fill>
        <patternFill patternType="none">
          <fgColor indexed="64"/>
          <bgColor auto="1"/>
        </patternFill>
      </fill>
    </dxf>
    <dxf>
      <numFmt numFmtId="165" formatCode="#,##0;\-#,##0;\-"/>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name val="Calibri"/>
        <family val="2"/>
        <scheme val="minor"/>
      </font>
      <numFmt numFmtId="165" formatCode="#,##0;\-#,##0;\-"/>
      <fill>
        <patternFill patternType="none">
          <fgColor indexed="64"/>
          <bgColor auto="1"/>
        </patternFill>
      </fill>
    </dxf>
    <dxf>
      <numFmt numFmtId="165" formatCode="#,##0;\-#,##0;\-"/>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name val="Calibri"/>
        <family val="2"/>
        <scheme val="minor"/>
      </font>
      <numFmt numFmtId="165" formatCode="#,##0;\-#,##0;\-"/>
      <fill>
        <patternFill patternType="none">
          <fgColor indexed="64"/>
          <bgColor auto="1"/>
        </patternFill>
      </fill>
    </dxf>
    <dxf>
      <numFmt numFmtId="165" formatCode="#,##0;\-#,##0;\-"/>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name val="Calibri"/>
        <family val="2"/>
        <scheme val="minor"/>
      </font>
      <numFmt numFmtId="165" formatCode="#,##0;\-#,##0;\-"/>
      <fill>
        <patternFill patternType="none">
          <fgColor indexed="64"/>
          <bgColor auto="1"/>
        </patternFill>
      </fill>
    </dxf>
    <dxf>
      <numFmt numFmtId="165" formatCode="#,##0;\-#,##0;\-"/>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name val="Calibri"/>
        <family val="2"/>
        <scheme val="minor"/>
      </font>
      <numFmt numFmtId="165" formatCode="#,##0;\-#,##0;\-"/>
      <fill>
        <patternFill patternType="none">
          <fgColor indexed="64"/>
          <bgColor auto="1"/>
        </patternFill>
      </fill>
    </dxf>
    <dxf>
      <numFmt numFmtId="165" formatCode="#,##0;\-#,##0;\-"/>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name val="Calibri"/>
        <family val="2"/>
        <scheme val="minor"/>
      </font>
      <numFmt numFmtId="165" formatCode="#,##0;\-#,##0;\-"/>
      <fill>
        <patternFill patternType="none">
          <fgColor indexed="64"/>
          <bgColor auto="1"/>
        </patternFill>
      </fill>
    </dxf>
    <dxf>
      <numFmt numFmtId="165" formatCode="#,##0;\-#,##0;\-"/>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name val="Calibri"/>
        <family val="2"/>
        <scheme val="minor"/>
      </font>
      <numFmt numFmtId="165" formatCode="#,##0;\-#,##0;\-"/>
      <fill>
        <patternFill patternType="none">
          <fgColor indexed="64"/>
          <bgColor auto="1"/>
        </patternFill>
      </fill>
    </dxf>
    <dxf>
      <numFmt numFmtId="165" formatCode="#,##0;\-#,##0;\-"/>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name val="Calibri"/>
        <family val="2"/>
        <scheme val="minor"/>
      </font>
      <numFmt numFmtId="165" formatCode="#,##0;\-#,##0;\-"/>
      <fill>
        <patternFill patternType="none">
          <fgColor indexed="64"/>
          <bgColor auto="1"/>
        </patternFill>
      </fill>
    </dxf>
    <dxf>
      <numFmt numFmtId="165" formatCode="#,##0;\-#,##0;\-"/>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name val="Calibri"/>
        <family val="2"/>
        <scheme val="minor"/>
      </font>
      <numFmt numFmtId="165" formatCode="#,##0;\-#,##0;\-"/>
      <fill>
        <patternFill patternType="none">
          <fgColor indexed="64"/>
          <bgColor auto="1"/>
        </patternFill>
      </fill>
    </dxf>
    <dxf>
      <numFmt numFmtId="165" formatCode="#,##0;\-#,##0;\-"/>
      <border diagonalUp="0" diagonalDown="0" outline="0">
        <left style="thin">
          <color theme="1" tint="0.499984740745262"/>
        </left>
        <right style="thin">
          <color theme="0"/>
        </right>
        <top/>
        <bottom style="thin">
          <color theme="1" tint="0.34998626667073579"/>
        </bottom>
      </border>
    </dxf>
    <dxf>
      <font>
        <b val="0"/>
        <i val="0"/>
        <strike val="0"/>
        <condense val="0"/>
        <extend val="0"/>
        <outline val="0"/>
        <shadow val="0"/>
        <u val="none"/>
        <vertAlign val="baseline"/>
        <sz val="11"/>
        <color theme="1"/>
        <name val="Calibri"/>
        <family val="2"/>
        <scheme val="minor"/>
      </font>
      <numFmt numFmtId="165" formatCode="#,##0;\-#,##0;\-"/>
      <fill>
        <patternFill patternType="none">
          <fgColor indexed="64"/>
          <bgColor auto="1"/>
        </patternFill>
      </fill>
    </dxf>
    <dxf>
      <numFmt numFmtId="165" formatCode="#,##0;\-#,##0;\-"/>
      <border diagonalUp="0" diagonalDown="0" outline="0">
        <left/>
        <right/>
        <top/>
        <bottom style="thin">
          <color theme="1" tint="0.34998626667073579"/>
        </bottom>
      </border>
    </dxf>
    <dxf>
      <font>
        <b val="0"/>
        <i val="0"/>
        <strike val="0"/>
        <condense val="0"/>
        <extend val="0"/>
        <outline val="0"/>
        <shadow val="0"/>
        <u val="none"/>
        <vertAlign val="baseline"/>
        <sz val="11"/>
        <color theme="1"/>
        <name val="Calibri"/>
        <family val="2"/>
        <scheme val="minor"/>
      </font>
      <numFmt numFmtId="165" formatCode="#,##0;\-#,##0;\-"/>
      <fill>
        <patternFill patternType="none">
          <fgColor indexed="64"/>
          <bgColor auto="1"/>
        </patternFill>
      </fill>
      <border diagonalUp="0" diagonalDown="0" outline="0">
        <left/>
        <right style="thin">
          <color indexed="64"/>
        </right>
        <top/>
        <bottom/>
      </border>
    </dxf>
    <dxf>
      <numFmt numFmtId="165" formatCode="#,##0;\-#,##0;\-"/>
      <border diagonalUp="0" diagonalDown="0" outline="0">
        <left/>
        <right/>
        <top/>
        <bottom style="thin">
          <color theme="1" tint="0.34998626667073579"/>
        </bottom>
      </border>
    </dxf>
    <dxf>
      <font>
        <b val="0"/>
        <i val="0"/>
        <strike val="0"/>
        <condense val="0"/>
        <extend val="0"/>
        <outline val="0"/>
        <shadow val="0"/>
        <u val="none"/>
        <vertAlign val="baseline"/>
        <sz val="11"/>
        <color theme="1"/>
        <name val="Calibri"/>
        <family val="2"/>
        <scheme val="minor"/>
      </font>
      <numFmt numFmtId="165" formatCode="#,##0;\-#,##0;\-"/>
      <fill>
        <patternFill patternType="none">
          <fgColor indexed="64"/>
          <bgColor auto="1"/>
        </patternFill>
      </fill>
    </dxf>
    <dxf>
      <numFmt numFmtId="165" formatCode="#,##0;\-#,##0;\-"/>
      <border diagonalUp="0" diagonalDown="0" outline="0">
        <left style="thin">
          <color theme="1" tint="0.34998626667073579"/>
        </left>
        <right/>
        <top/>
        <bottom style="thin">
          <color theme="1" tint="0.34998626667073579"/>
        </bottom>
      </border>
    </dxf>
    <dxf>
      <font>
        <b val="0"/>
        <i val="0"/>
        <strike val="0"/>
        <outline val="0"/>
        <shadow val="0"/>
        <u val="none"/>
        <vertAlign val="baseline"/>
        <sz val="11"/>
        <color theme="1"/>
        <name val="Calibri"/>
        <family val="2"/>
        <scheme val="minor"/>
      </font>
      <numFmt numFmtId="165" formatCode="#,##0;\-#,##0;\-"/>
      <fill>
        <patternFill patternType="none">
          <fgColor indexed="64"/>
          <bgColor auto="1"/>
        </patternFill>
      </fill>
      <border diagonalUp="0" diagonalDown="0" outline="0">
        <left style="thin">
          <color indexed="64"/>
        </left>
        <right/>
        <top/>
        <bottom/>
      </border>
    </dxf>
    <dxf>
      <numFmt numFmtId="0" formatCode="Genera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rgb="FF000000"/>
          <bgColor auto="1"/>
        </patternFill>
      </fill>
    </dxf>
    <dxf>
      <font>
        <b val="0"/>
        <i val="0"/>
        <strike val="0"/>
        <condense val="0"/>
        <extend val="0"/>
        <outline val="0"/>
        <shadow val="0"/>
        <u val="none"/>
        <vertAlign val="baseline"/>
        <sz val="11"/>
        <color theme="0" tint="-0.249977111117893"/>
        <name val="Calibri"/>
        <family val="2"/>
        <scheme val="minor"/>
      </font>
      <fill>
        <patternFill patternType="none">
          <fgColor indexed="64"/>
          <bgColor indexed="65"/>
        </patternFill>
      </fill>
      <alignment horizontal="left" vertical="top" textRotation="0" wrapText="0" indent="0" justifyLastLine="0" shrinkToFit="0" readingOrder="0"/>
      <border diagonalUp="0" diagonalDown="0" outline="0">
        <left style="thin">
          <color auto="1"/>
        </left>
        <right style="thin">
          <color auto="1"/>
        </right>
        <top/>
        <bottom/>
      </border>
    </dxf>
    <dxf>
      <numFmt numFmtId="3" formatCode="#,##0"/>
      <border diagonalUp="0" diagonalDown="0" outline="0">
        <left style="thin">
          <color theme="1" tint="0.249977111117893"/>
        </left>
        <right/>
        <top/>
        <bottom style="medium">
          <color indexed="64"/>
        </bottom>
      </border>
    </dxf>
    <dxf>
      <numFmt numFmtId="3" formatCode="#,##0"/>
    </dxf>
    <dxf>
      <numFmt numFmtId="3" formatCode="#,##0"/>
      <border diagonalUp="0" diagonalDown="0" outline="0">
        <left style="thin">
          <color theme="1" tint="0.249977111117893"/>
        </left>
        <right/>
        <top/>
        <bottom style="medium">
          <color indexed="64"/>
        </bottom>
      </border>
    </dxf>
    <dxf>
      <numFmt numFmtId="3" formatCode="#,##0"/>
    </dxf>
    <dxf>
      <numFmt numFmtId="3" formatCode="#,##0"/>
      <border diagonalUp="0" diagonalDown="0" outline="0">
        <left style="thin">
          <color theme="1" tint="0.249977111117893"/>
        </left>
        <right/>
        <top/>
        <bottom style="medium">
          <color indexed="64"/>
        </bottom>
      </border>
    </dxf>
    <dxf>
      <numFmt numFmtId="3" formatCode="#,##0"/>
    </dxf>
    <dxf>
      <numFmt numFmtId="3" formatCode="#,##0"/>
      <border diagonalUp="0" diagonalDown="0" outline="0">
        <left style="thin">
          <color theme="1" tint="0.249977111117893"/>
        </left>
        <right/>
        <top/>
        <bottom style="medium">
          <color indexed="64"/>
        </bottom>
      </border>
    </dxf>
    <dxf>
      <numFmt numFmtId="3" formatCode="#,##0"/>
    </dxf>
    <dxf>
      <numFmt numFmtId="3" formatCode="#,##0"/>
      <border diagonalUp="0" diagonalDown="0" outline="0">
        <left style="thin">
          <color theme="1" tint="0.249977111117893"/>
        </left>
        <right/>
        <top/>
        <bottom style="medium">
          <color indexed="64"/>
        </bottom>
      </border>
    </dxf>
    <dxf>
      <numFmt numFmtId="3" formatCode="#,##0"/>
    </dxf>
    <dxf>
      <numFmt numFmtId="3" formatCode="#,##0"/>
      <border diagonalUp="0" diagonalDown="0" outline="0">
        <left style="thin">
          <color theme="1" tint="0.249977111117893"/>
        </left>
        <right/>
        <top/>
        <bottom style="medium">
          <color indexed="64"/>
        </bottom>
      </border>
    </dxf>
    <dxf>
      <numFmt numFmtId="3" formatCode="#,##0"/>
    </dxf>
    <dxf>
      <numFmt numFmtId="3" formatCode="#,##0"/>
      <border diagonalUp="0" diagonalDown="0" outline="0">
        <left style="thin">
          <color theme="1" tint="0.249977111117893"/>
        </left>
        <right/>
        <top/>
        <bottom style="medium">
          <color indexed="64"/>
        </bottom>
      </border>
    </dxf>
    <dxf>
      <numFmt numFmtId="3" formatCode="#,##0"/>
    </dxf>
    <dxf>
      <numFmt numFmtId="3" formatCode="#,##0"/>
      <border diagonalUp="0" diagonalDown="0" outline="0">
        <left style="thin">
          <color theme="1" tint="0.249977111117893"/>
        </left>
        <right/>
        <top/>
        <bottom style="medium">
          <color indexed="64"/>
        </bottom>
      </border>
    </dxf>
    <dxf>
      <numFmt numFmtId="3" formatCode="#,##0"/>
    </dxf>
    <dxf>
      <numFmt numFmtId="3" formatCode="#,##0"/>
      <border diagonalUp="0" diagonalDown="0" outline="0">
        <left style="thin">
          <color theme="1" tint="0.249977111117893"/>
        </left>
        <right/>
        <top/>
        <bottom style="medium">
          <color indexed="64"/>
        </bottom>
      </border>
    </dxf>
    <dxf>
      <numFmt numFmtId="3" formatCode="#,##0"/>
    </dxf>
    <dxf>
      <numFmt numFmtId="3" formatCode="#,##0"/>
      <border diagonalUp="0" diagonalDown="0" outline="0">
        <left style="thin">
          <color theme="1" tint="0.249977111117893"/>
        </left>
        <right/>
        <top/>
        <bottom style="medium">
          <color indexed="64"/>
        </bottom>
      </border>
    </dxf>
    <dxf>
      <numFmt numFmtId="3" formatCode="#,##0"/>
    </dxf>
    <dxf>
      <numFmt numFmtId="3" formatCode="#,##0"/>
      <border diagonalUp="0" diagonalDown="0" outline="0">
        <left style="thin">
          <color theme="1" tint="0.249977111117893"/>
        </left>
        <right/>
        <top/>
        <bottom style="medium">
          <color indexed="64"/>
        </bottom>
      </border>
    </dxf>
    <dxf>
      <numFmt numFmtId="3" formatCode="#,##0"/>
    </dxf>
    <dxf>
      <numFmt numFmtId="3" formatCode="#,##0"/>
      <border diagonalUp="0" diagonalDown="0" outline="0">
        <left style="thin">
          <color theme="1" tint="0.249977111117893"/>
        </left>
        <right/>
        <top/>
        <bottom style="medium">
          <color indexed="64"/>
        </bottom>
      </border>
    </dxf>
    <dxf>
      <numFmt numFmtId="3" formatCode="#,##0"/>
    </dxf>
    <dxf>
      <numFmt numFmtId="3" formatCode="#,##0"/>
      <border diagonalUp="0" diagonalDown="0" outline="0">
        <left style="medium">
          <color indexed="64"/>
        </left>
        <right/>
        <top/>
        <bottom style="medium">
          <color indexed="64"/>
        </bottom>
      </border>
    </dxf>
    <dxf>
      <numFmt numFmtId="3" formatCode="#,##0"/>
      <border diagonalUp="0" diagonalDown="0">
        <left style="medium">
          <color indexed="64"/>
        </left>
      </border>
    </dxf>
    <dxf>
      <numFmt numFmtId="3" formatCode="#,##0"/>
      <border diagonalUp="0" diagonalDown="0" outline="0">
        <left style="thin">
          <color theme="1" tint="0.249977111117893"/>
        </left>
        <right style="medium">
          <color indexed="64"/>
        </right>
        <top/>
        <bottom style="medium">
          <color indexed="64"/>
        </bottom>
      </border>
    </dxf>
    <dxf>
      <numFmt numFmtId="3" formatCode="#,##0"/>
    </dxf>
    <dxf>
      <numFmt numFmtId="3" formatCode="#,##0"/>
      <border diagonalUp="0" diagonalDown="0" outline="0">
        <left style="thin">
          <color theme="1" tint="0.249977111117893"/>
        </left>
        <right/>
        <top/>
        <bottom style="medium">
          <color indexed="64"/>
        </bottom>
      </border>
    </dxf>
    <dxf>
      <numFmt numFmtId="3" formatCode="#,##0"/>
    </dxf>
    <dxf>
      <numFmt numFmtId="3" formatCode="#,##0"/>
      <border diagonalUp="0" diagonalDown="0" outline="0">
        <left style="thin">
          <color theme="1" tint="0.249977111117893"/>
        </left>
        <right/>
        <top/>
        <bottom style="medium">
          <color indexed="64"/>
        </bottom>
      </border>
    </dxf>
    <dxf>
      <numFmt numFmtId="3" formatCode="#,##0"/>
    </dxf>
    <dxf>
      <numFmt numFmtId="3" formatCode="#,##0"/>
      <border diagonalUp="0" diagonalDown="0" outline="0">
        <left style="thin">
          <color theme="1" tint="0.249977111117893"/>
        </left>
        <right/>
        <top/>
        <bottom style="medium">
          <color indexed="64"/>
        </bottom>
      </border>
    </dxf>
    <dxf>
      <numFmt numFmtId="3" formatCode="#,##0"/>
    </dxf>
    <dxf>
      <numFmt numFmtId="3" formatCode="#,##0"/>
      <border diagonalUp="0" diagonalDown="0" outline="0">
        <left style="thin">
          <color theme="1" tint="0.249977111117893"/>
        </left>
        <right/>
        <top/>
        <bottom style="medium">
          <color indexed="64"/>
        </bottom>
      </border>
    </dxf>
    <dxf>
      <numFmt numFmtId="3" formatCode="#,##0"/>
    </dxf>
    <dxf>
      <numFmt numFmtId="3" formatCode="#,##0"/>
      <border diagonalUp="0" diagonalDown="0" outline="0">
        <left style="thin">
          <color theme="1" tint="0.249977111117893"/>
        </left>
        <right/>
        <top/>
        <bottom style="medium">
          <color indexed="64"/>
        </bottom>
      </border>
    </dxf>
    <dxf>
      <numFmt numFmtId="3" formatCode="#,##0"/>
    </dxf>
    <dxf>
      <numFmt numFmtId="3" formatCode="#,##0"/>
      <border diagonalUp="0" diagonalDown="0" outline="0">
        <left style="thin">
          <color theme="1" tint="0.249977111117893"/>
        </left>
        <right/>
        <top/>
        <bottom style="medium">
          <color indexed="64"/>
        </bottom>
      </border>
    </dxf>
    <dxf>
      <numFmt numFmtId="3" formatCode="#,##0"/>
    </dxf>
    <dxf>
      <numFmt numFmtId="3" formatCode="#,##0"/>
      <border diagonalUp="0" diagonalDown="0" outline="0">
        <left style="thin">
          <color theme="1" tint="0.249977111117893"/>
        </left>
        <right/>
        <top/>
        <bottom style="medium">
          <color indexed="64"/>
        </bottom>
      </border>
    </dxf>
    <dxf>
      <numFmt numFmtId="3" formatCode="#,##0"/>
    </dxf>
    <dxf>
      <numFmt numFmtId="3" formatCode="#,##0"/>
      <border diagonalUp="0" diagonalDown="0" outline="0">
        <left style="thin">
          <color theme="1" tint="0.249977111117893"/>
        </left>
        <right/>
        <top/>
        <bottom style="medium">
          <color indexed="64"/>
        </bottom>
      </border>
    </dxf>
    <dxf>
      <numFmt numFmtId="3" formatCode="#,##0"/>
    </dxf>
    <dxf>
      <numFmt numFmtId="3" formatCode="#,##0"/>
      <border diagonalUp="0" diagonalDown="0" outline="0">
        <left style="thin">
          <color theme="1" tint="0.249977111117893"/>
        </left>
        <right/>
        <top/>
        <bottom style="medium">
          <color indexed="64"/>
        </bottom>
      </border>
    </dxf>
    <dxf>
      <numFmt numFmtId="3" formatCode="#,##0"/>
    </dxf>
    <dxf>
      <numFmt numFmtId="3" formatCode="#,##0"/>
      <border diagonalUp="0" diagonalDown="0" outline="0">
        <left style="thin">
          <color theme="1" tint="0.249977111117893"/>
        </left>
        <right/>
        <top/>
        <bottom style="medium">
          <color indexed="64"/>
        </bottom>
      </border>
    </dxf>
    <dxf>
      <numFmt numFmtId="3" formatCode="#,##0"/>
    </dxf>
    <dxf>
      <numFmt numFmtId="3" formatCode="#,##0"/>
      <border diagonalUp="0" diagonalDown="0" outline="0">
        <left style="thin">
          <color theme="1" tint="0.249977111117893"/>
        </left>
        <right/>
        <top/>
        <bottom style="medium">
          <color indexed="64"/>
        </bottom>
      </border>
    </dxf>
    <dxf>
      <numFmt numFmtId="3" formatCode="#,##0"/>
    </dxf>
    <dxf>
      <numFmt numFmtId="3" formatCode="#,##0"/>
      <border diagonalUp="0" diagonalDown="0" outline="0">
        <left style="medium">
          <color indexed="64"/>
        </left>
        <right/>
        <top/>
        <bottom style="medium">
          <color indexed="64"/>
        </bottom>
      </border>
    </dxf>
    <dxf>
      <numFmt numFmtId="3" formatCode="#,##0"/>
      <border diagonalUp="0" diagonalDown="0">
        <left style="medium">
          <color indexed="64"/>
        </left>
      </border>
    </dxf>
    <dxf>
      <numFmt numFmtId="3" formatCode="#,##0"/>
      <border diagonalUp="0" diagonalDown="0" outline="0">
        <left style="thin">
          <color theme="1" tint="0.249977111117893"/>
        </left>
        <right style="medium">
          <color theme="1" tint="0.34998626667073579"/>
        </right>
        <top/>
        <bottom style="thin">
          <color indexed="64"/>
        </bottom>
      </border>
    </dxf>
    <dxf>
      <numFmt numFmtId="3" formatCode="#,##0"/>
    </dxf>
    <dxf>
      <numFmt numFmtId="3" formatCode="#,##0"/>
      <border diagonalUp="0" diagonalDown="0" outline="0">
        <left style="thin">
          <color theme="1" tint="0.249977111117893"/>
        </left>
        <right/>
        <top/>
        <bottom style="thin">
          <color indexed="64"/>
        </bottom>
      </border>
    </dxf>
    <dxf>
      <numFmt numFmtId="3" formatCode="#,##0"/>
    </dxf>
    <dxf>
      <numFmt numFmtId="3" formatCode="#,##0"/>
      <border diagonalUp="0" diagonalDown="0" outline="0">
        <left style="thin">
          <color theme="1" tint="0.249977111117893"/>
        </left>
        <right/>
        <top/>
        <bottom style="thin">
          <color indexed="64"/>
        </bottom>
      </border>
    </dxf>
    <dxf>
      <numFmt numFmtId="3" formatCode="#,##0"/>
    </dxf>
    <dxf>
      <numFmt numFmtId="3" formatCode="#,##0"/>
      <border diagonalUp="0" diagonalDown="0" outline="0">
        <left style="thin">
          <color theme="1" tint="0.249977111117893"/>
        </left>
        <right/>
        <top/>
        <bottom style="thin">
          <color indexed="64"/>
        </bottom>
      </border>
    </dxf>
    <dxf>
      <numFmt numFmtId="3" formatCode="#,##0"/>
    </dxf>
    <dxf>
      <numFmt numFmtId="3" formatCode="#,##0"/>
      <border diagonalUp="0" diagonalDown="0" outline="0">
        <left style="thin">
          <color theme="1" tint="0.249977111117893"/>
        </left>
        <right/>
        <top/>
        <bottom style="thin">
          <color indexed="64"/>
        </bottom>
      </border>
    </dxf>
    <dxf>
      <numFmt numFmtId="3" formatCode="#,##0"/>
    </dxf>
    <dxf>
      <numFmt numFmtId="3" formatCode="#,##0"/>
      <border diagonalUp="0" diagonalDown="0" outline="0">
        <left style="thin">
          <color theme="1" tint="0.249977111117893"/>
        </left>
        <right/>
        <top/>
        <bottom style="thin">
          <color indexed="64"/>
        </bottom>
      </border>
    </dxf>
    <dxf>
      <numFmt numFmtId="3" formatCode="#,##0"/>
    </dxf>
    <dxf>
      <numFmt numFmtId="3" formatCode="#,##0"/>
      <border diagonalUp="0" diagonalDown="0" outline="0">
        <left style="thin">
          <color theme="1" tint="0.249977111117893"/>
        </left>
        <right/>
        <top/>
        <bottom style="thin">
          <color indexed="64"/>
        </bottom>
      </border>
    </dxf>
    <dxf>
      <numFmt numFmtId="3" formatCode="#,##0"/>
    </dxf>
    <dxf>
      <numFmt numFmtId="3" formatCode="#,##0"/>
      <border diagonalUp="0" diagonalDown="0" outline="0">
        <left style="thin">
          <color theme="1" tint="0.249977111117893"/>
        </left>
        <right/>
        <top/>
        <bottom style="thin">
          <color indexed="64"/>
        </bottom>
      </border>
    </dxf>
    <dxf>
      <numFmt numFmtId="3" formatCode="#,##0"/>
    </dxf>
    <dxf>
      <numFmt numFmtId="3" formatCode="#,##0"/>
      <border diagonalUp="0" diagonalDown="0" outline="0">
        <left style="thin">
          <color theme="1" tint="0.249977111117893"/>
        </left>
        <right/>
        <top/>
        <bottom style="thin">
          <color indexed="64"/>
        </bottom>
      </border>
    </dxf>
    <dxf>
      <numFmt numFmtId="3" formatCode="#,##0"/>
    </dxf>
    <dxf>
      <numFmt numFmtId="3" formatCode="#,##0"/>
      <border diagonalUp="0" diagonalDown="0" outline="0">
        <left style="thin">
          <color theme="1" tint="0.249977111117893"/>
        </left>
        <right/>
        <top/>
        <bottom style="thin">
          <color indexed="64"/>
        </bottom>
      </border>
    </dxf>
    <dxf>
      <numFmt numFmtId="3" formatCode="#,##0"/>
    </dxf>
    <dxf>
      <numFmt numFmtId="3" formatCode="#,##0"/>
      <border diagonalUp="0" diagonalDown="0" outline="0">
        <left style="thin">
          <color theme="1" tint="0.249977111117893"/>
        </left>
        <right/>
        <top/>
        <bottom style="thin">
          <color indexed="64"/>
        </bottom>
      </border>
    </dxf>
    <dxf>
      <numFmt numFmtId="3" formatCode="#,##0"/>
    </dxf>
    <dxf>
      <numFmt numFmtId="3" formatCode="#,##0"/>
      <border diagonalUp="0" diagonalDown="0" outline="0">
        <left style="thin">
          <color indexed="64"/>
        </left>
        <right/>
        <top/>
        <bottom style="thin">
          <color indexed="64"/>
        </bottom>
      </border>
    </dxf>
    <dxf>
      <numFmt numFmtId="3" formatCode="#,##0"/>
      <border diagonalUp="0" diagonalDown="0">
        <left style="thin">
          <color indexed="64"/>
        </left>
      </border>
    </dxf>
    <dxf>
      <border diagonalUp="0" diagonalDown="0" outline="0">
        <left style="thin">
          <color theme="1" tint="0.249977111117893"/>
        </left>
        <right style="thin">
          <color indexed="64"/>
        </right>
        <top/>
        <bottom style="thin">
          <color indexed="64"/>
        </bottom>
      </border>
    </dxf>
    <dxf>
      <numFmt numFmtId="3" formatCode="#,##0"/>
    </dxf>
    <dxf>
      <numFmt numFmtId="3" formatCode="#,##0"/>
      <border diagonalUp="0" diagonalDown="0" outline="0">
        <left style="thin">
          <color indexed="64"/>
        </left>
        <right/>
        <top/>
        <bottom style="thin">
          <color indexed="64"/>
        </bottom>
      </border>
    </dxf>
    <dxf>
      <font>
        <b val="0"/>
        <i val="0"/>
      </font>
      <numFmt numFmtId="165" formatCode="#,##0;\-#,##0;\-"/>
      <fill>
        <patternFill patternType="none">
          <fgColor indexed="64"/>
          <bgColor auto="1"/>
        </patternFill>
      </fill>
      <border diagonalUp="0" diagonalDown="0">
        <left style="thin">
          <color indexed="64"/>
        </left>
        <right/>
        <top/>
        <bottom/>
      </border>
    </dxf>
    <dxf>
      <font>
        <b val="0"/>
        <i val="0"/>
        <strike val="0"/>
        <condense val="0"/>
        <extend val="0"/>
        <outline val="0"/>
        <shadow val="0"/>
        <u val="none"/>
        <vertAlign val="baseline"/>
        <sz val="11"/>
        <color theme="0" tint="-0.249977111117893"/>
        <name val="Calibri"/>
        <family val="2"/>
        <scheme val="minor"/>
      </font>
      <alignment horizontal="left" vertical="top" textRotation="0" wrapText="0" indent="0" justifyLastLine="0" shrinkToFit="0" readingOrder="0"/>
    </dxf>
    <dxf>
      <numFmt numFmtId="3" formatCode="#,##0"/>
      <border diagonalUp="0" diagonalDown="0" outline="0">
        <left/>
        <right style="thin">
          <color indexed="64"/>
        </right>
        <top/>
        <bottom style="thin">
          <color indexed="64"/>
        </bottom>
      </border>
    </dxf>
    <dxf>
      <numFmt numFmtId="3" formatCode="#,##0"/>
      <fill>
        <patternFill patternType="none">
          <fgColor rgb="FF000000"/>
          <bgColor auto="1"/>
        </patternFill>
      </fill>
    </dxf>
    <dxf>
      <numFmt numFmtId="3" formatCode="#,##0"/>
      <border diagonalUp="0" diagonalDown="0" outline="0">
        <left/>
        <right style="thin">
          <color theme="0"/>
        </right>
        <top/>
        <bottom style="thin">
          <color indexed="64"/>
        </bottom>
      </border>
    </dxf>
    <dxf>
      <numFmt numFmtId="3" formatCode="#,##0"/>
      <fill>
        <patternFill patternType="none">
          <fgColor rgb="FF000000"/>
          <bgColor auto="1"/>
        </patternFill>
      </fill>
    </dxf>
    <dxf>
      <numFmt numFmtId="3" formatCode="#,##0"/>
      <border diagonalUp="0" diagonalDown="0" outline="0">
        <left/>
        <right style="thin">
          <color theme="0"/>
        </right>
        <top/>
        <bottom style="thin">
          <color indexed="64"/>
        </bottom>
      </border>
    </dxf>
    <dxf>
      <numFmt numFmtId="3" formatCode="#,##0"/>
      <fill>
        <patternFill patternType="none">
          <fgColor rgb="FF000000"/>
          <bgColor auto="1"/>
        </patternFill>
      </fill>
    </dxf>
    <dxf>
      <numFmt numFmtId="3" formatCode="#,##0"/>
      <border diagonalUp="0" diagonalDown="0" outline="0">
        <left/>
        <right style="thin">
          <color theme="0"/>
        </right>
        <top/>
        <bottom style="thin">
          <color indexed="64"/>
        </bottom>
      </border>
    </dxf>
    <dxf>
      <numFmt numFmtId="3" formatCode="#,##0"/>
      <fill>
        <patternFill patternType="none">
          <fgColor rgb="FF000000"/>
          <bgColor auto="1"/>
        </patternFill>
      </fill>
    </dxf>
    <dxf>
      <numFmt numFmtId="3" formatCode="#,##0"/>
      <border diagonalUp="0" diagonalDown="0" outline="0">
        <left/>
        <right style="thin">
          <color theme="0"/>
        </right>
        <top/>
        <bottom style="thin">
          <color indexed="64"/>
        </bottom>
      </border>
    </dxf>
    <dxf>
      <numFmt numFmtId="3" formatCode="#,##0"/>
      <fill>
        <patternFill patternType="none">
          <fgColor rgb="FF000000"/>
          <bgColor auto="1"/>
        </patternFill>
      </fill>
    </dxf>
    <dxf>
      <numFmt numFmtId="3" formatCode="#,##0"/>
      <border diagonalUp="0" diagonalDown="0" outline="0">
        <left/>
        <right style="thin">
          <color theme="0"/>
        </right>
        <top/>
        <bottom style="thin">
          <color indexed="64"/>
        </bottom>
      </border>
    </dxf>
    <dxf>
      <numFmt numFmtId="3" formatCode="#,##0"/>
      <fill>
        <patternFill patternType="none">
          <fgColor rgb="FF000000"/>
          <bgColor auto="1"/>
        </patternFill>
      </fill>
    </dxf>
    <dxf>
      <numFmt numFmtId="3" formatCode="#,##0"/>
      <border diagonalUp="0" diagonalDown="0" outline="0">
        <left/>
        <right style="thin">
          <color theme="0"/>
        </right>
        <top/>
        <bottom style="thin">
          <color indexed="64"/>
        </bottom>
      </border>
    </dxf>
    <dxf>
      <numFmt numFmtId="3" formatCode="#,##0"/>
      <fill>
        <patternFill patternType="none">
          <fgColor rgb="FF000000"/>
          <bgColor auto="1"/>
        </patternFill>
      </fill>
    </dxf>
    <dxf>
      <numFmt numFmtId="3" formatCode="#,##0"/>
      <border diagonalUp="0" diagonalDown="0" outline="0">
        <left/>
        <right style="thin">
          <color theme="0"/>
        </right>
        <top/>
        <bottom style="thin">
          <color indexed="64"/>
        </bottom>
      </border>
    </dxf>
    <dxf>
      <numFmt numFmtId="3" formatCode="#,##0"/>
      <fill>
        <patternFill patternType="none">
          <fgColor rgb="FF000000"/>
          <bgColor auto="1"/>
        </patternFill>
      </fill>
    </dxf>
    <dxf>
      <numFmt numFmtId="3" formatCode="#,##0"/>
      <border diagonalUp="0" diagonalDown="0" outline="0">
        <left/>
        <right style="thin">
          <color theme="0"/>
        </right>
        <top/>
        <bottom style="thin">
          <color indexed="64"/>
        </bottom>
      </border>
    </dxf>
    <dxf>
      <numFmt numFmtId="3" formatCode="#,##0"/>
      <fill>
        <patternFill patternType="none">
          <fgColor rgb="FF000000"/>
          <bgColor auto="1"/>
        </patternFill>
      </fill>
    </dxf>
    <dxf>
      <numFmt numFmtId="3" formatCode="#,##0"/>
      <border diagonalUp="0" diagonalDown="0" outline="0">
        <left/>
        <right style="thin">
          <color theme="0"/>
        </right>
        <top/>
        <bottom style="thin">
          <color indexed="64"/>
        </bottom>
      </border>
    </dxf>
    <dxf>
      <numFmt numFmtId="3" formatCode="#,##0"/>
      <fill>
        <patternFill patternType="none">
          <fgColor rgb="FF000000"/>
          <bgColor auto="1"/>
        </patternFill>
      </fill>
    </dxf>
    <dxf>
      <numFmt numFmtId="3" formatCode="#,##0"/>
      <border diagonalUp="0" diagonalDown="0" outline="0">
        <left/>
        <right style="thin">
          <color theme="0"/>
        </right>
        <top/>
        <bottom style="thin">
          <color indexed="64"/>
        </bottom>
      </border>
    </dxf>
    <dxf>
      <numFmt numFmtId="3" formatCode="#,##0"/>
      <fill>
        <patternFill patternType="none">
          <fgColor rgb="FF000000"/>
          <bgColor auto="1"/>
        </patternFill>
      </fill>
    </dxf>
    <dxf>
      <numFmt numFmtId="3" formatCode="#,##0"/>
      <border diagonalUp="0" diagonalDown="0" outline="0">
        <left/>
        <right style="thin">
          <color theme="0"/>
        </right>
        <top/>
        <bottom style="thin">
          <color indexed="64"/>
        </bottom>
      </border>
    </dxf>
    <dxf>
      <numFmt numFmtId="3" formatCode="#,##0"/>
      <fill>
        <patternFill patternType="none">
          <fgColor rgb="FF000000"/>
          <bgColor auto="1"/>
        </patternFill>
      </fill>
    </dxf>
    <dxf>
      <numFmt numFmtId="3" formatCode="#,##0"/>
      <border diagonalUp="0" diagonalDown="0" outline="0">
        <left style="thin">
          <color indexed="64"/>
        </left>
        <right style="thin">
          <color theme="0"/>
        </right>
        <top/>
        <bottom style="thin">
          <color indexed="64"/>
        </bottom>
      </border>
    </dxf>
    <dxf>
      <numFmt numFmtId="3" formatCode="#,##0"/>
      <fill>
        <patternFill patternType="none">
          <fgColor rgb="FF000000"/>
          <bgColor auto="1"/>
        </patternFill>
      </fill>
      <border diagonalUp="0" diagonalDown="0">
        <left style="thin">
          <color indexed="64"/>
        </left>
        <top/>
        <bottom/>
        <horizontal/>
      </border>
    </dxf>
    <dxf>
      <numFmt numFmtId="3" formatCode="#,##0"/>
      <border diagonalUp="0" diagonalDown="0" outline="0">
        <left/>
        <right style="thin">
          <color indexed="64"/>
        </right>
        <top/>
        <bottom style="thin">
          <color indexed="64"/>
        </bottom>
      </border>
    </dxf>
    <dxf>
      <numFmt numFmtId="3" formatCode="#,##0"/>
      <fill>
        <patternFill patternType="none">
          <fgColor rgb="FF000000"/>
          <bgColor auto="1"/>
        </patternFill>
      </fill>
    </dxf>
    <dxf>
      <numFmt numFmtId="3" formatCode="#,##0"/>
      <border diagonalUp="0" diagonalDown="0" outline="0">
        <left/>
        <right style="thin">
          <color theme="0"/>
        </right>
        <top/>
        <bottom style="thin">
          <color indexed="64"/>
        </bottom>
      </border>
    </dxf>
    <dxf>
      <numFmt numFmtId="3" formatCode="#,##0"/>
    </dxf>
    <dxf>
      <numFmt numFmtId="3" formatCode="#,##0"/>
      <border diagonalUp="0" diagonalDown="0" outline="0">
        <left/>
        <right style="thin">
          <color theme="0"/>
        </right>
        <top/>
        <bottom style="thin">
          <color indexed="64"/>
        </bottom>
      </border>
    </dxf>
    <dxf>
      <numFmt numFmtId="3" formatCode="#,##0"/>
    </dxf>
    <dxf>
      <numFmt numFmtId="3" formatCode="#,##0"/>
      <border diagonalUp="0" diagonalDown="0" outline="0">
        <left/>
        <right style="thin">
          <color theme="0"/>
        </right>
        <top/>
        <bottom style="thin">
          <color indexed="64"/>
        </bottom>
      </border>
    </dxf>
    <dxf>
      <numFmt numFmtId="3" formatCode="#,##0"/>
    </dxf>
    <dxf>
      <numFmt numFmtId="3" formatCode="#,##0"/>
      <border diagonalUp="0" diagonalDown="0" outline="0">
        <left/>
        <right style="thin">
          <color theme="0"/>
        </right>
        <top/>
        <bottom style="thin">
          <color indexed="64"/>
        </bottom>
      </border>
    </dxf>
    <dxf>
      <numFmt numFmtId="3" formatCode="#,##0"/>
      <fill>
        <patternFill patternType="none">
          <fgColor rgb="FF000000"/>
          <bgColor auto="1"/>
        </patternFill>
      </fill>
    </dxf>
    <dxf>
      <numFmt numFmtId="3" formatCode="#,##0"/>
      <border diagonalUp="0" diagonalDown="0" outline="0">
        <left/>
        <right style="thin">
          <color theme="0"/>
        </right>
        <top/>
        <bottom style="thin">
          <color indexed="64"/>
        </bottom>
      </border>
    </dxf>
    <dxf>
      <numFmt numFmtId="3" formatCode="#,##0"/>
      <fill>
        <patternFill patternType="none">
          <fgColor rgb="FF000000"/>
          <bgColor auto="1"/>
        </patternFill>
      </fill>
    </dxf>
    <dxf>
      <numFmt numFmtId="3" formatCode="#,##0"/>
      <border diagonalUp="0" diagonalDown="0" outline="0">
        <left/>
        <right style="thin">
          <color theme="0"/>
        </right>
        <top/>
        <bottom style="thin">
          <color indexed="64"/>
        </bottom>
      </border>
    </dxf>
    <dxf>
      <numFmt numFmtId="3" formatCode="#,##0"/>
      <fill>
        <patternFill patternType="none">
          <fgColor rgb="FF000000"/>
          <bgColor auto="1"/>
        </patternFill>
      </fill>
    </dxf>
    <dxf>
      <numFmt numFmtId="3" formatCode="#,##0"/>
      <border diagonalUp="0" diagonalDown="0" outline="0">
        <left/>
        <right style="thin">
          <color theme="0"/>
        </right>
        <top/>
        <bottom style="thin">
          <color indexed="64"/>
        </bottom>
      </border>
    </dxf>
    <dxf>
      <numFmt numFmtId="3" formatCode="#,##0"/>
      <fill>
        <patternFill patternType="none">
          <fgColor rgb="FF000000"/>
          <bgColor auto="1"/>
        </patternFill>
      </fill>
    </dxf>
    <dxf>
      <numFmt numFmtId="3" formatCode="#,##0"/>
      <border diagonalUp="0" diagonalDown="0" outline="0">
        <left/>
        <right style="thin">
          <color theme="0"/>
        </right>
        <top/>
        <bottom style="thin">
          <color indexed="64"/>
        </bottom>
      </border>
    </dxf>
    <dxf>
      <numFmt numFmtId="3" formatCode="#,##0"/>
      <fill>
        <patternFill patternType="none">
          <fgColor rgb="FF000000"/>
          <bgColor auto="1"/>
        </patternFill>
      </fill>
    </dxf>
    <dxf>
      <numFmt numFmtId="3" formatCode="#,##0"/>
      <border diagonalUp="0" diagonalDown="0" outline="0">
        <left/>
        <right style="thin">
          <color theme="0"/>
        </right>
        <top/>
        <bottom style="thin">
          <color indexed="64"/>
        </bottom>
      </border>
    </dxf>
    <dxf>
      <numFmt numFmtId="3" formatCode="#,##0"/>
      <fill>
        <patternFill patternType="none">
          <fgColor rgb="FF000000"/>
          <bgColor auto="1"/>
        </patternFill>
      </fill>
    </dxf>
    <dxf>
      <numFmt numFmtId="3" formatCode="#,##0"/>
      <border diagonalUp="0" diagonalDown="0" outline="0">
        <left/>
        <right style="thin">
          <color theme="0"/>
        </right>
        <top/>
        <bottom style="thin">
          <color indexed="64"/>
        </bottom>
      </border>
    </dxf>
    <dxf>
      <numFmt numFmtId="3" formatCode="#,##0"/>
      <fill>
        <patternFill patternType="none">
          <fgColor rgb="FF000000"/>
          <bgColor auto="1"/>
        </patternFill>
      </fill>
    </dxf>
    <dxf>
      <numFmt numFmtId="3" formatCode="#,##0"/>
      <border diagonalUp="0" diagonalDown="0" outline="0">
        <left/>
        <right style="thin">
          <color theme="0"/>
        </right>
        <top/>
        <bottom style="thin">
          <color indexed="64"/>
        </bottom>
      </border>
    </dxf>
    <dxf>
      <numFmt numFmtId="3" formatCode="#,##0"/>
      <fill>
        <patternFill patternType="none">
          <fgColor rgb="FF000000"/>
          <bgColor auto="1"/>
        </patternFill>
      </fill>
    </dxf>
    <dxf>
      <numFmt numFmtId="3" formatCode="#,##0"/>
      <border diagonalUp="0" diagonalDown="0" outline="0">
        <left style="thin">
          <color indexed="64"/>
        </left>
        <right style="thin">
          <color theme="0"/>
        </right>
        <top/>
        <bottom style="thin">
          <color indexed="64"/>
        </bottom>
      </border>
    </dxf>
    <dxf>
      <numFmt numFmtId="3" formatCode="#,##0"/>
      <fill>
        <patternFill patternType="none">
          <fgColor rgb="FF000000"/>
          <bgColor auto="1"/>
        </patternFill>
      </fill>
      <border diagonalUp="0" diagonalDown="0">
        <left style="thin">
          <color indexed="64"/>
        </left>
        <top/>
        <bottom/>
        <horizontal/>
      </border>
    </dxf>
    <dxf>
      <numFmt numFmtId="3" formatCode="#,##0"/>
      <border diagonalUp="0" diagonalDown="0" outline="0">
        <left/>
        <right style="thin">
          <color indexed="64"/>
        </right>
        <top/>
        <bottom style="thin">
          <color indexed="64"/>
        </bottom>
      </border>
    </dxf>
    <dxf>
      <numFmt numFmtId="3" formatCode="#,##0"/>
      <fill>
        <patternFill patternType="none">
          <fgColor rgb="FF000000"/>
          <bgColor auto="1"/>
        </patternFill>
      </fill>
    </dxf>
    <dxf>
      <numFmt numFmtId="3" formatCode="#,##0"/>
      <border diagonalUp="0" diagonalDown="0" outline="0">
        <left/>
        <right style="thin">
          <color theme="0"/>
        </right>
        <top/>
        <bottom style="thin">
          <color indexed="64"/>
        </bottom>
      </border>
    </dxf>
    <dxf>
      <numFmt numFmtId="3" formatCode="#,##0"/>
    </dxf>
    <dxf>
      <numFmt numFmtId="3" formatCode="#,##0"/>
      <border diagonalUp="0" diagonalDown="0" outline="0">
        <left/>
        <right style="thin">
          <color theme="0"/>
        </right>
        <top/>
        <bottom style="thin">
          <color indexed="64"/>
        </bottom>
      </border>
    </dxf>
    <dxf>
      <numFmt numFmtId="3" formatCode="#,##0"/>
    </dxf>
    <dxf>
      <numFmt numFmtId="3" formatCode="#,##0"/>
      <border diagonalUp="0" diagonalDown="0" outline="0">
        <left/>
        <right style="thin">
          <color theme="0"/>
        </right>
        <top/>
        <bottom style="thin">
          <color indexed="64"/>
        </bottom>
      </border>
    </dxf>
    <dxf>
      <numFmt numFmtId="3" formatCode="#,##0"/>
      <fill>
        <patternFill patternType="none">
          <fgColor rgb="FF000000"/>
          <bgColor auto="1"/>
        </patternFill>
      </fill>
    </dxf>
    <dxf>
      <numFmt numFmtId="3" formatCode="#,##0"/>
      <border diagonalUp="0" diagonalDown="0" outline="0">
        <left/>
        <right style="thin">
          <color theme="0"/>
        </right>
        <top/>
        <bottom style="thin">
          <color indexed="64"/>
        </bottom>
      </border>
    </dxf>
    <dxf>
      <numFmt numFmtId="3" formatCode="#,##0"/>
      <fill>
        <patternFill patternType="none">
          <fgColor rgb="FF000000"/>
          <bgColor auto="1"/>
        </patternFill>
      </fill>
    </dxf>
    <dxf>
      <numFmt numFmtId="3" formatCode="#,##0"/>
      <border diagonalUp="0" diagonalDown="0" outline="0">
        <left/>
        <right style="thin">
          <color theme="0"/>
        </right>
        <top/>
        <bottom style="thin">
          <color indexed="64"/>
        </bottom>
      </border>
    </dxf>
    <dxf>
      <numFmt numFmtId="3" formatCode="#,##0"/>
      <fill>
        <patternFill patternType="none">
          <fgColor rgb="FF000000"/>
          <bgColor auto="1"/>
        </patternFill>
      </fill>
    </dxf>
    <dxf>
      <numFmt numFmtId="3" formatCode="#,##0"/>
      <border diagonalUp="0" diagonalDown="0" outline="0">
        <left/>
        <right style="thin">
          <color theme="0"/>
        </right>
        <top/>
        <bottom style="thin">
          <color indexed="64"/>
        </bottom>
      </border>
    </dxf>
    <dxf>
      <numFmt numFmtId="3" formatCode="#,##0"/>
      <fill>
        <patternFill patternType="none">
          <fgColor rgb="FF000000"/>
          <bgColor auto="1"/>
        </patternFill>
      </fill>
    </dxf>
    <dxf>
      <numFmt numFmtId="3" formatCode="#,##0"/>
      <border diagonalUp="0" diagonalDown="0" outline="0">
        <left/>
        <right style="thin">
          <color theme="0"/>
        </right>
        <top/>
        <bottom style="thin">
          <color indexed="64"/>
        </bottom>
      </border>
    </dxf>
    <dxf>
      <numFmt numFmtId="3" formatCode="#,##0"/>
      <fill>
        <patternFill patternType="none">
          <fgColor rgb="FF000000"/>
          <bgColor auto="1"/>
        </patternFill>
      </fill>
    </dxf>
    <dxf>
      <numFmt numFmtId="3" formatCode="#,##0"/>
      <border diagonalUp="0" diagonalDown="0" outline="0">
        <left/>
        <right style="thin">
          <color theme="0"/>
        </right>
        <top/>
        <bottom style="thin">
          <color indexed="64"/>
        </bottom>
      </border>
    </dxf>
    <dxf>
      <numFmt numFmtId="3" formatCode="#,##0"/>
      <fill>
        <patternFill patternType="none">
          <fgColor rgb="FF000000"/>
          <bgColor auto="1"/>
        </patternFill>
      </fill>
    </dxf>
    <dxf>
      <numFmt numFmtId="3" formatCode="#,##0"/>
      <border diagonalUp="0" diagonalDown="0" outline="0">
        <left/>
        <right style="thin">
          <color theme="0"/>
        </right>
        <top/>
        <bottom style="thin">
          <color indexed="64"/>
        </bottom>
      </border>
    </dxf>
    <dxf>
      <numFmt numFmtId="3" formatCode="#,##0"/>
      <fill>
        <patternFill patternType="none">
          <fgColor rgb="FF000000"/>
          <bgColor auto="1"/>
        </patternFill>
      </fill>
    </dxf>
    <dxf>
      <numFmt numFmtId="3" formatCode="#,##0"/>
      <border diagonalUp="0" diagonalDown="0" outline="0">
        <left/>
        <right style="thin">
          <color theme="0"/>
        </right>
        <top/>
        <bottom style="thin">
          <color indexed="64"/>
        </bottom>
      </border>
    </dxf>
    <dxf>
      <numFmt numFmtId="3" formatCode="#,##0"/>
      <fill>
        <patternFill patternType="none">
          <fgColor rgb="FF000000"/>
          <bgColor auto="1"/>
        </patternFill>
      </fill>
    </dxf>
    <dxf>
      <numFmt numFmtId="3" formatCode="#,##0"/>
      <border diagonalUp="0" diagonalDown="0" outline="0">
        <left style="thin">
          <color indexed="64"/>
        </left>
        <right style="thin">
          <color theme="0"/>
        </right>
        <top/>
        <bottom style="thin">
          <color indexed="64"/>
        </bottom>
      </border>
    </dxf>
    <dxf>
      <numFmt numFmtId="3" formatCode="#,##0"/>
      <fill>
        <patternFill patternType="none">
          <fgColor rgb="FF000000"/>
          <bgColor auto="1"/>
        </patternFill>
      </fill>
      <border diagonalUp="0" diagonalDown="0">
        <left style="thin">
          <color indexed="64"/>
        </left>
        <top/>
        <bottom/>
        <horizontal/>
      </border>
    </dxf>
    <dxf>
      <numFmt numFmtId="165" formatCode="#,##0;\-#,##0;\-"/>
      <border diagonalUp="0" diagonalDown="0" outline="0">
        <left/>
        <right style="thin">
          <color theme="0"/>
        </right>
        <top/>
        <bottom style="thin">
          <color theme="1" tint="0.34998626667073579"/>
        </bottom>
      </border>
    </dxf>
    <dxf>
      <numFmt numFmtId="165" formatCode="#,##0;\-#,##0;\-"/>
    </dxf>
    <dxf>
      <numFmt numFmtId="165" formatCode="#,##0;\-#,##0;\-"/>
      <border diagonalUp="0" diagonalDown="0" outline="0">
        <left/>
        <right style="thin">
          <color theme="0"/>
        </right>
        <top/>
        <bottom style="thin">
          <color theme="1" tint="0.34998626667073579"/>
        </bottom>
      </border>
    </dxf>
    <dxf>
      <font>
        <b/>
        <i val="0"/>
        <strike/>
        <condense val="0"/>
        <extend val="0"/>
        <outline val="0"/>
        <shadow val="0"/>
        <u val="none"/>
        <vertAlign val="baseline"/>
        <sz val="11"/>
        <color theme="1"/>
        <name val="Calibri"/>
        <family val="2"/>
        <scheme val="minor"/>
      </font>
      <numFmt numFmtId="165" formatCode="#,##0;\-#,##0;\-"/>
      <fill>
        <patternFill patternType="none">
          <fgColor indexed="64"/>
          <bgColor auto="1"/>
        </patternFill>
      </fill>
      <border diagonalUp="0" diagonalDown="0" outline="0">
        <left style="thin">
          <color theme="0"/>
        </left>
        <top/>
        <bottom/>
      </border>
    </dxf>
    <dxf>
      <fill>
        <patternFill patternType="none">
          <fgColor indexed="64"/>
          <bgColor auto="1"/>
        </patternFill>
      </fill>
    </dxf>
    <dxf>
      <fill>
        <patternFill patternType="none">
          <fgColor rgb="FF000000"/>
          <bgColor auto="1"/>
        </patternFill>
      </fill>
    </dxf>
    <dxf>
      <font>
        <b val="0"/>
        <i val="0"/>
        <strike val="0"/>
        <condense val="0"/>
        <extend val="0"/>
        <outline val="0"/>
        <shadow val="0"/>
        <u val="none"/>
        <vertAlign val="baseline"/>
        <sz val="11"/>
        <color theme="0" tint="-0.249977111117893"/>
        <name val="Calibri"/>
        <family val="2"/>
        <scheme val="minor"/>
      </font>
      <fill>
        <patternFill patternType="none">
          <fgColor indexed="64"/>
          <bgColor indexed="65"/>
        </patternFill>
      </fill>
      <alignment horizontal="left" vertical="top" textRotation="0" wrapText="0" indent="0" justifyLastLine="0" shrinkToFit="0" readingOrder="0"/>
      <border diagonalUp="0" diagonalDown="0" outline="0">
        <left style="thin">
          <color auto="1"/>
        </left>
        <right style="thin">
          <color auto="1"/>
        </right>
        <top/>
        <bottom/>
      </border>
    </dxf>
    <dxf>
      <numFmt numFmtId="165" formatCode="#,##0;\-#,##0;\-"/>
      <border diagonalUp="0" diagonalDown="0" outline="0">
        <left/>
        <right style="thin">
          <color theme="0"/>
        </right>
        <top/>
        <bottom style="thin">
          <color theme="1" tint="0.34998626667073579"/>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border diagonalUp="0" diagonalDown="0">
        <left/>
        <right style="thin">
          <color indexed="64"/>
        </right>
        <top/>
        <bottom/>
        <vertical/>
        <horizontal/>
      </border>
    </dxf>
    <dxf>
      <numFmt numFmtId="165" formatCode="#,##0;\-#,##0;\-"/>
      <border diagonalUp="0" diagonalDown="0" outline="0">
        <left/>
        <right style="thin">
          <color theme="0"/>
        </right>
        <top/>
        <bottom style="thin">
          <color theme="1" tint="0.34998626667073579"/>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theme="1" tint="0.34998626667073579"/>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theme="1" tint="0.34998626667073579"/>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theme="1" tint="0.34998626667073579"/>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theme="1" tint="0.34998626667073579"/>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theme="1" tint="0.34998626667073579"/>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theme="1" tint="0.34998626667073579"/>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theme="1" tint="0.34998626667073579"/>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theme="1" tint="0.34998626667073579"/>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theme="1" tint="0.34998626667073579"/>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theme="1" tint="0.34998626667073579"/>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style="thin">
          <color indexed="64"/>
        </left>
        <right style="thin">
          <color theme="0"/>
        </right>
        <top/>
        <bottom style="thin">
          <color indexed="64"/>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border diagonalUp="0" diagonalDown="0">
        <left style="thin">
          <color indexed="64"/>
        </left>
        <right/>
        <top/>
        <bottom/>
        <vertical/>
        <horizontal/>
      </border>
    </dxf>
    <dxf>
      <numFmt numFmtId="165" formatCode="#,##0;\-#,##0;\-"/>
      <border diagonalUp="0" diagonalDown="0" outline="0">
        <left/>
        <right style="thin">
          <color indexed="64"/>
        </right>
        <top/>
        <bottom style="thin">
          <color indexed="64"/>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indexed="64"/>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indexed="64"/>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indexed="64"/>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indexed="64"/>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indexed="64"/>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indexed="64"/>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indexed="64"/>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indexed="64"/>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indexed="64"/>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indexed="64"/>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indexed="64"/>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style="thin">
          <color indexed="64"/>
        </left>
        <right style="thin">
          <color theme="0"/>
        </right>
        <top/>
        <bottom style="thin">
          <color indexed="64"/>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border diagonalUp="0" diagonalDown="0">
        <left style="thin">
          <color indexed="64"/>
        </left>
        <top/>
        <bottom/>
        <vertical/>
        <horizontal/>
      </border>
    </dxf>
    <dxf>
      <border diagonalUp="0" diagonalDown="0" outline="0">
        <left/>
        <right/>
        <top/>
        <bottom style="thin">
          <color theme="1" tint="0.34998626667073579"/>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border diagonalUp="0" diagonalDown="0" outline="0">
        <left/>
        <right style="thin">
          <color theme="0"/>
        </right>
        <top/>
        <bottom style="thin">
          <color theme="1" tint="0.34998626667073579"/>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border diagonalUp="0" diagonalDown="0" outline="0">
        <left/>
        <right style="thin">
          <color theme="0"/>
        </right>
        <top/>
        <bottom style="thin">
          <color theme="1" tint="0.34998626667073579"/>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rgb="FF000000"/>
          <bgColor auto="1"/>
        </patternFill>
      </fill>
    </dxf>
    <dxf>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rgb="FF000000"/>
          <bgColor auto="1"/>
        </patternFill>
      </fill>
    </dxf>
    <dxf>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rgb="FF000000"/>
          <bgColor auto="1"/>
        </patternFill>
      </fill>
    </dxf>
    <dxf>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rgb="FF000000"/>
          <bgColor auto="1"/>
        </patternFill>
      </fill>
    </dxf>
    <dxf>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rgb="FF000000"/>
          <bgColor auto="1"/>
        </patternFill>
      </fill>
    </dxf>
    <dxf>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rgb="FF000000"/>
          <bgColor auto="1"/>
        </patternFill>
      </fill>
    </dxf>
    <dxf>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rgb="FF000000"/>
          <bgColor auto="1"/>
        </patternFill>
      </fill>
    </dxf>
    <dxf>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rgb="FF000000"/>
          <bgColor auto="1"/>
        </patternFill>
      </fill>
    </dxf>
    <dxf>
      <border diagonalUp="0" diagonalDown="0" outline="0">
        <left style="thin">
          <color indexed="64"/>
        </left>
        <right style="thin">
          <color theme="0"/>
        </right>
        <top/>
        <bottom style="thin">
          <color theme="1" tint="0.34998626667073579"/>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rgb="FF000000"/>
          <bgColor auto="1"/>
        </patternFill>
      </fill>
      <border diagonalUp="0" diagonalDown="0">
        <left style="thin">
          <color indexed="64"/>
        </left>
        <top/>
        <bottom/>
        <vertical/>
        <horizontal/>
      </border>
    </dxf>
    <dxf>
      <numFmt numFmtId="165" formatCode="#,##0;\-#,##0;\-"/>
      <border diagonalUp="0" diagonalDown="0" outline="0">
        <left/>
        <right/>
        <top/>
        <bottom style="thin">
          <color theme="1" tint="0.34998626667073579"/>
        </bottom>
      </border>
    </dxf>
    <dxf>
      <font>
        <b val="0"/>
        <i val="0"/>
        <strike/>
        <condense val="0"/>
        <extend val="0"/>
        <outline val="0"/>
        <shadow val="0"/>
        <u val="none"/>
        <vertAlign val="baseline"/>
        <sz val="11"/>
        <color theme="1" tint="0.24994659260841701"/>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theme="1" tint="0.34998626667073579"/>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theme="1" tint="0.34998626667073579"/>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theme="1" tint="0.34998626667073579"/>
        </bottom>
      </border>
    </dxf>
    <dxf>
      <font>
        <b val="0"/>
        <i val="0"/>
        <strike/>
        <condense val="0"/>
        <extend val="0"/>
        <outline val="0"/>
        <shadow val="0"/>
        <u val="none"/>
        <vertAlign val="baseline"/>
        <sz val="11"/>
        <color theme="1" tint="0.24994659260841701"/>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theme="1" tint="0.34998626667073579"/>
        </bottom>
      </border>
    </dxf>
    <dxf>
      <font>
        <b val="0"/>
        <i val="0"/>
        <strike/>
        <condense val="0"/>
        <extend val="0"/>
        <outline val="0"/>
        <shadow val="0"/>
        <u val="none"/>
        <vertAlign val="baseline"/>
        <sz val="11"/>
        <color theme="1" tint="0.24994659260841701"/>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theme="1" tint="0.34998626667073579"/>
        </bottom>
      </border>
    </dxf>
    <dxf>
      <font>
        <b val="0"/>
        <i val="0"/>
        <strike/>
        <condense val="0"/>
        <extend val="0"/>
        <outline val="0"/>
        <shadow val="0"/>
        <u val="none"/>
        <vertAlign val="baseline"/>
        <sz val="11"/>
        <color theme="1" tint="0.24994659260841701"/>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theme="1" tint="0.34998626667073579"/>
        </bottom>
      </border>
    </dxf>
    <dxf>
      <font>
        <b val="0"/>
        <i val="0"/>
        <strike/>
        <condense val="0"/>
        <extend val="0"/>
        <outline val="0"/>
        <shadow val="0"/>
        <u val="none"/>
        <vertAlign val="baseline"/>
        <sz val="11"/>
        <color theme="1" tint="0.24994659260841701"/>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theme="1" tint="0.34998626667073579"/>
        </bottom>
      </border>
    </dxf>
    <dxf>
      <font>
        <b val="0"/>
        <i val="0"/>
        <strike/>
        <condense val="0"/>
        <extend val="0"/>
        <outline val="0"/>
        <shadow val="0"/>
        <u val="none"/>
        <vertAlign val="baseline"/>
        <sz val="11"/>
        <color theme="1" tint="0.24994659260841701"/>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theme="1" tint="0.34998626667073579"/>
        </bottom>
      </border>
    </dxf>
    <dxf>
      <font>
        <b val="0"/>
        <i val="0"/>
        <strike/>
        <condense val="0"/>
        <extend val="0"/>
        <outline val="0"/>
        <shadow val="0"/>
        <u val="none"/>
        <vertAlign val="baseline"/>
        <sz val="11"/>
        <color theme="1" tint="0.24994659260841701"/>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theme="1" tint="0.34998626667073579"/>
        </bottom>
      </border>
    </dxf>
    <dxf>
      <font>
        <b val="0"/>
        <i val="0"/>
        <strike/>
        <condense val="0"/>
        <extend val="0"/>
        <outline val="0"/>
        <shadow val="0"/>
        <u val="none"/>
        <vertAlign val="baseline"/>
        <sz val="11"/>
        <color theme="1" tint="0.24994659260841701"/>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theme="1" tint="0.34998626667073579"/>
        </bottom>
      </border>
    </dxf>
    <dxf>
      <font>
        <b val="0"/>
        <i val="0"/>
        <strike/>
        <condense val="0"/>
        <extend val="0"/>
        <outline val="0"/>
        <shadow val="0"/>
        <u val="none"/>
        <vertAlign val="baseline"/>
        <sz val="11"/>
        <color theme="1" tint="0.24994659260841701"/>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theme="1" tint="0.34998626667073579"/>
        </bottom>
      </border>
    </dxf>
    <dxf>
      <font>
        <b val="0"/>
        <i val="0"/>
        <strike/>
        <condense val="0"/>
        <extend val="0"/>
        <outline val="0"/>
        <shadow val="0"/>
        <u val="none"/>
        <vertAlign val="baseline"/>
        <sz val="11"/>
        <color theme="1" tint="0.24994659260841701"/>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theme="1" tint="0.34998626667073579"/>
        </bottom>
      </border>
    </dxf>
    <dxf>
      <font>
        <b val="0"/>
        <i val="0"/>
        <strike/>
        <condense val="0"/>
        <extend val="0"/>
        <outline val="0"/>
        <shadow val="0"/>
        <u val="none"/>
        <vertAlign val="baseline"/>
        <sz val="11"/>
        <color theme="1"/>
        <name val="Calibri"/>
        <family val="2"/>
        <scheme val="minor"/>
      </font>
      <numFmt numFmtId="165" formatCode="#,##0;\-#,##0;\-"/>
      <fill>
        <patternFill patternType="solid">
          <fgColor indexed="64"/>
          <bgColor theme="0" tint="-0.499984740745262"/>
        </patternFill>
      </fill>
      <border diagonalUp="0" diagonalDown="0">
        <left/>
        <right style="thin">
          <color theme="0"/>
        </right>
        <top/>
        <bottom/>
        <vertical/>
        <horizontal/>
      </border>
    </dxf>
    <dxf>
      <numFmt numFmtId="165" formatCode="#,##0;\-#,##0;\-"/>
      <border diagonalUp="0" diagonalDown="0" outline="0">
        <left/>
        <right/>
        <top/>
        <bottom style="thin">
          <color theme="1" tint="0.34998626667073579"/>
        </bottom>
      </border>
    </dxf>
    <dxf>
      <font>
        <b val="0"/>
        <i val="0"/>
        <strike/>
        <condense val="0"/>
        <extend val="0"/>
        <outline val="0"/>
        <shadow val="0"/>
        <u val="none"/>
        <vertAlign val="baseline"/>
        <sz val="11"/>
        <color theme="1"/>
        <name val="Calibri"/>
        <family val="2"/>
        <scheme val="minor"/>
      </font>
      <numFmt numFmtId="165" formatCode="#,##0;\-#,##0;\-"/>
      <fill>
        <patternFill patternType="solid">
          <fgColor indexed="64"/>
          <bgColor theme="0" tint="-0.499984740745262"/>
        </patternFill>
      </fill>
    </dxf>
    <dxf>
      <numFmt numFmtId="165" formatCode="#,##0;\-#,##0;\-"/>
      <border diagonalUp="0" diagonalDown="0" outline="0">
        <left style="thin">
          <color theme="1" tint="0.34998626667073579"/>
        </left>
        <right/>
        <top/>
        <bottom style="thin">
          <color theme="1" tint="0.34998626667073579"/>
        </bottom>
      </border>
    </dxf>
    <dxf>
      <font>
        <strike/>
      </font>
      <numFmt numFmtId="165" formatCode="#,##0;\-#,##0;\-"/>
      <fill>
        <patternFill patternType="solid">
          <fgColor indexed="64"/>
          <bgColor theme="0" tint="-0.499984740745262"/>
        </patternFill>
      </fill>
      <border diagonalUp="0" diagonalDown="0">
        <left style="thin">
          <color theme="1" tint="0.34998626667073579"/>
        </left>
        <right/>
        <top/>
        <bottom/>
        <vertical/>
        <horizontal/>
      </border>
    </dxf>
    <dxf>
      <numFmt numFmtId="0" formatCode="Genera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rgb="FF000000"/>
          <bgColor auto="1"/>
        </patternFill>
      </fill>
    </dxf>
    <dxf>
      <font>
        <b val="0"/>
        <i val="0"/>
        <strike val="0"/>
        <condense val="0"/>
        <extend val="0"/>
        <outline val="0"/>
        <shadow val="0"/>
        <u val="none"/>
        <vertAlign val="baseline"/>
        <sz val="11"/>
        <color theme="0" tint="-0.249977111117893"/>
        <name val="Calibri"/>
        <family val="2"/>
        <scheme val="minor"/>
      </font>
      <fill>
        <patternFill patternType="none">
          <fgColor indexed="64"/>
          <bgColor indexed="65"/>
        </patternFill>
      </fill>
      <alignment horizontal="left" vertical="top" textRotation="0" wrapText="0" indent="0" justifyLastLine="0" shrinkToFit="0" readingOrder="0"/>
      <border diagonalUp="0" diagonalDown="0" outline="0">
        <left style="thin">
          <color auto="1"/>
        </left>
        <right style="thin">
          <color auto="1"/>
        </right>
        <top/>
        <bottom/>
      </border>
    </dxf>
    <dxf>
      <numFmt numFmtId="165" formatCode="#,##0;\-#,##0;\-"/>
      <border diagonalUp="0" diagonalDown="0" outline="0">
        <left/>
        <right style="thin">
          <color indexed="64"/>
        </right>
        <top/>
        <bottom style="thin">
          <color indexed="64"/>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border diagonalUp="0" diagonalDown="0">
        <left/>
        <right style="thin">
          <color indexed="64"/>
        </right>
        <top/>
        <bottom/>
        <vertical/>
        <horizontal/>
      </border>
    </dxf>
    <dxf>
      <numFmt numFmtId="165" formatCode="#,##0;\-#,##0;\-"/>
      <border diagonalUp="0" diagonalDown="0" outline="0">
        <left/>
        <right style="thin">
          <color theme="0"/>
        </right>
        <top/>
        <bottom style="thin">
          <color indexed="64"/>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indexed="64"/>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indexed="64"/>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indexed="64"/>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indexed="64"/>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indexed="64"/>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indexed="64"/>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indexed="64"/>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indexed="64"/>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indexed="64"/>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indexed="64"/>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style="thin">
          <color indexed="64"/>
        </left>
        <right style="thin">
          <color theme="0"/>
        </right>
        <top/>
        <bottom style="thin">
          <color indexed="64"/>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border diagonalUp="0" diagonalDown="0">
        <left style="thin">
          <color indexed="64"/>
        </left>
        <right/>
        <top/>
        <bottom/>
        <vertical/>
        <horizontal/>
      </border>
    </dxf>
    <dxf>
      <numFmt numFmtId="165" formatCode="#,##0;\-#,##0;\-"/>
      <border diagonalUp="0" diagonalDown="0" outline="0">
        <left/>
        <right style="thin">
          <color indexed="64"/>
        </right>
        <top/>
        <bottom style="thin">
          <color indexed="64"/>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border diagonalUp="0" diagonalDown="0">
        <left/>
        <right style="thin">
          <color indexed="64"/>
        </right>
        <top/>
        <bottom/>
        <vertical/>
        <horizontal/>
      </border>
    </dxf>
    <dxf>
      <numFmt numFmtId="165" formatCode="#,##0;\-#,##0;\-"/>
      <border diagonalUp="0" diagonalDown="0" outline="0">
        <left/>
        <right style="thin">
          <color theme="0"/>
        </right>
        <top/>
        <bottom style="thin">
          <color indexed="64"/>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indexed="64"/>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indexed="64"/>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indexed="64"/>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indexed="64"/>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indexed="64"/>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indexed="64"/>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indexed="64"/>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indexed="64"/>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indexed="64"/>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indexed="64"/>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style="thin">
          <color indexed="64"/>
        </left>
        <right style="thin">
          <color theme="0"/>
        </right>
        <top/>
        <bottom style="thin">
          <color indexed="64"/>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border diagonalUp="0" diagonalDown="0">
        <left style="thin">
          <color indexed="64"/>
        </left>
        <right/>
        <top/>
        <bottom/>
        <vertical/>
        <horizontal/>
      </border>
    </dxf>
    <dxf>
      <border diagonalUp="0" diagonalDown="0" outline="0">
        <left/>
        <right/>
        <top/>
        <bottom style="thin">
          <color theme="1" tint="0.34998626667073579"/>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border diagonalUp="0" diagonalDown="0" outline="0">
        <left/>
        <right style="thin">
          <color theme="0"/>
        </right>
        <top/>
        <bottom style="thin">
          <color theme="1" tint="0.34998626667073579"/>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border diagonalUp="0" diagonalDown="0" outline="0">
        <left/>
        <right style="thin">
          <color theme="0"/>
        </right>
        <top/>
        <bottom style="thin">
          <color theme="1" tint="0.34998626667073579"/>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rgb="FF000000"/>
          <bgColor auto="1"/>
        </patternFill>
      </fill>
    </dxf>
    <dxf>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rgb="FF000000"/>
          <bgColor auto="1"/>
        </patternFill>
      </fill>
    </dxf>
    <dxf>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rgb="FF000000"/>
          <bgColor auto="1"/>
        </patternFill>
      </fill>
    </dxf>
    <dxf>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rgb="FF000000"/>
          <bgColor auto="1"/>
        </patternFill>
      </fill>
    </dxf>
    <dxf>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rgb="FF000000"/>
          <bgColor auto="1"/>
        </patternFill>
      </fill>
    </dxf>
    <dxf>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rgb="FF000000"/>
          <bgColor auto="1"/>
        </patternFill>
      </fill>
    </dxf>
    <dxf>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rgb="FF000000"/>
          <bgColor auto="1"/>
        </patternFill>
      </fill>
    </dxf>
    <dxf>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rgb="FF000000"/>
          <bgColor auto="1"/>
        </patternFill>
      </fill>
    </dxf>
    <dxf>
      <border diagonalUp="0" diagonalDown="0" outline="0">
        <left style="thin">
          <color theme="1" tint="0.499984740745262"/>
        </left>
        <right style="thin">
          <color theme="0"/>
        </right>
        <top/>
        <bottom style="thin">
          <color theme="1" tint="0.34998626667073579"/>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rgb="FF000000"/>
          <bgColor auto="1"/>
        </patternFill>
      </fill>
      <border diagonalUp="0" diagonalDown="0">
        <left style="thin">
          <color theme="1" tint="0.499984740745262"/>
        </left>
        <top/>
        <bottom/>
        <vertical/>
        <horizontal/>
      </border>
    </dxf>
    <dxf>
      <numFmt numFmtId="165" formatCode="#,##0;\-#,##0;\-"/>
      <border diagonalUp="0" diagonalDown="0" outline="0">
        <left/>
        <right/>
        <top/>
        <bottom style="thin">
          <color theme="1" tint="0.34998626667073579"/>
        </bottom>
      </border>
    </dxf>
    <dxf>
      <font>
        <b val="0"/>
        <i val="0"/>
        <strike/>
        <condense val="0"/>
        <extend val="0"/>
        <outline val="0"/>
        <shadow val="0"/>
        <u val="none"/>
        <vertAlign val="baseline"/>
        <sz val="11"/>
        <color theme="1" tint="0.24994659260841701"/>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theme="1" tint="0.34998626667073579"/>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theme="1" tint="0.34998626667073579"/>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theme="1" tint="0.34998626667073579"/>
        </bottom>
      </border>
    </dxf>
    <dxf>
      <font>
        <b val="0"/>
        <i val="0"/>
        <strike/>
        <condense val="0"/>
        <extend val="0"/>
        <outline val="0"/>
        <shadow val="0"/>
        <u val="none"/>
        <vertAlign val="baseline"/>
        <sz val="11"/>
        <color theme="1" tint="0.24994659260841701"/>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theme="1" tint="0.34998626667073579"/>
        </bottom>
      </border>
    </dxf>
    <dxf>
      <font>
        <b val="0"/>
        <i val="0"/>
        <strike/>
        <condense val="0"/>
        <extend val="0"/>
        <outline val="0"/>
        <shadow val="0"/>
        <u val="none"/>
        <vertAlign val="baseline"/>
        <sz val="11"/>
        <color theme="1" tint="0.24994659260841701"/>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theme="1" tint="0.34998626667073579"/>
        </bottom>
      </border>
    </dxf>
    <dxf>
      <font>
        <b val="0"/>
        <i val="0"/>
        <strike/>
        <condense val="0"/>
        <extend val="0"/>
        <outline val="0"/>
        <shadow val="0"/>
        <u val="none"/>
        <vertAlign val="baseline"/>
        <sz val="11"/>
        <color theme="1" tint="0.24994659260841701"/>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theme="1" tint="0.34998626667073579"/>
        </bottom>
      </border>
    </dxf>
    <dxf>
      <font>
        <b val="0"/>
        <i val="0"/>
        <strike/>
        <condense val="0"/>
        <extend val="0"/>
        <outline val="0"/>
        <shadow val="0"/>
        <u val="none"/>
        <vertAlign val="baseline"/>
        <sz val="11"/>
        <color theme="1" tint="0.24994659260841701"/>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theme="1" tint="0.34998626667073579"/>
        </bottom>
      </border>
    </dxf>
    <dxf>
      <font>
        <b val="0"/>
        <i val="0"/>
        <strike/>
        <condense val="0"/>
        <extend val="0"/>
        <outline val="0"/>
        <shadow val="0"/>
        <u val="none"/>
        <vertAlign val="baseline"/>
        <sz val="11"/>
        <color theme="1" tint="0.24994659260841701"/>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theme="1" tint="0.34998626667073579"/>
        </bottom>
      </border>
    </dxf>
    <dxf>
      <font>
        <b val="0"/>
        <i val="0"/>
        <strike/>
        <condense val="0"/>
        <extend val="0"/>
        <outline val="0"/>
        <shadow val="0"/>
        <u val="none"/>
        <vertAlign val="baseline"/>
        <sz val="11"/>
        <color theme="1" tint="0.24994659260841701"/>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theme="1" tint="0.34998626667073579"/>
        </bottom>
      </border>
    </dxf>
    <dxf>
      <font>
        <b val="0"/>
        <i val="0"/>
        <strike/>
        <condense val="0"/>
        <extend val="0"/>
        <outline val="0"/>
        <shadow val="0"/>
        <u val="none"/>
        <vertAlign val="baseline"/>
        <sz val="11"/>
        <color theme="1" tint="0.24994659260841701"/>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theme="1" tint="0.34998626667073579"/>
        </bottom>
      </border>
    </dxf>
    <dxf>
      <font>
        <b val="0"/>
        <i val="0"/>
        <strike/>
        <condense val="0"/>
        <extend val="0"/>
        <outline val="0"/>
        <shadow val="0"/>
        <u val="none"/>
        <vertAlign val="baseline"/>
        <sz val="11"/>
        <color theme="1" tint="0.24994659260841701"/>
        <name val="Calibri"/>
        <family val="2"/>
        <scheme val="minor"/>
      </font>
      <numFmt numFmtId="165" formatCode="#,##0;\-#,##0;\-"/>
      <fill>
        <patternFill patternType="solid">
          <fgColor indexed="64"/>
          <bgColor theme="0" tint="-0.499984740745262"/>
        </patternFill>
      </fill>
    </dxf>
    <dxf>
      <numFmt numFmtId="165" formatCode="#,##0;\-#,##0;\-"/>
      <border diagonalUp="0" diagonalDown="0" outline="0">
        <left style="thin">
          <color theme="1" tint="0.499984740745262"/>
        </left>
        <right style="thin">
          <color theme="0"/>
        </right>
        <top/>
        <bottom style="thin">
          <color theme="1" tint="0.34998626667073579"/>
        </bottom>
      </border>
    </dxf>
    <dxf>
      <font>
        <b val="0"/>
        <i val="0"/>
        <strike/>
        <condense val="0"/>
        <extend val="0"/>
        <outline val="0"/>
        <shadow val="0"/>
        <u val="none"/>
        <vertAlign val="baseline"/>
        <sz val="11"/>
        <color theme="1" tint="0.24994659260841701"/>
        <name val="Calibri"/>
        <family val="2"/>
        <scheme val="minor"/>
      </font>
      <numFmt numFmtId="165" formatCode="#,##0;\-#,##0;\-"/>
      <fill>
        <patternFill patternType="solid">
          <fgColor indexed="64"/>
          <bgColor theme="0" tint="-0.499984740745262"/>
        </patternFill>
      </fill>
      <border diagonalUp="0" diagonalDown="0">
        <left style="thin">
          <color theme="1" tint="0.499984740745262"/>
        </left>
        <top/>
        <bottom/>
        <vertical/>
        <horizontal/>
      </border>
    </dxf>
    <dxf>
      <numFmt numFmtId="165" formatCode="#,##0;\-#,##0;\-"/>
      <border diagonalUp="0" diagonalDown="0" outline="0">
        <left/>
        <right/>
        <top/>
        <bottom style="thin">
          <color theme="1" tint="0.34998626667073579"/>
        </bottom>
      </border>
    </dxf>
    <dxf>
      <font>
        <b val="0"/>
        <i val="0"/>
        <strike/>
        <condense val="0"/>
        <extend val="0"/>
        <outline val="0"/>
        <shadow val="0"/>
        <u val="none"/>
        <vertAlign val="baseline"/>
        <sz val="11"/>
        <color theme="1"/>
        <name val="Calibri"/>
        <family val="2"/>
        <scheme val="minor"/>
      </font>
      <numFmt numFmtId="165" formatCode="#,##0;\-#,##0;\-"/>
      <fill>
        <patternFill patternType="solid">
          <fgColor indexed="64"/>
          <bgColor theme="0" tint="-0.499984740745262"/>
        </patternFill>
      </fill>
      <border diagonalUp="0" diagonalDown="0">
        <left/>
        <right style="thin">
          <color theme="0"/>
        </right>
        <top/>
        <bottom/>
        <vertical/>
        <horizontal/>
      </border>
    </dxf>
    <dxf>
      <numFmt numFmtId="165" formatCode="#,##0;\-#,##0;\-"/>
      <border diagonalUp="0" diagonalDown="0" outline="0">
        <left/>
        <right/>
        <top/>
        <bottom style="thin">
          <color theme="1" tint="0.34998626667073579"/>
        </bottom>
      </border>
    </dxf>
    <dxf>
      <font>
        <b val="0"/>
        <i val="0"/>
        <strike/>
        <condense val="0"/>
        <extend val="0"/>
        <outline val="0"/>
        <shadow val="0"/>
        <u val="none"/>
        <vertAlign val="baseline"/>
        <sz val="11"/>
        <color theme="1"/>
        <name val="Calibri"/>
        <family val="2"/>
        <scheme val="minor"/>
      </font>
      <numFmt numFmtId="165" formatCode="#,##0;\-#,##0;\-"/>
      <fill>
        <patternFill patternType="solid">
          <fgColor indexed="64"/>
          <bgColor theme="0" tint="-0.499984740745262"/>
        </patternFill>
      </fill>
    </dxf>
    <dxf>
      <numFmt numFmtId="165" formatCode="#,##0;\-#,##0;\-"/>
      <border diagonalUp="0" diagonalDown="0" outline="0">
        <left style="thin">
          <color theme="1" tint="0.34998626667073579"/>
        </left>
        <right/>
        <top/>
        <bottom style="thin">
          <color theme="1" tint="0.34998626667073579"/>
        </bottom>
      </border>
    </dxf>
    <dxf>
      <font>
        <strike/>
      </font>
      <numFmt numFmtId="165" formatCode="#,##0;\-#,##0;\-"/>
      <fill>
        <patternFill patternType="solid">
          <fgColor indexed="64"/>
          <bgColor theme="0" tint="-0.499984740745262"/>
        </patternFill>
      </fill>
      <border diagonalUp="0" diagonalDown="0">
        <left style="thin">
          <color theme="1" tint="0.34998626667073579"/>
        </left>
        <right/>
        <top/>
        <bottom/>
        <vertical/>
        <horizontal/>
      </border>
    </dxf>
    <dxf>
      <numFmt numFmtId="0" formatCode="Genera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rgb="FF000000"/>
          <bgColor auto="1"/>
        </patternFill>
      </fill>
    </dxf>
    <dxf>
      <font>
        <b val="0"/>
        <i val="0"/>
        <strike val="0"/>
        <condense val="0"/>
        <extend val="0"/>
        <outline val="0"/>
        <shadow val="0"/>
        <u val="none"/>
        <vertAlign val="baseline"/>
        <sz val="11"/>
        <color theme="0" tint="-0.249977111117893"/>
        <name val="Calibri"/>
        <family val="2"/>
        <scheme val="minor"/>
      </font>
      <fill>
        <patternFill patternType="none">
          <fgColor indexed="64"/>
          <bgColor indexed="65"/>
        </patternFill>
      </fill>
      <alignment horizontal="left" vertical="top" textRotation="0" wrapText="0" indent="0" justifyLastLine="0" shrinkToFit="0" readingOrder="0"/>
      <border diagonalUp="0" diagonalDown="0" outline="0">
        <left style="thin">
          <color auto="1"/>
        </left>
        <right style="thin">
          <color auto="1"/>
        </right>
        <top/>
        <bottom/>
      </border>
    </dxf>
    <dxf>
      <numFmt numFmtId="165" formatCode="#,##0;\-#,##0;\-"/>
      <border diagonalUp="0" diagonalDown="0" outline="0">
        <left/>
        <right style="thin">
          <color theme="0"/>
        </right>
        <top/>
        <bottom style="thin">
          <color theme="1" tint="0.34998626667073579"/>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border diagonalUp="0" diagonalDown="0">
        <left/>
        <right style="thin">
          <color indexed="64"/>
        </right>
        <top/>
        <bottom/>
        <vertical/>
        <horizontal/>
      </border>
    </dxf>
    <dxf>
      <numFmt numFmtId="165" formatCode="#,##0;\-#,##0;\-"/>
      <border diagonalUp="0" diagonalDown="0" outline="0">
        <left/>
        <right style="thin">
          <color theme="0"/>
        </right>
        <top/>
        <bottom style="thin">
          <color theme="1" tint="0.34998626667073579"/>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theme="1" tint="0.34998626667073579"/>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theme="1" tint="0.34998626667073579"/>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theme="1" tint="0.34998626667073579"/>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theme="1" tint="0.34998626667073579"/>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theme="1" tint="0.34998626667073579"/>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theme="1" tint="0.34998626667073579"/>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theme="1" tint="0.34998626667073579"/>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theme="1" tint="0.34998626667073579"/>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theme="1" tint="0.34998626667073579"/>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theme="1" tint="0.34998626667073579"/>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theme="1" tint="0.34998626667073579"/>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border diagonalUp="0" diagonalDown="0">
        <left style="thin">
          <color indexed="64"/>
        </left>
        <right/>
        <top/>
        <bottom/>
        <vertical/>
        <horizontal/>
      </border>
    </dxf>
    <dxf>
      <numFmt numFmtId="165" formatCode="#,##0;\-#,##0;\-"/>
      <border diagonalUp="0" diagonalDown="0" outline="0">
        <left/>
        <right style="thin">
          <color indexed="64"/>
        </right>
        <top/>
        <bottom style="thin">
          <color indexed="64"/>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indexed="64"/>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indexed="64"/>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indexed="64"/>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indexed="64"/>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indexed="64"/>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indexed="64"/>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indexed="64"/>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indexed="64"/>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indexed="64"/>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indexed="64"/>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indexed="64"/>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style="thin">
          <color indexed="64"/>
        </left>
        <right style="thin">
          <color theme="0"/>
        </right>
        <top/>
        <bottom style="thin">
          <color indexed="64"/>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border diagonalUp="0" diagonalDown="0">
        <left style="thin">
          <color indexed="64"/>
        </left>
        <top/>
        <bottom/>
        <vertical/>
        <horizontal/>
      </border>
    </dxf>
    <dxf>
      <border diagonalUp="0" diagonalDown="0" outline="0">
        <left/>
        <right/>
        <top/>
        <bottom style="thin">
          <color theme="1" tint="0.34998626667073579"/>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border diagonalUp="0" diagonalDown="0" outline="0">
        <left/>
        <right style="thin">
          <color theme="0"/>
        </right>
        <top/>
        <bottom style="thin">
          <color theme="1" tint="0.34998626667073579"/>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border diagonalUp="0" diagonalDown="0" outline="0">
        <left/>
        <right style="thin">
          <color theme="0"/>
        </right>
        <top/>
        <bottom style="thin">
          <color theme="1" tint="0.34998626667073579"/>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rgb="FF000000"/>
          <bgColor auto="1"/>
        </patternFill>
      </fill>
    </dxf>
    <dxf>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rgb="FF000000"/>
          <bgColor auto="1"/>
        </patternFill>
      </fill>
    </dxf>
    <dxf>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rgb="FF000000"/>
          <bgColor auto="1"/>
        </patternFill>
      </fill>
    </dxf>
    <dxf>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rgb="FF000000"/>
          <bgColor auto="1"/>
        </patternFill>
      </fill>
    </dxf>
    <dxf>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rgb="FF000000"/>
          <bgColor auto="1"/>
        </patternFill>
      </fill>
    </dxf>
    <dxf>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rgb="FF000000"/>
          <bgColor auto="1"/>
        </patternFill>
      </fill>
    </dxf>
    <dxf>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rgb="FF000000"/>
          <bgColor auto="1"/>
        </patternFill>
      </fill>
    </dxf>
    <dxf>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rgb="FF000000"/>
          <bgColor auto="1"/>
        </patternFill>
      </fill>
    </dxf>
    <dxf>
      <border diagonalUp="0" diagonalDown="0" outline="0">
        <left style="thin">
          <color theme="1" tint="0.34998626667073579"/>
        </left>
        <right style="thin">
          <color theme="0"/>
        </right>
        <top/>
        <bottom style="thin">
          <color theme="1" tint="0.34998626667073579"/>
        </bottom>
      </border>
    </dxf>
    <dxf>
      <font>
        <b val="0"/>
        <i val="0"/>
        <strike val="0"/>
        <condense val="0"/>
        <extend val="0"/>
        <outline val="0"/>
        <shadow val="0"/>
        <u val="none"/>
        <vertAlign val="baseline"/>
        <sz val="11"/>
        <color theme="1" tint="0.24994659260841701"/>
        <name val="Calibri"/>
        <family val="2"/>
        <scheme val="minor"/>
      </font>
      <numFmt numFmtId="165" formatCode="#,##0;\-#,##0;\-"/>
      <fill>
        <patternFill patternType="none">
          <fgColor rgb="FF000000"/>
          <bgColor auto="1"/>
        </patternFill>
      </fill>
      <border diagonalUp="0" diagonalDown="0">
        <left style="thin">
          <color theme="1" tint="0.34998626667073579"/>
        </left>
        <top/>
        <bottom/>
        <vertical/>
        <horizontal/>
      </border>
    </dxf>
    <dxf>
      <numFmt numFmtId="165" formatCode="#,##0;\-#,##0;\-"/>
      <border diagonalUp="0" diagonalDown="0" outline="0">
        <left/>
        <right/>
        <top/>
        <bottom style="thin">
          <color theme="1" tint="0.34998626667073579"/>
        </bottom>
      </border>
    </dxf>
    <dxf>
      <font>
        <b val="0"/>
        <i val="0"/>
        <strike/>
        <condense val="0"/>
        <extend val="0"/>
        <outline val="0"/>
        <shadow val="0"/>
        <u val="none"/>
        <vertAlign val="baseline"/>
        <sz val="11"/>
        <color theme="1" tint="0.24994659260841701"/>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theme="1" tint="0.34998626667073579"/>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theme="1" tint="0.34998626667073579"/>
        </bottom>
      </border>
    </dxf>
    <dxf>
      <font>
        <b val="0"/>
        <i val="0"/>
        <strike/>
        <condense val="0"/>
        <extend val="0"/>
        <outline val="0"/>
        <shadow val="0"/>
        <u val="none"/>
        <vertAlign val="baseline"/>
        <sz val="11"/>
        <color theme="1" tint="0.499984740745262"/>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theme="1" tint="0.34998626667073579"/>
        </bottom>
      </border>
    </dxf>
    <dxf>
      <font>
        <b val="0"/>
        <i val="0"/>
        <strike/>
        <condense val="0"/>
        <extend val="0"/>
        <outline val="0"/>
        <shadow val="0"/>
        <u val="none"/>
        <vertAlign val="baseline"/>
        <sz val="11"/>
        <color theme="1" tint="0.24994659260841701"/>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theme="1" tint="0.34998626667073579"/>
        </bottom>
      </border>
    </dxf>
    <dxf>
      <font>
        <b val="0"/>
        <i val="0"/>
        <strike/>
        <condense val="0"/>
        <extend val="0"/>
        <outline val="0"/>
        <shadow val="0"/>
        <u val="none"/>
        <vertAlign val="baseline"/>
        <sz val="11"/>
        <color theme="1" tint="0.24994659260841701"/>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theme="1" tint="0.34998626667073579"/>
        </bottom>
      </border>
    </dxf>
    <dxf>
      <font>
        <b val="0"/>
        <i val="0"/>
        <strike/>
        <condense val="0"/>
        <extend val="0"/>
        <outline val="0"/>
        <shadow val="0"/>
        <u val="none"/>
        <vertAlign val="baseline"/>
        <sz val="11"/>
        <color theme="1" tint="0.24994659260841701"/>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theme="1" tint="0.34998626667073579"/>
        </bottom>
      </border>
    </dxf>
    <dxf>
      <font>
        <b val="0"/>
        <i val="0"/>
        <strike/>
        <condense val="0"/>
        <extend val="0"/>
        <outline val="0"/>
        <shadow val="0"/>
        <u val="none"/>
        <vertAlign val="baseline"/>
        <sz val="11"/>
        <color theme="1" tint="0.24994659260841701"/>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theme="1" tint="0.34998626667073579"/>
        </bottom>
      </border>
    </dxf>
    <dxf>
      <font>
        <b val="0"/>
        <i val="0"/>
        <strike/>
        <condense val="0"/>
        <extend val="0"/>
        <outline val="0"/>
        <shadow val="0"/>
        <u val="none"/>
        <vertAlign val="baseline"/>
        <sz val="11"/>
        <color theme="1" tint="0.24994659260841701"/>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theme="1" tint="0.34998626667073579"/>
        </bottom>
      </border>
    </dxf>
    <dxf>
      <font>
        <b val="0"/>
        <i val="0"/>
        <strike/>
        <condense val="0"/>
        <extend val="0"/>
        <outline val="0"/>
        <shadow val="0"/>
        <u val="none"/>
        <vertAlign val="baseline"/>
        <sz val="11"/>
        <color theme="1" tint="0.24994659260841701"/>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theme="1" tint="0.34998626667073579"/>
        </bottom>
      </border>
    </dxf>
    <dxf>
      <font>
        <b val="0"/>
        <i val="0"/>
        <strike/>
        <condense val="0"/>
        <extend val="0"/>
        <outline val="0"/>
        <shadow val="0"/>
        <u val="none"/>
        <vertAlign val="baseline"/>
        <sz val="11"/>
        <color theme="1" tint="0.24994659260841701"/>
        <name val="Calibri"/>
        <family val="2"/>
        <scheme val="minor"/>
      </font>
      <numFmt numFmtId="165" formatCode="#,##0;\-#,##0;\-"/>
      <fill>
        <patternFill patternType="solid">
          <fgColor indexed="64"/>
          <bgColor theme="0" tint="-0.499984740745262"/>
        </patternFill>
      </fill>
    </dxf>
    <dxf>
      <numFmt numFmtId="165" formatCode="#,##0;\-#,##0;\-"/>
      <border diagonalUp="0" diagonalDown="0" outline="0">
        <left/>
        <right style="thin">
          <color theme="0"/>
        </right>
        <top/>
        <bottom style="thin">
          <color theme="1" tint="0.34998626667073579"/>
        </bottom>
      </border>
    </dxf>
    <dxf>
      <font>
        <b val="0"/>
        <i val="0"/>
        <strike/>
        <condense val="0"/>
        <extend val="0"/>
        <outline val="0"/>
        <shadow val="0"/>
        <u val="none"/>
        <vertAlign val="baseline"/>
        <sz val="11"/>
        <color theme="1" tint="0.24994659260841701"/>
        <name val="Calibri"/>
        <family val="2"/>
        <scheme val="minor"/>
      </font>
      <numFmt numFmtId="165" formatCode="#,##0;\-#,##0;\-"/>
      <fill>
        <patternFill patternType="solid">
          <fgColor indexed="64"/>
          <bgColor theme="0" tint="-0.499984740745262"/>
        </patternFill>
      </fill>
    </dxf>
    <dxf>
      <numFmt numFmtId="165" formatCode="#,##0;\-#,##0;\-"/>
      <border diagonalUp="0" diagonalDown="0" outline="0">
        <left style="thin">
          <color theme="1" tint="0.34998626667073579"/>
        </left>
        <right style="thin">
          <color theme="0"/>
        </right>
        <top/>
        <bottom style="thin">
          <color theme="1" tint="0.34998626667073579"/>
        </bottom>
      </border>
    </dxf>
    <dxf>
      <font>
        <b val="0"/>
        <i val="0"/>
        <strike/>
        <condense val="0"/>
        <extend val="0"/>
        <outline val="0"/>
        <shadow val="0"/>
        <u val="none"/>
        <vertAlign val="baseline"/>
        <sz val="11"/>
        <color theme="1" tint="0.24994659260841701"/>
        <name val="Calibri"/>
        <family val="2"/>
        <scheme val="minor"/>
      </font>
      <numFmt numFmtId="165" formatCode="#,##0;\-#,##0;\-"/>
      <fill>
        <patternFill patternType="solid">
          <fgColor indexed="64"/>
          <bgColor theme="0" tint="-0.499984740745262"/>
        </patternFill>
      </fill>
      <border diagonalUp="0" diagonalDown="0">
        <left style="thin">
          <color theme="1" tint="0.34998626667073579"/>
        </left>
        <top/>
        <bottom/>
        <vertical/>
        <horizontal/>
      </border>
    </dxf>
    <dxf>
      <numFmt numFmtId="165" formatCode="#,##0;\-#,##0;\-"/>
      <border diagonalUp="0" diagonalDown="0" outline="0">
        <left/>
        <right/>
        <top/>
        <bottom style="thin">
          <color theme="1" tint="0.34998626667073579"/>
        </bottom>
      </border>
    </dxf>
    <dxf>
      <font>
        <b val="0"/>
        <i val="0"/>
        <strike/>
        <condense val="0"/>
        <extend val="0"/>
        <outline val="0"/>
        <shadow val="0"/>
        <u val="none"/>
        <vertAlign val="baseline"/>
        <sz val="11"/>
        <color theme="1"/>
        <name val="Calibri"/>
        <family val="2"/>
        <scheme val="minor"/>
      </font>
      <numFmt numFmtId="165" formatCode="#,##0;\-#,##0;\-"/>
      <fill>
        <patternFill patternType="solid">
          <fgColor indexed="64"/>
          <bgColor theme="0" tint="-0.499984740745262"/>
        </patternFill>
      </fill>
      <border diagonalUp="0" diagonalDown="0">
        <left/>
        <right style="thin">
          <color theme="0"/>
        </right>
        <top/>
        <bottom/>
        <vertical/>
        <horizontal/>
      </border>
    </dxf>
    <dxf>
      <numFmt numFmtId="165" formatCode="#,##0;\-#,##0;\-"/>
      <border diagonalUp="0" diagonalDown="0" outline="0">
        <left/>
        <right/>
        <top/>
        <bottom style="thin">
          <color theme="1" tint="0.34998626667073579"/>
        </bottom>
      </border>
    </dxf>
    <dxf>
      <font>
        <b val="0"/>
        <i val="0"/>
        <strike/>
        <condense val="0"/>
        <extend val="0"/>
        <outline val="0"/>
        <shadow val="0"/>
        <u val="none"/>
        <vertAlign val="baseline"/>
        <sz val="11"/>
        <color theme="1"/>
        <name val="Calibri"/>
        <family val="2"/>
        <scheme val="minor"/>
      </font>
      <numFmt numFmtId="165" formatCode="#,##0;\-#,##0;\-"/>
      <fill>
        <patternFill patternType="solid">
          <fgColor indexed="64"/>
          <bgColor theme="0" tint="-0.499984740745262"/>
        </patternFill>
      </fill>
    </dxf>
    <dxf>
      <numFmt numFmtId="165" formatCode="#,##0;\-#,##0;\-"/>
      <border diagonalUp="0" diagonalDown="0" outline="0">
        <left style="thin">
          <color theme="1" tint="0.34998626667073579"/>
        </left>
        <right/>
        <top/>
        <bottom style="thin">
          <color theme="1" tint="0.34998626667073579"/>
        </bottom>
      </border>
    </dxf>
    <dxf>
      <font>
        <strike/>
      </font>
      <numFmt numFmtId="165" formatCode="#,##0;\-#,##0;\-"/>
      <fill>
        <patternFill patternType="solid">
          <fgColor indexed="64"/>
          <bgColor theme="0" tint="-0.499984740745262"/>
        </patternFill>
      </fill>
      <border diagonalUp="0" diagonalDown="0">
        <left style="thin">
          <color theme="1" tint="0.34998626667073579"/>
        </left>
        <right/>
        <top/>
        <bottom/>
        <vertical/>
        <horizontal/>
      </border>
    </dxf>
    <dxf>
      <numFmt numFmtId="0" formatCode="Genera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rgb="FF000000"/>
          <bgColor auto="1"/>
        </patternFill>
      </fill>
    </dxf>
    <dxf>
      <font>
        <b val="0"/>
        <i val="0"/>
        <strike val="0"/>
        <condense val="0"/>
        <extend val="0"/>
        <outline val="0"/>
        <shadow val="0"/>
        <u val="none"/>
        <vertAlign val="baseline"/>
        <sz val="11"/>
        <color theme="0" tint="-0.249977111117893"/>
        <name val="Calibri"/>
        <family val="2"/>
        <scheme val="minor"/>
      </font>
      <fill>
        <patternFill patternType="none">
          <fgColor indexed="64"/>
          <bgColor indexed="65"/>
        </patternFill>
      </fill>
      <alignment horizontal="left" vertical="top" textRotation="0" wrapText="0" indent="0" justifyLastLine="0" shrinkToFit="0" readingOrder="0"/>
      <border diagonalUp="0" diagonalDown="0" outline="0">
        <left style="thin">
          <color auto="1"/>
        </left>
        <right style="thin">
          <color auto="1"/>
        </right>
        <top/>
        <bottom/>
      </border>
    </dxf>
    <dxf>
      <numFmt numFmtId="165" formatCode="#,##0;\-#,##0;\-"/>
      <border diagonalUp="0" diagonalDown="0" outline="0">
        <left/>
        <right style="thin">
          <color theme="1" tint="0.34998626667073579"/>
        </right>
        <top/>
        <bottom/>
      </border>
    </dxf>
    <dxf>
      <font>
        <b val="0"/>
        <i val="0"/>
        <strike val="0"/>
        <condense val="0"/>
        <extend val="0"/>
        <outline val="0"/>
        <shadow val="0"/>
        <u val="none"/>
        <vertAlign val="baseline"/>
        <sz val="11"/>
        <color theme="1" tint="0.249977111117893"/>
        <name val="Calibri"/>
        <family val="2"/>
        <scheme val="minor"/>
      </font>
      <numFmt numFmtId="165" formatCode="#,##0;\-#,##0;\-"/>
      <fill>
        <patternFill patternType="none">
          <fgColor rgb="FF000000"/>
          <bgColor auto="1"/>
        </patternFill>
      </fill>
      <alignment horizontal="right" vertical="bottom" textRotation="0" wrapText="0" indent="0" justifyLastLine="0" shrinkToFit="0" readingOrder="0"/>
      <border diagonalUp="0" diagonalDown="0">
        <left/>
        <right style="thin">
          <color theme="1" tint="0.34998626667073579"/>
        </right>
        <top/>
        <bottom/>
        <vertical/>
        <horizontal/>
      </border>
    </dxf>
    <dxf>
      <numFmt numFmtId="165" formatCode="#,##0;\-#,##0;\-"/>
    </dxf>
    <dxf>
      <font>
        <b val="0"/>
        <i val="0"/>
        <strike val="0"/>
        <condense val="0"/>
        <extend val="0"/>
        <outline val="0"/>
        <shadow val="0"/>
        <u val="none"/>
        <vertAlign val="baseline"/>
        <sz val="11"/>
        <color theme="1" tint="0.249977111117893"/>
        <name val="Calibri"/>
        <family val="2"/>
        <scheme val="minor"/>
      </font>
      <numFmt numFmtId="165" formatCode="#,##0;\-#,##0;\-"/>
      <fill>
        <patternFill patternType="none">
          <fgColor rgb="FF000000"/>
          <bgColor auto="1"/>
        </patternFill>
      </fill>
      <alignment horizontal="right" vertical="bottom" textRotation="0" wrapText="0" indent="0" justifyLastLine="0" shrinkToFit="0" readingOrder="0"/>
    </dxf>
    <dxf>
      <numFmt numFmtId="165" formatCode="#,##0;\-#,##0;\-"/>
    </dxf>
    <dxf>
      <font>
        <b val="0"/>
        <i val="0"/>
        <strike val="0"/>
        <condense val="0"/>
        <extend val="0"/>
        <outline val="0"/>
        <shadow val="0"/>
        <u val="none"/>
        <vertAlign val="baseline"/>
        <sz val="11"/>
        <color theme="1" tint="0.249977111117893"/>
        <name val="Calibri"/>
        <family val="2"/>
        <scheme val="minor"/>
      </font>
      <numFmt numFmtId="165" formatCode="#,##0;\-#,##0;\-"/>
      <fill>
        <patternFill patternType="none">
          <fgColor rgb="FF000000"/>
          <bgColor auto="1"/>
        </patternFill>
      </fill>
      <alignment horizontal="right" vertical="bottom" textRotation="0" wrapText="0" indent="0" justifyLastLine="0" shrinkToFit="0" readingOrder="0"/>
    </dxf>
    <dxf>
      <numFmt numFmtId="165" formatCode="#,##0;\-#,##0;\-"/>
    </dxf>
    <dxf>
      <font>
        <b val="0"/>
        <i val="0"/>
        <strike val="0"/>
        <condense val="0"/>
        <extend val="0"/>
        <outline val="0"/>
        <shadow val="0"/>
        <u val="none"/>
        <vertAlign val="baseline"/>
        <sz val="11"/>
        <color theme="1" tint="0.249977111117893"/>
        <name val="Calibri"/>
        <family val="2"/>
        <scheme val="minor"/>
      </font>
      <numFmt numFmtId="165" formatCode="#,##0;\-#,##0;\-"/>
      <fill>
        <patternFill patternType="solid">
          <fgColor indexed="64"/>
          <bgColor theme="2" tint="-0.249977111117893"/>
        </patternFill>
      </fill>
      <alignment horizontal="right" vertical="bottom" textRotation="0" wrapText="0" indent="0" justifyLastLine="0" shrinkToFit="0" readingOrder="0"/>
    </dxf>
    <dxf>
      <numFmt numFmtId="165" formatCode="#,##0;\-#,##0;\-"/>
      <border diagonalUp="0" diagonalDown="0" outline="0">
        <left style="thin">
          <color theme="1" tint="0.34998626667073579"/>
        </left>
        <right/>
        <top/>
        <bottom/>
      </border>
    </dxf>
    <dxf>
      <font>
        <b val="0"/>
        <i val="0"/>
        <strike val="0"/>
        <condense val="0"/>
        <extend val="0"/>
        <outline val="0"/>
        <shadow val="0"/>
        <u val="none"/>
        <vertAlign val="baseline"/>
        <sz val="11"/>
        <color theme="1" tint="0.249977111117893"/>
        <name val="Calibri"/>
        <family val="2"/>
        <scheme val="minor"/>
      </font>
      <numFmt numFmtId="165" formatCode="#,##0;\-#,##0;\-"/>
      <fill>
        <patternFill patternType="none">
          <fgColor rgb="FF000000"/>
          <bgColor auto="1"/>
        </patternFill>
      </fill>
      <alignment horizontal="right" vertical="bottom" textRotation="0" wrapText="0" indent="0" justifyLastLine="0" shrinkToFit="0" readingOrder="0"/>
    </dxf>
    <dxf>
      <numFmt numFmtId="165" formatCode="#,##0;\-#,##0;\-"/>
      <border diagonalUp="0" diagonalDown="0" outline="0">
        <left/>
        <right style="thin">
          <color theme="1" tint="0.34998626667073579"/>
        </right>
        <top/>
        <bottom/>
      </border>
    </dxf>
    <dxf>
      <font>
        <b val="0"/>
        <i val="0"/>
        <strike val="0"/>
        <condense val="0"/>
        <extend val="0"/>
        <outline val="0"/>
        <shadow val="0"/>
        <u val="none"/>
        <vertAlign val="baseline"/>
        <sz val="11"/>
        <color theme="1" tint="0.249977111117893"/>
        <name val="Calibri"/>
        <family val="2"/>
        <scheme val="minor"/>
      </font>
      <numFmt numFmtId="165" formatCode="#,##0;\-#,##0;\-"/>
      <fill>
        <patternFill patternType="none">
          <fgColor rgb="FF000000"/>
          <bgColor auto="1"/>
        </patternFill>
      </fill>
      <alignment horizontal="right" vertical="bottom" textRotation="0" wrapText="0" indent="0" justifyLastLine="0" shrinkToFit="0" readingOrder="0"/>
      <border diagonalUp="0" diagonalDown="0" outline="0">
        <left/>
        <right style="thin">
          <color theme="1" tint="0.34998626667073579"/>
        </right>
        <top/>
        <bottom/>
      </border>
    </dxf>
    <dxf>
      <numFmt numFmtId="165" formatCode="#,##0;\-#,##0;\-"/>
    </dxf>
    <dxf>
      <font>
        <b val="0"/>
        <i val="0"/>
        <strike val="0"/>
        <condense val="0"/>
        <extend val="0"/>
        <outline val="0"/>
        <shadow val="0"/>
        <u val="none"/>
        <vertAlign val="baseline"/>
        <sz val="11"/>
        <color theme="1" tint="0.249977111117893"/>
        <name val="Calibri"/>
        <family val="2"/>
        <scheme val="minor"/>
      </font>
      <numFmt numFmtId="165" formatCode="#,##0;\-#,##0;\-"/>
      <fill>
        <patternFill patternType="none">
          <fgColor rgb="FF000000"/>
          <bgColor auto="1"/>
        </patternFill>
      </fill>
      <alignment horizontal="right" vertical="bottom" textRotation="0" wrapText="0" indent="0" justifyLastLine="0" shrinkToFit="0" readingOrder="0"/>
    </dxf>
    <dxf>
      <numFmt numFmtId="165" formatCode="#,##0;\-#,##0;\-"/>
    </dxf>
    <dxf>
      <font>
        <b val="0"/>
        <i val="0"/>
        <strike val="0"/>
        <condense val="0"/>
        <extend val="0"/>
        <outline val="0"/>
        <shadow val="0"/>
        <u val="none"/>
        <vertAlign val="baseline"/>
        <sz val="11"/>
        <color theme="1" tint="0.249977111117893"/>
        <name val="Calibri"/>
        <family val="2"/>
        <scheme val="minor"/>
      </font>
      <numFmt numFmtId="165" formatCode="#,##0;\-#,##0;\-"/>
      <fill>
        <patternFill patternType="none">
          <fgColor rgb="FF000000"/>
          <bgColor auto="1"/>
        </patternFill>
      </fill>
      <alignment horizontal="right" vertical="bottom" textRotation="0" wrapText="0" indent="0" justifyLastLine="0" shrinkToFit="0" readingOrder="0"/>
    </dxf>
    <dxf>
      <numFmt numFmtId="165" formatCode="#,##0;\-#,##0;\-"/>
    </dxf>
    <dxf>
      <font>
        <b val="0"/>
        <i val="0"/>
        <strike val="0"/>
        <condense val="0"/>
        <extend val="0"/>
        <outline val="0"/>
        <shadow val="0"/>
        <u val="none"/>
        <vertAlign val="baseline"/>
        <sz val="11"/>
        <color theme="1" tint="0.249977111117893"/>
        <name val="Calibri"/>
        <family val="2"/>
        <scheme val="minor"/>
      </font>
      <numFmt numFmtId="165" formatCode="#,##0;\-#,##0;\-"/>
      <fill>
        <patternFill patternType="none">
          <fgColor rgb="FF000000"/>
          <bgColor auto="1"/>
        </patternFill>
      </fill>
      <alignment horizontal="right" vertical="bottom" textRotation="0" wrapText="0" indent="0" justifyLastLine="0" shrinkToFit="0" readingOrder="0"/>
    </dxf>
    <dxf>
      <numFmt numFmtId="165" formatCode="#,##0;\-#,##0;\-"/>
      <border diagonalUp="0" diagonalDown="0" outline="0">
        <left style="thin">
          <color theme="1" tint="0.34998626667073579"/>
        </left>
        <right/>
        <top/>
        <bottom/>
      </border>
    </dxf>
    <dxf>
      <font>
        <b val="0"/>
        <i val="0"/>
        <strike val="0"/>
        <condense val="0"/>
        <extend val="0"/>
        <outline val="0"/>
        <shadow val="0"/>
        <u val="none"/>
        <vertAlign val="baseline"/>
        <sz val="11"/>
        <color theme="1" tint="0.249977111117893"/>
        <name val="Calibri"/>
        <family val="2"/>
        <scheme val="minor"/>
      </font>
      <numFmt numFmtId="165" formatCode="#,##0;\-#,##0;\-"/>
      <fill>
        <patternFill patternType="none">
          <fgColor rgb="FF000000"/>
          <bgColor auto="1"/>
        </patternFill>
      </fill>
      <alignment horizontal="right" vertical="bottom" textRotation="0" wrapText="0" indent="0" justifyLastLine="0" shrinkToFit="0" readingOrder="0"/>
      <border diagonalUp="0" diagonalDown="0">
        <left style="thin">
          <color theme="1" tint="0.34998626667073579"/>
        </left>
        <right/>
        <top/>
        <bottom/>
      </border>
    </dxf>
    <dxf>
      <border diagonalUp="0" diagonalDown="0" outline="0">
        <left/>
        <right/>
        <top/>
        <bottom style="thin">
          <color theme="1" tint="0.34998626667073579"/>
        </bottom>
      </border>
    </dxf>
    <dxf>
      <font>
        <b val="0"/>
        <i val="0"/>
        <strike val="0"/>
        <condense val="0"/>
        <extend val="0"/>
        <outline val="0"/>
        <shadow val="0"/>
        <u val="none"/>
        <vertAlign val="baseline"/>
        <sz val="11"/>
        <color theme="1" tint="0.249977111117893"/>
        <name val="Calibri"/>
        <family val="2"/>
        <scheme val="minor"/>
      </font>
      <numFmt numFmtId="165" formatCode="#,##0;\-#,##0;\-"/>
      <fill>
        <patternFill patternType="none">
          <fgColor indexed="64"/>
          <bgColor auto="1"/>
        </patternFill>
      </fill>
      <alignment horizontal="right" vertical="bottom" textRotation="0" wrapText="0" indent="0" justifyLastLine="0" shrinkToFit="0" readingOrder="0"/>
    </dxf>
    <dxf>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77111117893"/>
        <name val="Calibri"/>
        <family val="2"/>
        <scheme val="minor"/>
      </font>
      <numFmt numFmtId="165" formatCode="#,##0;\-#,##0;\-"/>
      <fill>
        <patternFill patternType="none">
          <fgColor indexed="64"/>
          <bgColor auto="1"/>
        </patternFill>
      </fill>
      <alignment horizontal="right" vertical="bottom" textRotation="0" wrapText="0" indent="0" justifyLastLine="0" shrinkToFit="0" readingOrder="0"/>
    </dxf>
    <dxf>
      <fill>
        <patternFill patternType="none">
          <fgColor indexed="64"/>
          <bgColor auto="1"/>
        </patternFill>
      </fill>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77111117893"/>
        <name val="Calibri"/>
        <family val="2"/>
        <scheme val="minor"/>
      </font>
      <numFmt numFmtId="165" formatCode="#,##0;\-#,##0;\-"/>
      <fill>
        <patternFill patternType="none">
          <fgColor indexed="64"/>
          <bgColor auto="1"/>
        </patternFill>
      </fill>
      <alignment horizontal="right" vertical="bottom" textRotation="0" wrapText="0" indent="0" justifyLastLine="0" shrinkToFit="0" readingOrder="0"/>
    </dxf>
    <dxf>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77111117893"/>
        <name val="Calibri"/>
        <family val="2"/>
        <scheme val="minor"/>
      </font>
      <numFmt numFmtId="165" formatCode="#,##0;\-#,##0;\-"/>
      <fill>
        <patternFill patternType="none">
          <fgColor indexed="64"/>
          <bgColor auto="1"/>
        </patternFill>
      </fill>
      <alignment horizontal="right" vertical="bottom" textRotation="0" wrapText="0" indent="0" justifyLastLine="0" shrinkToFit="0" readingOrder="0"/>
    </dxf>
    <dxf>
      <border diagonalUp="0" diagonalDown="0" outline="0">
        <left style="thin">
          <color indexed="64"/>
        </left>
        <right style="thin">
          <color theme="0"/>
        </right>
        <top/>
        <bottom style="thin">
          <color theme="1" tint="0.34998626667073579"/>
        </bottom>
      </border>
    </dxf>
    <dxf>
      <font>
        <b val="0"/>
        <i val="0"/>
        <strike val="0"/>
        <condense val="0"/>
        <extend val="0"/>
        <outline val="0"/>
        <shadow val="0"/>
        <u val="none"/>
        <vertAlign val="baseline"/>
        <sz val="11"/>
        <color theme="1" tint="0.249977111117893"/>
        <name val="Calibri"/>
        <family val="2"/>
        <scheme val="minor"/>
      </font>
      <numFmt numFmtId="165" formatCode="#,##0;\-#,##0;\-"/>
      <fill>
        <patternFill patternType="none">
          <fgColor indexed="64"/>
          <bgColor auto="1"/>
        </patternFill>
      </fill>
      <alignment horizontal="right" vertical="bottom" textRotation="0" wrapText="0" indent="0" justifyLastLine="0" shrinkToFit="0" readingOrder="0"/>
      <border diagonalUp="0" diagonalDown="0" outline="0">
        <left style="thin">
          <color indexed="64"/>
        </left>
        <top/>
        <bottom/>
      </border>
    </dxf>
    <dxf>
      <numFmt numFmtId="165" formatCode="#,##0;\-#,##0;\-"/>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77111117893"/>
        <name val="Calibri"/>
        <family val="2"/>
        <scheme val="minor"/>
      </font>
      <numFmt numFmtId="165" formatCode="#,##0;\-#,##0;\-"/>
      <fill>
        <patternFill patternType="none">
          <fgColor indexed="64"/>
          <bgColor auto="1"/>
        </patternFill>
      </fill>
      <alignment horizontal="right" vertical="bottom" textRotation="0" wrapText="0" indent="0" justifyLastLine="0" shrinkToFit="0" readingOrder="0"/>
    </dxf>
    <dxf>
      <numFmt numFmtId="165" formatCode="#,##0;\-#,##0;\-"/>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77111117893"/>
        <name val="Calibri"/>
        <family val="2"/>
        <scheme val="minor"/>
      </font>
      <numFmt numFmtId="165" formatCode="#,##0;\-#,##0;\-"/>
      <fill>
        <patternFill patternType="solid">
          <fgColor indexed="64"/>
          <bgColor theme="2" tint="-0.249977111117893"/>
        </patternFill>
      </fill>
      <alignment horizontal="right" vertical="bottom" textRotation="0" wrapText="0" indent="0" justifyLastLine="0" shrinkToFit="0" readingOrder="0"/>
    </dxf>
    <dxf>
      <numFmt numFmtId="165" formatCode="#,##0;\-#,##0;\-"/>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77111117893"/>
        <name val="Calibri"/>
        <family val="2"/>
        <scheme val="minor"/>
      </font>
      <numFmt numFmtId="165" formatCode="#,##0;\-#,##0;\-"/>
      <fill>
        <patternFill patternType="solid">
          <fgColor indexed="64"/>
          <bgColor theme="2" tint="-0.249977111117893"/>
        </patternFill>
      </fill>
      <alignment horizontal="right" vertical="bottom" textRotation="0" wrapText="0" indent="0" justifyLastLine="0" shrinkToFit="0" readingOrder="0"/>
    </dxf>
    <dxf>
      <numFmt numFmtId="165" formatCode="#,##0;\-#,##0;\-"/>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77111117893"/>
        <name val="Calibri"/>
        <family val="2"/>
        <scheme val="minor"/>
      </font>
      <numFmt numFmtId="165" formatCode="#,##0;\-#,##0;\-"/>
      <fill>
        <patternFill patternType="none">
          <fgColor indexed="64"/>
          <bgColor auto="1"/>
        </patternFill>
      </fill>
      <alignment horizontal="right" vertical="bottom" textRotation="0" wrapText="0" indent="0" justifyLastLine="0" shrinkToFit="0" readingOrder="0"/>
    </dxf>
    <dxf>
      <numFmt numFmtId="165" formatCode="#,##0;\-#,##0;\-"/>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77111117893"/>
        <name val="Calibri"/>
        <family val="2"/>
        <scheme val="minor"/>
      </font>
      <numFmt numFmtId="165" formatCode="#,##0;\-#,##0;\-"/>
      <fill>
        <patternFill patternType="none">
          <fgColor indexed="64"/>
          <bgColor auto="1"/>
        </patternFill>
      </fill>
      <alignment horizontal="right" vertical="bottom" textRotation="0" wrapText="0" indent="0" justifyLastLine="0" shrinkToFit="0" readingOrder="0"/>
    </dxf>
    <dxf>
      <numFmt numFmtId="165" formatCode="#,##0;\-#,##0;\-"/>
      <border diagonalUp="0" diagonalDown="0" outline="0">
        <left style="thin">
          <color theme="1" tint="0.34998626667073579"/>
        </left>
        <right style="thin">
          <color theme="0"/>
        </right>
        <top/>
        <bottom style="thin">
          <color theme="1" tint="0.34998626667073579"/>
        </bottom>
      </border>
    </dxf>
    <dxf>
      <font>
        <b val="0"/>
        <i val="0"/>
        <strike val="0"/>
        <condense val="0"/>
        <extend val="0"/>
        <outline val="0"/>
        <shadow val="0"/>
        <u val="none"/>
        <vertAlign val="baseline"/>
        <sz val="11"/>
        <color theme="1" tint="0.249977111117893"/>
        <name val="Calibri"/>
        <family val="2"/>
        <scheme val="minor"/>
      </font>
      <numFmt numFmtId="165" formatCode="#,##0;\-#,##0;\-"/>
      <fill>
        <patternFill patternType="solid">
          <fgColor indexed="64"/>
          <bgColor theme="2" tint="-0.249977111117893"/>
        </patternFill>
      </fill>
      <alignment horizontal="right" vertical="bottom" textRotation="0" wrapText="0" indent="0" justifyLastLine="0" shrinkToFit="0" readingOrder="0"/>
      <border diagonalUp="0" diagonalDown="0" outline="0">
        <left style="thin">
          <color theme="1" tint="0.34998626667073579"/>
        </left>
        <right/>
        <top/>
        <bottom/>
      </border>
    </dxf>
    <dxf>
      <numFmt numFmtId="165" formatCode="#,##0;\-#,##0;\-"/>
      <border diagonalUp="0" diagonalDown="0" outline="0">
        <left/>
        <right/>
        <top/>
        <bottom style="thin">
          <color theme="1" tint="0.34998626667073579"/>
        </bottom>
      </border>
    </dxf>
    <dxf>
      <font>
        <b val="0"/>
        <i val="0"/>
        <strike val="0"/>
        <condense val="0"/>
        <extend val="0"/>
        <outline val="0"/>
        <shadow val="0"/>
        <u val="none"/>
        <vertAlign val="baseline"/>
        <sz val="11"/>
        <color theme="1" tint="0.249977111117893"/>
        <name val="Calibri"/>
        <family val="2"/>
        <scheme val="minor"/>
      </font>
      <numFmt numFmtId="165" formatCode="#,##0;\-#,##0;\-"/>
      <fill>
        <patternFill patternType="none">
          <fgColor indexed="64"/>
          <bgColor auto="1"/>
        </patternFill>
      </fill>
      <alignment horizontal="right" vertical="bottom" textRotation="0" wrapText="0" indent="0" justifyLastLine="0" shrinkToFit="0" readingOrder="0"/>
      <border diagonalUp="0" diagonalDown="0" outline="0">
        <left/>
        <right style="thin">
          <color indexed="64"/>
        </right>
        <top/>
        <bottom/>
      </border>
    </dxf>
    <dxf>
      <numFmt numFmtId="165" formatCode="#,##0;\-#,##0;\-"/>
      <border diagonalUp="0" diagonalDown="0" outline="0">
        <left/>
        <right/>
        <top/>
        <bottom style="thin">
          <color theme="1" tint="0.34998626667073579"/>
        </bottom>
      </border>
    </dxf>
    <dxf>
      <numFmt numFmtId="165" formatCode="#,##0;\-#,##0;\-"/>
      <alignment horizontal="right" vertical="bottom" textRotation="0" wrapText="0" indent="0" justifyLastLine="0" shrinkToFit="0" readingOrder="0"/>
    </dxf>
    <dxf>
      <numFmt numFmtId="165" formatCode="#,##0;\-#,##0;\-"/>
      <border diagonalUp="0" diagonalDown="0" outline="0">
        <left/>
        <right/>
        <top/>
        <bottom style="thin">
          <color theme="1" tint="0.34998626667073579"/>
        </bottom>
      </border>
    </dxf>
    <dxf>
      <numFmt numFmtId="165" formatCode="#,##0;\-#,##0;\-"/>
      <alignment horizontal="right" vertical="bottom" textRotation="0" wrapText="0" indent="0" justifyLastLine="0" shrinkToFit="0" readingOrder="0"/>
    </dxf>
    <dxf>
      <numFmt numFmtId="165" formatCode="#,##0;\-#,##0;\-"/>
      <border diagonalUp="0" diagonalDown="0" outline="0">
        <left/>
        <right/>
        <top/>
        <bottom style="thin">
          <color theme="1" tint="0.34998626667073579"/>
        </bottom>
      </border>
    </dxf>
    <dxf>
      <numFmt numFmtId="165" formatCode="#,##0;\-#,##0;\-"/>
      <alignment horizontal="right" vertical="bottom" textRotation="0" wrapText="0" indent="0" justifyLastLine="0" shrinkToFit="0" readingOrder="0"/>
    </dxf>
    <dxf>
      <numFmt numFmtId="165" formatCode="#,##0;\-#,##0;\-"/>
      <border diagonalUp="0" diagonalDown="0" outline="0">
        <left/>
        <right/>
        <top/>
        <bottom style="thin">
          <color theme="1" tint="0.34998626667073579"/>
        </bottom>
      </border>
    </dxf>
    <dxf>
      <font>
        <b val="0"/>
        <i val="0"/>
        <strike val="0"/>
        <condense val="0"/>
        <extend val="0"/>
        <outline val="0"/>
        <shadow val="0"/>
        <u val="none"/>
        <vertAlign val="baseline"/>
        <sz val="11"/>
        <color theme="1" tint="0.249977111117893"/>
        <name val="Calibri"/>
        <family val="2"/>
        <scheme val="minor"/>
      </font>
      <numFmt numFmtId="165" formatCode="#,##0;\-#,##0;\-"/>
      <fill>
        <patternFill patternType="none">
          <fgColor indexed="64"/>
          <bgColor auto="1"/>
        </patternFill>
      </fill>
      <alignment horizontal="right" vertical="bottom" textRotation="0" wrapText="0" indent="0" justifyLastLine="0" shrinkToFit="0" readingOrder="0"/>
    </dxf>
    <dxf>
      <numFmt numFmtId="165" formatCode="#,##0;\-#,##0;\-"/>
      <border diagonalUp="0" diagonalDown="0" outline="0">
        <left style="thin">
          <color theme="1" tint="0.34998626667073579"/>
        </left>
        <right/>
        <top/>
        <bottom style="thin">
          <color theme="1" tint="0.34998626667073579"/>
        </bottom>
      </border>
    </dxf>
    <dxf>
      <font>
        <b val="0"/>
        <i val="0"/>
        <strike val="0"/>
        <outline val="0"/>
        <shadow val="0"/>
        <u val="none"/>
        <vertAlign val="baseline"/>
        <sz val="11"/>
        <color theme="1" tint="0.249977111117893"/>
        <name val="Calibri"/>
        <family val="2"/>
        <scheme val="minor"/>
      </font>
      <numFmt numFmtId="165" formatCode="#,##0;\-#,##0;\-"/>
      <fill>
        <patternFill patternType="none">
          <fgColor indexed="64"/>
          <bgColor auto="1"/>
        </patternFill>
      </fill>
      <alignment horizontal="right" vertical="bottom" textRotation="0" wrapText="0" indent="0" justifyLastLine="0" shrinkToFit="0" readingOrder="0"/>
      <border diagonalUp="0" diagonalDown="0" outline="0">
        <left style="thin">
          <color theme="1" tint="0.34998626667073579"/>
        </left>
        <right/>
        <top/>
        <bottom/>
      </border>
    </dxf>
    <dxf>
      <numFmt numFmtId="165" formatCode="#,##0;\-#,##0;\-"/>
    </dxf>
    <dxf>
      <numFmt numFmtId="165" formatCode="#,##0;\-#,##0;\-"/>
    </dxf>
    <dxf>
      <numFmt numFmtId="0" formatCode="Genera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rgb="FF000000"/>
          <bgColor auto="1"/>
        </patternFill>
      </fill>
    </dxf>
    <dxf>
      <font>
        <b val="0"/>
        <i val="0"/>
        <strike val="0"/>
        <condense val="0"/>
        <extend val="0"/>
        <outline val="0"/>
        <shadow val="0"/>
        <u val="none"/>
        <vertAlign val="baseline"/>
        <sz val="11"/>
        <color theme="0" tint="-0.249977111117893"/>
        <name val="Calibri"/>
        <family val="2"/>
        <scheme val="minor"/>
      </font>
      <fill>
        <patternFill patternType="none">
          <fgColor indexed="64"/>
          <bgColor indexed="65"/>
        </patternFill>
      </fill>
      <alignment horizontal="left" vertical="top" textRotation="0" wrapText="0" indent="0" justifyLastLine="0" shrinkToFit="0" readingOrder="0"/>
      <border diagonalUp="0" diagonalDown="0" outline="0">
        <left style="thin">
          <color auto="1"/>
        </left>
        <right style="thin">
          <color auto="1"/>
        </right>
        <top/>
        <bottom/>
      </border>
    </dxf>
    <dxf>
      <numFmt numFmtId="165" formatCode="#,##0;\-#,##0;\-"/>
      <border diagonalUp="0" diagonalDown="0" outline="0">
        <left/>
        <right style="thin">
          <color theme="1" tint="0.34998626667073579"/>
        </right>
        <top/>
        <bottom/>
      </border>
    </dxf>
    <dxf>
      <font>
        <b val="0"/>
        <i val="0"/>
        <strike val="0"/>
        <condense val="0"/>
        <extend val="0"/>
        <outline val="0"/>
        <shadow val="0"/>
        <u val="none"/>
        <vertAlign val="baseline"/>
        <sz val="11"/>
        <color theme="1" tint="0.249977111117893"/>
        <name val="Calibri"/>
        <family val="2"/>
        <scheme val="minor"/>
      </font>
      <numFmt numFmtId="165" formatCode="#,##0;\-#,##0;\-"/>
      <fill>
        <patternFill patternType="none">
          <fgColor rgb="FF000000"/>
          <bgColor auto="1"/>
        </patternFill>
      </fill>
      <alignment horizontal="right" vertical="bottom" textRotation="0" wrapText="0" indent="0" justifyLastLine="0" shrinkToFit="0" readingOrder="0"/>
      <border diagonalUp="0" diagonalDown="0">
        <left/>
        <right style="thin">
          <color theme="1" tint="0.34998626667073579"/>
        </right>
        <top/>
        <bottom/>
        <vertical/>
        <horizontal/>
      </border>
    </dxf>
    <dxf>
      <numFmt numFmtId="165" formatCode="#,##0;\-#,##0;\-"/>
    </dxf>
    <dxf>
      <font>
        <b val="0"/>
        <i val="0"/>
        <strike val="0"/>
        <condense val="0"/>
        <extend val="0"/>
        <outline val="0"/>
        <shadow val="0"/>
        <u val="none"/>
        <vertAlign val="baseline"/>
        <sz val="11"/>
        <color theme="1" tint="0.249977111117893"/>
        <name val="Calibri"/>
        <family val="2"/>
        <scheme val="minor"/>
      </font>
      <numFmt numFmtId="165" formatCode="#,##0;\-#,##0;\-"/>
      <fill>
        <patternFill patternType="solid">
          <fgColor indexed="64"/>
          <bgColor theme="5" tint="0.79998168889431442"/>
        </patternFill>
      </fill>
      <alignment horizontal="right" vertical="bottom" textRotation="0" wrapText="0" indent="0" justifyLastLine="0" shrinkToFit="0" readingOrder="0"/>
    </dxf>
    <dxf>
      <numFmt numFmtId="165" formatCode="#,##0;\-#,##0;\-"/>
    </dxf>
    <dxf>
      <font>
        <b val="0"/>
        <i val="0"/>
        <strike val="0"/>
        <condense val="0"/>
        <extend val="0"/>
        <outline val="0"/>
        <shadow val="0"/>
        <u val="none"/>
        <vertAlign val="baseline"/>
        <sz val="11"/>
        <color theme="1" tint="0.249977111117893"/>
        <name val="Calibri"/>
        <family val="2"/>
        <scheme val="minor"/>
      </font>
      <numFmt numFmtId="165" formatCode="#,##0;\-#,##0;\-"/>
      <fill>
        <patternFill patternType="none">
          <fgColor rgb="FF000000"/>
          <bgColor auto="1"/>
        </patternFill>
      </fill>
      <alignment horizontal="right" vertical="bottom" textRotation="0" wrapText="0" indent="0" justifyLastLine="0" shrinkToFit="0" readingOrder="0"/>
    </dxf>
    <dxf>
      <numFmt numFmtId="165" formatCode="#,##0;\-#,##0;\-"/>
    </dxf>
    <dxf>
      <font>
        <b val="0"/>
        <i val="0"/>
        <strike val="0"/>
        <condense val="0"/>
        <extend val="0"/>
        <outline val="0"/>
        <shadow val="0"/>
        <u val="none"/>
        <vertAlign val="baseline"/>
        <sz val="11"/>
        <color theme="1" tint="0.249977111117893"/>
        <name val="Calibri"/>
        <family val="2"/>
        <scheme val="minor"/>
      </font>
      <numFmt numFmtId="165" formatCode="#,##0;\-#,##0;\-"/>
      <fill>
        <patternFill patternType="solid">
          <fgColor indexed="64"/>
          <bgColor theme="2" tint="-0.249977111117893"/>
        </patternFill>
      </fill>
      <alignment horizontal="right" vertical="bottom" textRotation="0" wrapText="0" indent="0" justifyLastLine="0" shrinkToFit="0" readingOrder="0"/>
    </dxf>
    <dxf>
      <numFmt numFmtId="165" formatCode="#,##0;\-#,##0;\-"/>
      <border diagonalUp="0" diagonalDown="0" outline="0">
        <left style="thin">
          <color theme="1" tint="0.34998626667073579"/>
        </left>
        <right/>
        <top/>
        <bottom/>
      </border>
    </dxf>
    <dxf>
      <font>
        <b val="0"/>
        <i val="0"/>
        <strike val="0"/>
        <condense val="0"/>
        <extend val="0"/>
        <outline val="0"/>
        <shadow val="0"/>
        <u val="none"/>
        <vertAlign val="baseline"/>
        <sz val="11"/>
        <color theme="1" tint="0.249977111117893"/>
        <name val="Calibri"/>
        <family val="2"/>
        <scheme val="minor"/>
      </font>
      <numFmt numFmtId="165" formatCode="#,##0;\-#,##0;\-"/>
      <fill>
        <patternFill patternType="none">
          <fgColor rgb="FF000000"/>
          <bgColor auto="1"/>
        </patternFill>
      </fill>
      <alignment horizontal="right" vertical="bottom" textRotation="0" wrapText="0" indent="0" justifyLastLine="0" shrinkToFit="0" readingOrder="0"/>
    </dxf>
    <dxf>
      <numFmt numFmtId="165" formatCode="#,##0;\-#,##0;\-"/>
      <border diagonalUp="0" diagonalDown="0" outline="0">
        <left/>
        <right style="thin">
          <color theme="1" tint="0.34998626667073579"/>
        </right>
        <top/>
        <bottom/>
      </border>
    </dxf>
    <dxf>
      <font>
        <b val="0"/>
        <i val="0"/>
        <strike val="0"/>
        <condense val="0"/>
        <extend val="0"/>
        <outline val="0"/>
        <shadow val="0"/>
        <u val="none"/>
        <vertAlign val="baseline"/>
        <sz val="11"/>
        <color theme="1" tint="0.249977111117893"/>
        <name val="Calibri"/>
        <family val="2"/>
        <scheme val="minor"/>
      </font>
      <numFmt numFmtId="165" formatCode="#,##0;\-#,##0;\-"/>
      <fill>
        <patternFill patternType="none">
          <fgColor rgb="FF000000"/>
          <bgColor auto="1"/>
        </patternFill>
      </fill>
      <alignment horizontal="right" vertical="bottom" textRotation="0" wrapText="0" indent="0" justifyLastLine="0" shrinkToFit="0" readingOrder="0"/>
      <border diagonalUp="0" diagonalDown="0" outline="0">
        <left/>
        <right style="thin">
          <color theme="1" tint="0.34998626667073579"/>
        </right>
        <top/>
        <bottom/>
      </border>
    </dxf>
    <dxf>
      <numFmt numFmtId="165" formatCode="#,##0;\-#,##0;\-"/>
    </dxf>
    <dxf>
      <font>
        <b val="0"/>
        <i val="0"/>
        <strike val="0"/>
        <condense val="0"/>
        <extend val="0"/>
        <outline val="0"/>
        <shadow val="0"/>
        <u val="none"/>
        <vertAlign val="baseline"/>
        <sz val="11"/>
        <color theme="1" tint="0.249977111117893"/>
        <name val="Calibri"/>
        <family val="2"/>
        <scheme val="minor"/>
      </font>
      <numFmt numFmtId="165" formatCode="#,##0;\-#,##0;\-"/>
      <fill>
        <patternFill patternType="none">
          <fgColor rgb="FF000000"/>
          <bgColor auto="1"/>
        </patternFill>
      </fill>
      <alignment horizontal="right" vertical="bottom" textRotation="0" wrapText="0" indent="0" justifyLastLine="0" shrinkToFit="0" readingOrder="0"/>
    </dxf>
    <dxf>
      <numFmt numFmtId="165" formatCode="#,##0;\-#,##0;\-"/>
    </dxf>
    <dxf>
      <font>
        <b val="0"/>
        <i val="0"/>
        <strike val="0"/>
        <condense val="0"/>
        <extend val="0"/>
        <outline val="0"/>
        <shadow val="0"/>
        <u val="none"/>
        <vertAlign val="baseline"/>
        <sz val="11"/>
        <color theme="1" tint="0.249977111117893"/>
        <name val="Calibri"/>
        <family val="2"/>
        <scheme val="minor"/>
      </font>
      <numFmt numFmtId="165" formatCode="#,##0;\-#,##0;\-"/>
      <fill>
        <patternFill patternType="none">
          <fgColor rgb="FF000000"/>
          <bgColor auto="1"/>
        </patternFill>
      </fill>
      <alignment horizontal="right" vertical="bottom" textRotation="0" wrapText="0" indent="0" justifyLastLine="0" shrinkToFit="0" readingOrder="0"/>
    </dxf>
    <dxf>
      <numFmt numFmtId="165" formatCode="#,##0;\-#,##0;\-"/>
    </dxf>
    <dxf>
      <font>
        <b val="0"/>
        <i val="0"/>
        <strike val="0"/>
        <condense val="0"/>
        <extend val="0"/>
        <outline val="0"/>
        <shadow val="0"/>
        <u val="none"/>
        <vertAlign val="baseline"/>
        <sz val="11"/>
        <color theme="1" tint="0.249977111117893"/>
        <name val="Calibri"/>
        <family val="2"/>
        <scheme val="minor"/>
      </font>
      <numFmt numFmtId="165" formatCode="#,##0;\-#,##0;\-"/>
      <fill>
        <patternFill patternType="none">
          <fgColor rgb="FF000000"/>
          <bgColor auto="1"/>
        </patternFill>
      </fill>
      <alignment horizontal="right" vertical="bottom" textRotation="0" wrapText="0" indent="0" justifyLastLine="0" shrinkToFit="0" readingOrder="0"/>
    </dxf>
    <dxf>
      <numFmt numFmtId="165" formatCode="#,##0;\-#,##0;\-"/>
      <border diagonalUp="0" diagonalDown="0" outline="0">
        <left style="thin">
          <color theme="1" tint="0.34998626667073579"/>
        </left>
        <right/>
        <top/>
        <bottom/>
      </border>
    </dxf>
    <dxf>
      <font>
        <b val="0"/>
        <i val="0"/>
        <strike val="0"/>
        <condense val="0"/>
        <extend val="0"/>
        <outline val="0"/>
        <shadow val="0"/>
        <u val="none"/>
        <vertAlign val="baseline"/>
        <sz val="11"/>
        <color theme="1" tint="0.249977111117893"/>
        <name val="Calibri"/>
        <family val="2"/>
        <scheme val="minor"/>
      </font>
      <numFmt numFmtId="165" formatCode="#,##0;\-#,##0;\-"/>
      <fill>
        <patternFill patternType="none">
          <fgColor rgb="FF000000"/>
          <bgColor auto="1"/>
        </patternFill>
      </fill>
      <alignment horizontal="right" vertical="bottom" textRotation="0" wrapText="0" indent="0" justifyLastLine="0" shrinkToFit="0" readingOrder="0"/>
      <border diagonalUp="0" diagonalDown="0">
        <left style="thin">
          <color theme="1" tint="0.34998626667073579"/>
        </left>
        <right/>
        <top/>
        <bottom/>
      </border>
    </dxf>
    <dxf>
      <border diagonalUp="0" diagonalDown="0" outline="0">
        <left/>
        <right/>
        <top/>
        <bottom style="thin">
          <color theme="1" tint="0.34998626667073579"/>
        </bottom>
      </border>
    </dxf>
    <dxf>
      <font>
        <b val="0"/>
        <i val="0"/>
        <strike val="0"/>
        <condense val="0"/>
        <extend val="0"/>
        <outline val="0"/>
        <shadow val="0"/>
        <u val="none"/>
        <vertAlign val="baseline"/>
        <sz val="11"/>
        <color theme="1" tint="0.249977111117893"/>
        <name val="Calibri"/>
        <family val="2"/>
        <scheme val="minor"/>
      </font>
      <numFmt numFmtId="165" formatCode="#,##0;\-#,##0;\-"/>
      <fill>
        <patternFill patternType="none">
          <fgColor indexed="64"/>
          <bgColor auto="1"/>
        </patternFill>
      </fill>
      <alignment horizontal="right" vertical="bottom" textRotation="0" wrapText="0" indent="0" justifyLastLine="0" shrinkToFit="0" readingOrder="0"/>
    </dxf>
    <dxf>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77111117893"/>
        <name val="Calibri"/>
        <family val="2"/>
        <scheme val="minor"/>
      </font>
      <numFmt numFmtId="165" formatCode="#,##0;\-#,##0;\-"/>
      <fill>
        <patternFill patternType="none">
          <fgColor indexed="64"/>
          <bgColor auto="1"/>
        </patternFill>
      </fill>
      <alignment horizontal="right" vertical="bottom" textRotation="0" wrapText="0" indent="0" justifyLastLine="0" shrinkToFit="0" readingOrder="0"/>
    </dxf>
    <dxf>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77111117893"/>
        <name val="Calibri"/>
        <family val="2"/>
        <scheme val="minor"/>
      </font>
      <numFmt numFmtId="165" formatCode="#,##0;\-#,##0;\-"/>
      <fill>
        <patternFill patternType="none">
          <fgColor indexed="64"/>
          <bgColor auto="1"/>
        </patternFill>
      </fill>
      <alignment horizontal="right" vertical="bottom" textRotation="0" wrapText="0" indent="0" justifyLastLine="0" shrinkToFit="0" readingOrder="0"/>
    </dxf>
    <dxf>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77111117893"/>
        <name val="Calibri"/>
        <family val="2"/>
        <scheme val="minor"/>
      </font>
      <numFmt numFmtId="165" formatCode="#,##0;\-#,##0;\-"/>
      <fill>
        <patternFill patternType="none">
          <fgColor indexed="64"/>
          <bgColor auto="1"/>
        </patternFill>
      </fill>
      <alignment horizontal="right" vertical="bottom" textRotation="0" wrapText="0" indent="0" justifyLastLine="0" shrinkToFit="0" readingOrder="0"/>
    </dxf>
    <dxf>
      <border diagonalUp="0" diagonalDown="0" outline="0">
        <left style="thin">
          <color indexed="64"/>
        </left>
        <right style="thin">
          <color theme="0"/>
        </right>
        <top/>
        <bottom style="thin">
          <color theme="1" tint="0.34998626667073579"/>
        </bottom>
      </border>
    </dxf>
    <dxf>
      <font>
        <b val="0"/>
        <i val="0"/>
        <strike val="0"/>
        <condense val="0"/>
        <extend val="0"/>
        <outline val="0"/>
        <shadow val="0"/>
        <u val="none"/>
        <vertAlign val="baseline"/>
        <sz val="11"/>
        <color theme="1" tint="0.249977111117893"/>
        <name val="Calibri"/>
        <family val="2"/>
        <scheme val="minor"/>
      </font>
      <numFmt numFmtId="165" formatCode="#,##0;\-#,##0;\-"/>
      <fill>
        <patternFill patternType="none">
          <fgColor indexed="64"/>
          <bgColor auto="1"/>
        </patternFill>
      </fill>
      <alignment horizontal="right" vertical="bottom" textRotation="0" wrapText="0" indent="0" justifyLastLine="0" shrinkToFit="0" readingOrder="0"/>
      <border diagonalUp="0" diagonalDown="0" outline="0">
        <left style="thin">
          <color indexed="64"/>
        </left>
        <top/>
        <bottom/>
      </border>
    </dxf>
    <dxf>
      <numFmt numFmtId="165" formatCode="#,##0;\-#,##0;\-"/>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77111117893"/>
        <name val="Calibri"/>
        <family val="2"/>
        <scheme val="minor"/>
      </font>
      <numFmt numFmtId="165" formatCode="#,##0;\-#,##0;\-"/>
      <fill>
        <patternFill patternType="none">
          <fgColor indexed="64"/>
          <bgColor auto="1"/>
        </patternFill>
      </fill>
      <alignment horizontal="right" vertical="bottom" textRotation="0" wrapText="0" indent="0" justifyLastLine="0" shrinkToFit="0" readingOrder="0"/>
    </dxf>
    <dxf>
      <numFmt numFmtId="165" formatCode="#,##0;\-#,##0;\-"/>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77111117893"/>
        <name val="Calibri"/>
        <family val="2"/>
        <scheme val="minor"/>
      </font>
      <numFmt numFmtId="165" formatCode="#,##0;\-#,##0;\-"/>
      <fill>
        <patternFill patternType="solid">
          <fgColor indexed="64"/>
          <bgColor theme="2" tint="-0.249977111117893"/>
        </patternFill>
      </fill>
      <alignment horizontal="right" vertical="bottom" textRotation="0" wrapText="0" indent="0" justifyLastLine="0" shrinkToFit="0" readingOrder="0"/>
    </dxf>
    <dxf>
      <numFmt numFmtId="165" formatCode="#,##0;\-#,##0;\-"/>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77111117893"/>
        <name val="Calibri"/>
        <family val="2"/>
        <scheme val="minor"/>
      </font>
      <numFmt numFmtId="165" formatCode="#,##0;\-#,##0;\-"/>
      <fill>
        <patternFill patternType="none">
          <fgColor indexed="64"/>
          <bgColor auto="1"/>
        </patternFill>
      </fill>
      <alignment horizontal="right" vertical="bottom" textRotation="0" wrapText="0" indent="0" justifyLastLine="0" shrinkToFit="0" readingOrder="0"/>
    </dxf>
    <dxf>
      <numFmt numFmtId="165" formatCode="#,##0;\-#,##0;\-"/>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77111117893"/>
        <name val="Calibri"/>
        <family val="2"/>
        <scheme val="minor"/>
      </font>
      <numFmt numFmtId="165" formatCode="#,##0;\-#,##0;\-"/>
      <fill>
        <patternFill patternType="none">
          <fgColor indexed="64"/>
          <bgColor auto="1"/>
        </patternFill>
      </fill>
      <alignment horizontal="right" vertical="bottom" textRotation="0" wrapText="0" indent="0" justifyLastLine="0" shrinkToFit="0" readingOrder="0"/>
    </dxf>
    <dxf>
      <numFmt numFmtId="165" formatCode="#,##0;\-#,##0;\-"/>
      <border diagonalUp="0" diagonalDown="0" outline="0">
        <left style="thin">
          <color theme="1" tint="0.34998626667073579"/>
        </left>
        <right style="thin">
          <color theme="0"/>
        </right>
        <top/>
        <bottom style="thin">
          <color theme="1" tint="0.34998626667073579"/>
        </bottom>
      </border>
    </dxf>
    <dxf>
      <font>
        <b val="0"/>
        <i val="0"/>
        <strike val="0"/>
        <condense val="0"/>
        <extend val="0"/>
        <outline val="0"/>
        <shadow val="0"/>
        <u val="none"/>
        <vertAlign val="baseline"/>
        <sz val="11"/>
        <color theme="1" tint="0.249977111117893"/>
        <name val="Calibri"/>
        <family val="2"/>
        <scheme val="minor"/>
      </font>
      <numFmt numFmtId="165" formatCode="#,##0;\-#,##0;\-"/>
      <fill>
        <patternFill patternType="solid">
          <fgColor indexed="64"/>
          <bgColor theme="2" tint="-0.249977111117893"/>
        </patternFill>
      </fill>
      <alignment horizontal="right" vertical="bottom" textRotation="0" wrapText="0" indent="0" justifyLastLine="0" shrinkToFit="0" readingOrder="0"/>
      <border diagonalUp="0" diagonalDown="0" outline="0">
        <left style="thin">
          <color theme="1" tint="0.34998626667073579"/>
        </left>
        <right/>
        <top/>
        <bottom/>
      </border>
    </dxf>
    <dxf>
      <numFmt numFmtId="165" formatCode="#,##0;\-#,##0;\-"/>
      <border diagonalUp="0" diagonalDown="0" outline="0">
        <left/>
        <right/>
        <top/>
        <bottom style="thin">
          <color theme="1" tint="0.34998626667073579"/>
        </bottom>
      </border>
    </dxf>
    <dxf>
      <font>
        <b val="0"/>
        <i val="0"/>
        <strike val="0"/>
        <condense val="0"/>
        <extend val="0"/>
        <outline val="0"/>
        <shadow val="0"/>
        <u val="none"/>
        <vertAlign val="baseline"/>
        <sz val="11"/>
        <color theme="1" tint="0.249977111117893"/>
        <name val="Calibri"/>
        <family val="2"/>
        <scheme val="minor"/>
      </font>
      <numFmt numFmtId="165" formatCode="#,##0;\-#,##0;\-"/>
      <fill>
        <patternFill patternType="none">
          <fgColor indexed="64"/>
          <bgColor auto="1"/>
        </patternFill>
      </fill>
      <alignment horizontal="right" vertical="bottom" textRotation="0" wrapText="0" indent="0" justifyLastLine="0" shrinkToFit="0" readingOrder="0"/>
      <border diagonalUp="0" diagonalDown="0" outline="0">
        <left/>
        <right style="thin">
          <color indexed="64"/>
        </right>
        <top/>
        <bottom/>
      </border>
    </dxf>
    <dxf>
      <numFmt numFmtId="165" formatCode="#,##0;\-#,##0;\-"/>
      <border diagonalUp="0" diagonalDown="0" outline="0">
        <left/>
        <right/>
        <top/>
        <bottom style="thin">
          <color theme="1" tint="0.34998626667073579"/>
        </bottom>
      </border>
    </dxf>
    <dxf>
      <numFmt numFmtId="165" formatCode="#,##0;\-#,##0;\-"/>
      <alignment horizontal="right" vertical="bottom" textRotation="0" wrapText="0" indent="0" justifyLastLine="0" shrinkToFit="0" readingOrder="0"/>
    </dxf>
    <dxf>
      <numFmt numFmtId="165" formatCode="#,##0;\-#,##0;\-"/>
      <border diagonalUp="0" diagonalDown="0" outline="0">
        <left/>
        <right/>
        <top/>
        <bottom style="thin">
          <color theme="1" tint="0.34998626667073579"/>
        </bottom>
      </border>
    </dxf>
    <dxf>
      <numFmt numFmtId="165" formatCode="#,##0;\-#,##0;\-"/>
      <alignment horizontal="right" vertical="bottom" textRotation="0" wrapText="0" indent="0" justifyLastLine="0" shrinkToFit="0" readingOrder="0"/>
    </dxf>
    <dxf>
      <numFmt numFmtId="165" formatCode="#,##0;\-#,##0;\-"/>
      <border diagonalUp="0" diagonalDown="0" outline="0">
        <left/>
        <right/>
        <top/>
        <bottom style="thin">
          <color theme="1" tint="0.34998626667073579"/>
        </bottom>
      </border>
    </dxf>
    <dxf>
      <font>
        <b val="0"/>
        <i val="0"/>
        <strike val="0"/>
        <condense val="0"/>
        <extend val="0"/>
        <outline val="0"/>
        <shadow val="0"/>
        <u val="none"/>
        <vertAlign val="baseline"/>
        <sz val="11"/>
        <color theme="1" tint="0.249977111117893"/>
        <name val="Calibri"/>
        <family val="2"/>
        <scheme val="minor"/>
      </font>
      <numFmt numFmtId="165" formatCode="#,##0;\-#,##0;\-"/>
      <fill>
        <patternFill patternType="none">
          <fgColor indexed="64"/>
          <bgColor auto="1"/>
        </patternFill>
      </fill>
      <alignment horizontal="right" vertical="bottom" textRotation="0" wrapText="0" indent="0" justifyLastLine="0" shrinkToFit="0" readingOrder="0"/>
    </dxf>
    <dxf>
      <numFmt numFmtId="165" formatCode="#,##0;\-#,##0;\-"/>
      <border diagonalUp="0" diagonalDown="0" outline="0">
        <left style="thin">
          <color theme="1" tint="0.34998626667073579"/>
        </left>
        <right/>
        <top/>
        <bottom style="thin">
          <color theme="1" tint="0.34998626667073579"/>
        </bottom>
      </border>
    </dxf>
    <dxf>
      <font>
        <b val="0"/>
        <i val="0"/>
        <strike val="0"/>
        <outline val="0"/>
        <shadow val="0"/>
        <u val="none"/>
        <vertAlign val="baseline"/>
        <sz val="11"/>
        <color theme="1" tint="0.249977111117893"/>
        <name val="Calibri"/>
        <family val="2"/>
        <scheme val="minor"/>
      </font>
      <numFmt numFmtId="165" formatCode="#,##0;\-#,##0;\-"/>
      <fill>
        <patternFill patternType="none">
          <fgColor indexed="64"/>
          <bgColor auto="1"/>
        </patternFill>
      </fill>
      <alignment horizontal="right" vertical="bottom" textRotation="0" wrapText="0" indent="0" justifyLastLine="0" shrinkToFit="0" readingOrder="0"/>
      <border diagonalUp="0" diagonalDown="0" outline="0">
        <left style="thin">
          <color theme="1" tint="0.34998626667073579"/>
        </left>
        <right/>
        <top/>
        <bottom/>
      </border>
    </dxf>
    <dxf>
      <numFmt numFmtId="165" formatCode="#,##0;\-#,##0;\-"/>
    </dxf>
    <dxf>
      <numFmt numFmtId="165" formatCode="#,##0;\-#,##0;\-"/>
    </dxf>
    <dxf>
      <numFmt numFmtId="0" formatCode="Genera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rgb="FF000000"/>
          <bgColor auto="1"/>
        </patternFill>
      </fill>
    </dxf>
    <dxf>
      <font>
        <b val="0"/>
        <i val="0"/>
        <strike val="0"/>
        <condense val="0"/>
        <extend val="0"/>
        <outline val="0"/>
        <shadow val="0"/>
        <u val="none"/>
        <vertAlign val="baseline"/>
        <sz val="11"/>
        <color theme="0" tint="-0.249977111117893"/>
        <name val="Calibri"/>
        <family val="2"/>
        <scheme val="minor"/>
      </font>
      <fill>
        <patternFill patternType="none">
          <fgColor indexed="64"/>
          <bgColor indexed="65"/>
        </patternFill>
      </fill>
      <alignment horizontal="left" vertical="top" textRotation="0" wrapText="0" indent="0" justifyLastLine="0" shrinkToFit="0" readingOrder="0"/>
      <border diagonalUp="0" diagonalDown="0" outline="0">
        <left style="thin">
          <color auto="1"/>
        </left>
        <right style="thin">
          <color auto="1"/>
        </right>
        <top/>
        <bottom/>
      </border>
    </dxf>
    <dxf>
      <numFmt numFmtId="165" formatCode="#,##0;\-#,##0;\-"/>
      <border diagonalUp="0" diagonalDown="0" outline="0">
        <left/>
        <right style="thin">
          <color theme="1" tint="0.34998626667073579"/>
        </right>
        <top/>
        <bottom/>
      </border>
    </dxf>
    <dxf>
      <font>
        <b val="0"/>
        <i val="0"/>
        <strike val="0"/>
        <condense val="0"/>
        <extend val="0"/>
        <outline val="0"/>
        <shadow val="0"/>
        <u val="none"/>
        <vertAlign val="baseline"/>
        <sz val="11"/>
        <color theme="1" tint="0.249977111117893"/>
        <name val="Calibri"/>
        <family val="2"/>
        <scheme val="minor"/>
      </font>
      <numFmt numFmtId="165" formatCode="#,##0;\-#,##0;\-"/>
      <fill>
        <patternFill patternType="none">
          <fgColor indexed="64"/>
          <bgColor indexed="65"/>
        </patternFill>
      </fill>
      <alignment horizontal="right" vertical="bottom" textRotation="0" wrapText="0" indent="0" justifyLastLine="0" shrinkToFit="0" readingOrder="0"/>
      <border diagonalUp="0" diagonalDown="0">
        <left/>
        <right style="thin">
          <color theme="1" tint="0.34998626667073579"/>
        </right>
        <top/>
        <bottom/>
        <vertical/>
        <horizontal/>
      </border>
    </dxf>
    <dxf>
      <numFmt numFmtId="165" formatCode="#,##0;\-#,##0;\-"/>
    </dxf>
    <dxf>
      <font>
        <b val="0"/>
        <i val="0"/>
        <strike val="0"/>
        <condense val="0"/>
        <extend val="0"/>
        <outline val="0"/>
        <shadow val="0"/>
        <u val="none"/>
        <vertAlign val="baseline"/>
        <sz val="11"/>
        <color theme="1" tint="0.249977111117893"/>
        <name val="Calibri"/>
        <family val="2"/>
        <scheme val="minor"/>
      </font>
      <numFmt numFmtId="165" formatCode="#,##0;\-#,##0;\-"/>
      <fill>
        <patternFill patternType="solid">
          <fgColor indexed="64"/>
          <bgColor theme="5" tint="0.79998168889431442"/>
        </patternFill>
      </fill>
      <alignment horizontal="right" vertical="bottom" textRotation="0" wrapText="0" indent="0" justifyLastLine="0" shrinkToFit="0" readingOrder="0"/>
    </dxf>
    <dxf>
      <numFmt numFmtId="165" formatCode="#,##0;\-#,##0;\-"/>
    </dxf>
    <dxf>
      <font>
        <b val="0"/>
        <i val="0"/>
        <strike val="0"/>
        <condense val="0"/>
        <extend val="0"/>
        <outline val="0"/>
        <shadow val="0"/>
        <u val="none"/>
        <vertAlign val="baseline"/>
        <sz val="11"/>
        <color theme="1" tint="0.249977111117893"/>
        <name val="Calibri"/>
        <family val="2"/>
        <scheme val="minor"/>
      </font>
      <numFmt numFmtId="165" formatCode="#,##0;\-#,##0;\-"/>
      <fill>
        <patternFill patternType="none">
          <fgColor indexed="64"/>
          <bgColor indexed="65"/>
        </patternFill>
      </fill>
      <alignment horizontal="right" vertical="bottom" textRotation="0" wrapText="0" indent="0" justifyLastLine="0" shrinkToFit="0" readingOrder="0"/>
    </dxf>
    <dxf>
      <numFmt numFmtId="165" formatCode="#,##0;\-#,##0;\-"/>
    </dxf>
    <dxf>
      <font>
        <b val="0"/>
        <i val="0"/>
        <strike val="0"/>
        <condense val="0"/>
        <extend val="0"/>
        <outline val="0"/>
        <shadow val="0"/>
        <u val="none"/>
        <vertAlign val="baseline"/>
        <sz val="11"/>
        <color theme="1" tint="0.249977111117893"/>
        <name val="Calibri"/>
        <family val="2"/>
        <scheme val="minor"/>
      </font>
      <numFmt numFmtId="165" formatCode="#,##0;\-#,##0;\-"/>
      <fill>
        <patternFill patternType="solid">
          <fgColor indexed="64"/>
          <bgColor theme="2" tint="-0.249977111117893"/>
        </patternFill>
      </fill>
      <alignment horizontal="right" vertical="bottom" textRotation="0" wrapText="0" indent="0" justifyLastLine="0" shrinkToFit="0" readingOrder="0"/>
    </dxf>
    <dxf>
      <numFmt numFmtId="165" formatCode="#,##0;\-#,##0;\-"/>
      <border diagonalUp="0" diagonalDown="0" outline="0">
        <left style="thin">
          <color theme="1" tint="0.34998626667073579"/>
        </left>
        <right/>
        <top/>
        <bottom/>
      </border>
    </dxf>
    <dxf>
      <font>
        <b val="0"/>
        <i val="0"/>
        <strike val="0"/>
        <condense val="0"/>
        <extend val="0"/>
        <outline val="0"/>
        <shadow val="0"/>
        <u val="none"/>
        <vertAlign val="baseline"/>
        <sz val="11"/>
        <color theme="1" tint="0.249977111117893"/>
        <name val="Calibri"/>
        <family val="2"/>
        <scheme val="minor"/>
      </font>
      <numFmt numFmtId="165" formatCode="#,##0;\-#,##0;\-"/>
      <fill>
        <patternFill patternType="none">
          <fgColor indexed="64"/>
          <bgColor indexed="65"/>
        </patternFill>
      </fill>
      <alignment horizontal="right" vertical="bottom" textRotation="0" wrapText="0" indent="0" justifyLastLine="0" shrinkToFit="0" readingOrder="0"/>
    </dxf>
    <dxf>
      <numFmt numFmtId="165" formatCode="#,##0;\-#,##0;\-"/>
      <border diagonalUp="0" diagonalDown="0" outline="0">
        <left/>
        <right style="thin">
          <color theme="1" tint="0.34998626667073579"/>
        </right>
        <top/>
        <bottom/>
      </border>
    </dxf>
    <dxf>
      <font>
        <b val="0"/>
        <i val="0"/>
        <strike val="0"/>
        <condense val="0"/>
        <extend val="0"/>
        <outline val="0"/>
        <shadow val="0"/>
        <u val="none"/>
        <vertAlign val="baseline"/>
        <sz val="11"/>
        <color theme="1" tint="0.249977111117893"/>
        <name val="Calibri"/>
        <family val="2"/>
        <scheme val="minor"/>
      </font>
      <numFmt numFmtId="165" formatCode="#,##0;\-#,##0;\-"/>
      <fill>
        <patternFill patternType="none">
          <fgColor rgb="FF000000"/>
          <bgColor auto="1"/>
        </patternFill>
      </fill>
      <alignment horizontal="right" vertical="bottom" textRotation="0" wrapText="0" indent="0" justifyLastLine="0" shrinkToFit="0" readingOrder="0"/>
      <border diagonalUp="0" diagonalDown="0">
        <left/>
        <right style="thin">
          <color theme="1" tint="0.34998626667073579"/>
        </right>
        <top/>
        <bottom/>
      </border>
    </dxf>
    <dxf>
      <numFmt numFmtId="165" formatCode="#,##0;\-#,##0;\-"/>
    </dxf>
    <dxf>
      <font>
        <b val="0"/>
        <i val="0"/>
        <strike val="0"/>
        <condense val="0"/>
        <extend val="0"/>
        <outline val="0"/>
        <shadow val="0"/>
        <u val="none"/>
        <vertAlign val="baseline"/>
        <sz val="11"/>
        <color theme="1" tint="0.249977111117893"/>
        <name val="Calibri"/>
        <family val="2"/>
        <scheme val="minor"/>
      </font>
      <numFmt numFmtId="165" formatCode="#,##0;\-#,##0;\-"/>
      <fill>
        <patternFill patternType="none">
          <fgColor rgb="FF000000"/>
          <bgColor auto="1"/>
        </patternFill>
      </fill>
      <alignment horizontal="right" vertical="bottom" textRotation="0" wrapText="0" indent="0" justifyLastLine="0" shrinkToFit="0" readingOrder="0"/>
    </dxf>
    <dxf>
      <numFmt numFmtId="165" formatCode="#,##0;\-#,##0;\-"/>
    </dxf>
    <dxf>
      <font>
        <b val="0"/>
        <i val="0"/>
        <strike val="0"/>
        <condense val="0"/>
        <extend val="0"/>
        <outline val="0"/>
        <shadow val="0"/>
        <u val="none"/>
        <vertAlign val="baseline"/>
        <sz val="11"/>
        <color theme="1" tint="0.249977111117893"/>
        <name val="Calibri"/>
        <family val="2"/>
        <scheme val="minor"/>
      </font>
      <numFmt numFmtId="165" formatCode="#,##0;\-#,##0;\-"/>
      <fill>
        <patternFill patternType="none">
          <fgColor rgb="FF000000"/>
          <bgColor auto="1"/>
        </patternFill>
      </fill>
      <alignment horizontal="right" vertical="bottom" textRotation="0" wrapText="0" indent="0" justifyLastLine="0" shrinkToFit="0" readingOrder="0"/>
    </dxf>
    <dxf>
      <numFmt numFmtId="165" formatCode="#,##0;\-#,##0;\-"/>
    </dxf>
    <dxf>
      <font>
        <b val="0"/>
        <i val="0"/>
        <strike val="0"/>
        <condense val="0"/>
        <extend val="0"/>
        <outline val="0"/>
        <shadow val="0"/>
        <u val="none"/>
        <vertAlign val="baseline"/>
        <sz val="11"/>
        <color theme="1" tint="0.249977111117893"/>
        <name val="Calibri"/>
        <family val="2"/>
        <scheme val="minor"/>
      </font>
      <numFmt numFmtId="165" formatCode="#,##0;\-#,##0;\-"/>
      <fill>
        <patternFill patternType="none">
          <fgColor rgb="FF000000"/>
          <bgColor auto="1"/>
        </patternFill>
      </fill>
      <alignment horizontal="right" vertical="bottom" textRotation="0" wrapText="0" indent="0" justifyLastLine="0" shrinkToFit="0" readingOrder="0"/>
    </dxf>
    <dxf>
      <numFmt numFmtId="165" formatCode="#,##0;\-#,##0;\-"/>
      <border diagonalUp="0" diagonalDown="0" outline="0">
        <left style="thin">
          <color theme="1" tint="0.34998626667073579"/>
        </left>
        <right/>
        <top/>
        <bottom/>
      </border>
    </dxf>
    <dxf>
      <font>
        <b val="0"/>
        <i val="0"/>
        <strike val="0"/>
        <condense val="0"/>
        <extend val="0"/>
        <outline val="0"/>
        <shadow val="0"/>
        <u val="none"/>
        <vertAlign val="baseline"/>
        <sz val="11"/>
        <color theme="1" tint="0.249977111117893"/>
        <name val="Calibri"/>
        <family val="2"/>
        <scheme val="minor"/>
      </font>
      <numFmt numFmtId="165" formatCode="#,##0;\-#,##0;\-"/>
      <fill>
        <patternFill patternType="none">
          <fgColor rgb="FF000000"/>
          <bgColor auto="1"/>
        </patternFill>
      </fill>
      <alignment horizontal="right" vertical="bottom" textRotation="0" wrapText="0" indent="0" justifyLastLine="0" shrinkToFit="0" readingOrder="0"/>
      <border diagonalUp="0" diagonalDown="0">
        <left style="thin">
          <color theme="1" tint="0.34998626667073579"/>
        </left>
        <right/>
        <top/>
        <bottom/>
      </border>
    </dxf>
    <dxf>
      <border diagonalUp="0" diagonalDown="0" outline="0">
        <left/>
        <right/>
        <top/>
        <bottom style="thin">
          <color theme="1" tint="0.34998626667073579"/>
        </bottom>
      </border>
    </dxf>
    <dxf>
      <font>
        <b val="0"/>
        <i val="0"/>
        <strike val="0"/>
        <condense val="0"/>
        <extend val="0"/>
        <outline val="0"/>
        <shadow val="0"/>
        <u val="none"/>
        <vertAlign val="baseline"/>
        <sz val="11"/>
        <color theme="1" tint="0.249977111117893"/>
        <name val="Calibri"/>
        <family val="2"/>
        <scheme val="minor"/>
      </font>
      <numFmt numFmtId="165" formatCode="#,##0;\-#,##0;\-"/>
      <fill>
        <patternFill patternType="none">
          <fgColor indexed="64"/>
          <bgColor auto="1"/>
        </patternFill>
      </fill>
      <alignment horizontal="right" vertical="bottom" textRotation="0" wrapText="0" indent="0" justifyLastLine="0" shrinkToFit="0" readingOrder="0"/>
    </dxf>
    <dxf>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77111117893"/>
        <name val="Calibri"/>
        <family val="2"/>
        <scheme val="minor"/>
      </font>
      <numFmt numFmtId="165" formatCode="#,##0;\-#,##0;\-"/>
      <fill>
        <patternFill patternType="none">
          <fgColor indexed="64"/>
          <bgColor auto="1"/>
        </patternFill>
      </fill>
      <alignment horizontal="right" vertical="bottom" textRotation="0" wrapText="0" indent="0" justifyLastLine="0" shrinkToFit="0" readingOrder="0"/>
    </dxf>
    <dxf>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77111117893"/>
        <name val="Calibri"/>
        <family val="2"/>
        <scheme val="minor"/>
      </font>
      <numFmt numFmtId="165" formatCode="#,##0;\-#,##0;\-"/>
      <fill>
        <patternFill patternType="none">
          <fgColor indexed="64"/>
          <bgColor auto="1"/>
        </patternFill>
      </fill>
      <alignment horizontal="right" vertical="bottom" textRotation="0" wrapText="0" indent="0" justifyLastLine="0" shrinkToFit="0" readingOrder="0"/>
    </dxf>
    <dxf>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77111117893"/>
        <name val="Calibri"/>
        <family val="2"/>
        <scheme val="minor"/>
      </font>
      <numFmt numFmtId="165" formatCode="#,##0;\-#,##0;\-"/>
      <fill>
        <patternFill patternType="none">
          <fgColor indexed="64"/>
          <bgColor auto="1"/>
        </patternFill>
      </fill>
      <alignment horizontal="right" vertical="bottom" textRotation="0" wrapText="0" indent="0" justifyLastLine="0" shrinkToFit="0" readingOrder="0"/>
    </dxf>
    <dxf>
      <border diagonalUp="0" diagonalDown="0" outline="0">
        <left style="thin">
          <color indexed="64"/>
        </left>
        <right style="thin">
          <color theme="0"/>
        </right>
        <top/>
        <bottom style="thin">
          <color theme="1" tint="0.34998626667073579"/>
        </bottom>
      </border>
    </dxf>
    <dxf>
      <font>
        <b val="0"/>
        <i val="0"/>
        <strike val="0"/>
        <condense val="0"/>
        <extend val="0"/>
        <outline val="0"/>
        <shadow val="0"/>
        <u val="none"/>
        <vertAlign val="baseline"/>
        <sz val="11"/>
        <color theme="1" tint="0.249977111117893"/>
        <name val="Calibri"/>
        <family val="2"/>
        <scheme val="minor"/>
      </font>
      <numFmt numFmtId="165" formatCode="#,##0;\-#,##0;\-"/>
      <fill>
        <patternFill patternType="none">
          <fgColor indexed="64"/>
          <bgColor auto="1"/>
        </patternFill>
      </fill>
      <alignment horizontal="right" vertical="bottom" textRotation="0" wrapText="0" indent="0" justifyLastLine="0" shrinkToFit="0" readingOrder="0"/>
      <border diagonalUp="0" diagonalDown="0">
        <left style="thin">
          <color indexed="64"/>
        </left>
        <top/>
        <bottom/>
      </border>
    </dxf>
    <dxf>
      <numFmt numFmtId="165" formatCode="#,##0;\-#,##0;\-"/>
      <fill>
        <patternFill patternType="solid">
          <fgColor indexed="64"/>
          <bgColor theme="0"/>
        </patternFill>
      </fill>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77111117893"/>
        <name val="Calibri"/>
        <family val="2"/>
        <scheme val="minor"/>
      </font>
      <numFmt numFmtId="165" formatCode="#,##0;\-#,##0;\-"/>
      <fill>
        <patternFill patternType="none">
          <fgColor indexed="64"/>
          <bgColor auto="1"/>
        </patternFill>
      </fill>
      <alignment horizontal="right" vertical="bottom" textRotation="0" wrapText="0" indent="0" justifyLastLine="0" shrinkToFit="0" readingOrder="0"/>
    </dxf>
    <dxf>
      <numFmt numFmtId="165" formatCode="#,##0;\-#,##0;\-"/>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77111117893"/>
        <name val="Calibri"/>
        <family val="2"/>
        <scheme val="minor"/>
      </font>
      <numFmt numFmtId="165" formatCode="#,##0;\-#,##0;\-"/>
      <fill>
        <patternFill patternType="solid">
          <fgColor indexed="64"/>
          <bgColor theme="2" tint="-0.249977111117893"/>
        </patternFill>
      </fill>
      <alignment horizontal="right" vertical="bottom" textRotation="0" wrapText="0" indent="0" justifyLastLine="0" shrinkToFit="0" readingOrder="0"/>
    </dxf>
    <dxf>
      <numFmt numFmtId="165" formatCode="#,##0;\-#,##0;\-"/>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77111117893"/>
        <name val="Calibri"/>
        <family val="2"/>
        <scheme val="minor"/>
      </font>
      <numFmt numFmtId="165" formatCode="#,##0;\-#,##0;\-"/>
      <fill>
        <patternFill patternType="solid">
          <fgColor indexed="64"/>
          <bgColor theme="2" tint="-0.249977111117893"/>
        </patternFill>
      </fill>
      <alignment horizontal="right" vertical="bottom" textRotation="0" wrapText="0" indent="0" justifyLastLine="0" shrinkToFit="0" readingOrder="0"/>
    </dxf>
    <dxf>
      <numFmt numFmtId="165" formatCode="#,##0;\-#,##0;\-"/>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77111117893"/>
        <name val="Calibri"/>
        <family val="2"/>
        <scheme val="minor"/>
      </font>
      <numFmt numFmtId="165" formatCode="#,##0;\-#,##0;\-"/>
      <fill>
        <patternFill patternType="none">
          <fgColor indexed="64"/>
          <bgColor auto="1"/>
        </patternFill>
      </fill>
      <alignment horizontal="right" vertical="bottom" textRotation="0" wrapText="0" indent="0" justifyLastLine="0" shrinkToFit="0" readingOrder="0"/>
    </dxf>
    <dxf>
      <numFmt numFmtId="165" formatCode="#,##0;\-#,##0;\-"/>
      <border diagonalUp="0" diagonalDown="0" outline="0">
        <left/>
        <right style="thin">
          <color theme="0"/>
        </right>
        <top/>
        <bottom style="thin">
          <color theme="1" tint="0.34998626667073579"/>
        </bottom>
      </border>
    </dxf>
    <dxf>
      <font>
        <b val="0"/>
        <i val="0"/>
        <strike val="0"/>
        <condense val="0"/>
        <extend val="0"/>
        <outline val="0"/>
        <shadow val="0"/>
        <u val="none"/>
        <vertAlign val="baseline"/>
        <sz val="11"/>
        <color theme="1" tint="0.249977111117893"/>
        <name val="Calibri"/>
        <family val="2"/>
        <scheme val="minor"/>
      </font>
      <numFmt numFmtId="165" formatCode="#,##0;\-#,##0;\-"/>
      <fill>
        <patternFill patternType="none">
          <fgColor indexed="64"/>
          <bgColor auto="1"/>
        </patternFill>
      </fill>
      <alignment horizontal="right" vertical="bottom" textRotation="0" wrapText="0" indent="0" justifyLastLine="0" shrinkToFit="0" readingOrder="0"/>
    </dxf>
    <dxf>
      <numFmt numFmtId="165" formatCode="#,##0;\-#,##0;\-"/>
      <border diagonalUp="0" diagonalDown="0" outline="0">
        <left style="thin">
          <color theme="1" tint="0.34998626667073579"/>
        </left>
        <right style="thin">
          <color theme="0"/>
        </right>
        <top/>
        <bottom style="thin">
          <color theme="1" tint="0.34998626667073579"/>
        </bottom>
      </border>
    </dxf>
    <dxf>
      <font>
        <b val="0"/>
        <i val="0"/>
        <strike val="0"/>
        <condense val="0"/>
        <extend val="0"/>
        <outline val="0"/>
        <shadow val="0"/>
        <u val="none"/>
        <vertAlign val="baseline"/>
        <sz val="11"/>
        <color theme="1" tint="0.249977111117893"/>
        <name val="Calibri"/>
        <family val="2"/>
        <scheme val="minor"/>
      </font>
      <numFmt numFmtId="165" formatCode="#,##0;\-#,##0;\-"/>
      <fill>
        <patternFill patternType="solid">
          <fgColor indexed="64"/>
          <bgColor theme="2" tint="-0.249977111117893"/>
        </patternFill>
      </fill>
      <alignment horizontal="right" vertical="bottom" textRotation="0" wrapText="0" indent="0" justifyLastLine="0" shrinkToFit="0" readingOrder="0"/>
      <border diagonalUp="0" diagonalDown="0">
        <left style="thin">
          <color theme="1" tint="0.34998626667073579"/>
        </left>
        <right/>
        <top/>
        <bottom/>
      </border>
    </dxf>
    <dxf>
      <numFmt numFmtId="165" formatCode="#,##0;\-#,##0;\-"/>
      <border diagonalUp="0" diagonalDown="0" outline="0">
        <left/>
        <right/>
        <top/>
        <bottom style="thin">
          <color theme="1" tint="0.34998626667073579"/>
        </bottom>
      </border>
    </dxf>
    <dxf>
      <font>
        <b val="0"/>
        <i val="0"/>
        <strike val="0"/>
        <condense val="0"/>
        <extend val="0"/>
        <outline val="0"/>
        <shadow val="0"/>
        <u val="none"/>
        <vertAlign val="baseline"/>
        <sz val="11"/>
        <color theme="1" tint="0.249977111117893"/>
        <name val="Calibri"/>
        <family val="2"/>
        <scheme val="minor"/>
      </font>
      <numFmt numFmtId="165" formatCode="#,##0;\-#,##0;\-"/>
      <fill>
        <patternFill patternType="none">
          <fgColor indexed="64"/>
          <bgColor auto="1"/>
        </patternFill>
      </fill>
      <alignment horizontal="right" vertical="bottom" textRotation="0" wrapText="0" indent="0" justifyLastLine="0" shrinkToFit="0" readingOrder="0"/>
      <border diagonalUp="0" diagonalDown="0">
        <left/>
        <right style="thin">
          <color indexed="64"/>
        </right>
        <top/>
        <bottom/>
      </border>
    </dxf>
    <dxf>
      <numFmt numFmtId="165" formatCode="#,##0;\-#,##0;\-"/>
      <border diagonalUp="0" diagonalDown="0" outline="0">
        <left/>
        <right/>
        <top/>
        <bottom style="thin">
          <color theme="1" tint="0.34998626667073579"/>
        </bottom>
      </border>
    </dxf>
    <dxf>
      <numFmt numFmtId="165" formatCode="#,##0;\-#,##0;\-"/>
      <alignment horizontal="right" vertical="bottom" textRotation="0" wrapText="0" indent="0" justifyLastLine="0" shrinkToFit="0" readingOrder="0"/>
    </dxf>
    <dxf>
      <numFmt numFmtId="165" formatCode="#,##0;\-#,##0;\-"/>
      <border diagonalUp="0" diagonalDown="0" outline="0">
        <left/>
        <right/>
        <top/>
        <bottom style="thin">
          <color theme="1" tint="0.34998626667073579"/>
        </bottom>
      </border>
    </dxf>
    <dxf>
      <numFmt numFmtId="165" formatCode="#,##0;\-#,##0;\-"/>
      <alignment horizontal="right" vertical="bottom" textRotation="0" wrapText="0" indent="0" justifyLastLine="0" shrinkToFit="0" readingOrder="0"/>
    </dxf>
    <dxf>
      <numFmt numFmtId="165" formatCode="#,##0;\-#,##0;\-"/>
      <border diagonalUp="0" diagonalDown="0" outline="0">
        <left/>
        <right/>
        <top/>
        <bottom style="thin">
          <color theme="1" tint="0.34998626667073579"/>
        </bottom>
      </border>
    </dxf>
    <dxf>
      <numFmt numFmtId="165" formatCode="#,##0;\-#,##0;\-"/>
      <alignment horizontal="right" vertical="bottom" textRotation="0" wrapText="0" indent="0" justifyLastLine="0" shrinkToFit="0" readingOrder="0"/>
    </dxf>
    <dxf>
      <numFmt numFmtId="165" formatCode="#,##0;\-#,##0;\-"/>
      <border diagonalUp="0" diagonalDown="0" outline="0">
        <left/>
        <right/>
        <top/>
        <bottom style="thin">
          <color theme="1" tint="0.34998626667073579"/>
        </bottom>
      </border>
    </dxf>
    <dxf>
      <font>
        <b val="0"/>
        <i val="0"/>
        <strike val="0"/>
        <condense val="0"/>
        <extend val="0"/>
        <outline val="0"/>
        <shadow val="0"/>
        <u val="none"/>
        <vertAlign val="baseline"/>
        <sz val="11"/>
        <color theme="1" tint="0.249977111117893"/>
        <name val="Calibri"/>
        <family val="2"/>
        <scheme val="minor"/>
      </font>
      <numFmt numFmtId="165" formatCode="#,##0;\-#,##0;\-"/>
      <fill>
        <patternFill patternType="none">
          <fgColor indexed="64"/>
          <bgColor auto="1"/>
        </patternFill>
      </fill>
      <alignment horizontal="right" vertical="bottom" textRotation="0" wrapText="0" indent="0" justifyLastLine="0" shrinkToFit="0" readingOrder="0"/>
    </dxf>
    <dxf>
      <numFmt numFmtId="165" formatCode="#,##0;\-#,##0;\-"/>
      <border diagonalUp="0" diagonalDown="0" outline="0">
        <left style="thin">
          <color theme="1" tint="0.34998626667073579"/>
        </left>
        <right/>
        <top/>
        <bottom style="thin">
          <color theme="1" tint="0.34998626667073579"/>
        </bottom>
      </border>
    </dxf>
    <dxf>
      <font>
        <b val="0"/>
        <i val="0"/>
        <strike val="0"/>
        <outline val="0"/>
        <shadow val="0"/>
        <u val="none"/>
        <vertAlign val="baseline"/>
        <sz val="11"/>
        <color theme="1" tint="0.249977111117893"/>
        <name val="Calibri"/>
        <family val="2"/>
        <scheme val="minor"/>
      </font>
      <numFmt numFmtId="165" formatCode="#,##0;\-#,##0;\-"/>
      <fill>
        <patternFill patternType="none">
          <fgColor indexed="64"/>
          <bgColor auto="1"/>
        </patternFill>
      </fill>
      <alignment horizontal="right" vertical="bottom" textRotation="0" wrapText="0" indent="0" justifyLastLine="0" shrinkToFit="0" readingOrder="0"/>
      <border diagonalUp="0" diagonalDown="0">
        <left style="thin">
          <color theme="1" tint="0.34998626667073579"/>
        </left>
        <right/>
        <top/>
        <bottom/>
      </border>
    </dxf>
    <dxf>
      <numFmt numFmtId="165" formatCode="#,##0;\-#,##0;\-"/>
    </dxf>
    <dxf>
      <numFmt numFmtId="165" formatCode="#,##0;\-#,##0;\-"/>
    </dxf>
    <dxf>
      <numFmt numFmtId="0" formatCode="Genera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rgb="FF000000"/>
          <bgColor auto="1"/>
        </patternFill>
      </fill>
    </dxf>
    <dxf>
      <font>
        <b val="0"/>
        <i val="0"/>
        <strike val="0"/>
        <condense val="0"/>
        <extend val="0"/>
        <outline val="0"/>
        <shadow val="0"/>
        <u val="none"/>
        <vertAlign val="baseline"/>
        <sz val="11"/>
        <color theme="0" tint="-0.249977111117893"/>
        <name val="Calibri"/>
        <family val="2"/>
        <scheme val="minor"/>
      </font>
      <fill>
        <patternFill patternType="none">
          <fgColor indexed="64"/>
          <bgColor indexed="65"/>
        </patternFill>
      </fill>
      <alignment horizontal="left" vertical="top"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style="thin">
          <color indexed="64"/>
        </right>
        <top/>
        <bottom style="thin">
          <color indexed="64"/>
        </bottom>
      </border>
    </dxf>
    <dxf>
      <font>
        <b val="0"/>
        <i val="0"/>
        <strike val="0"/>
        <condense val="0"/>
        <extend val="0"/>
        <outline val="0"/>
        <shadow val="0"/>
        <u val="none"/>
        <vertAlign val="baseline"/>
        <sz val="8"/>
        <color theme="1"/>
        <name val="Calibri"/>
        <family val="2"/>
        <scheme val="minor"/>
      </font>
      <numFmt numFmtId="3" formatCode="#,##0"/>
      <border diagonalUp="0" diagonalDown="0">
        <left/>
        <right style="thin">
          <color indexed="64"/>
        </right>
        <top/>
        <bottom/>
        <vertical/>
        <horizontal/>
      </border>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thin">
          <color indexed="64"/>
        </bottom>
      </border>
    </dxf>
    <dxf>
      <font>
        <b val="0"/>
        <i val="0"/>
        <strike val="0"/>
        <condense val="0"/>
        <extend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thin">
          <color indexed="64"/>
        </bottom>
      </border>
    </dxf>
    <dxf>
      <font>
        <b val="0"/>
        <i val="0"/>
        <strike val="0"/>
        <condense val="0"/>
        <extend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thin">
          <color indexed="64"/>
        </bottom>
      </border>
    </dxf>
    <dxf>
      <font>
        <b val="0"/>
        <i val="0"/>
        <strike val="0"/>
        <condense val="0"/>
        <extend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thin">
          <color indexed="64"/>
        </bottom>
      </border>
    </dxf>
    <dxf>
      <font>
        <b val="0"/>
        <i val="0"/>
        <strike val="0"/>
        <condense val="0"/>
        <extend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thin">
          <color indexed="64"/>
        </bottom>
      </border>
    </dxf>
    <dxf>
      <font>
        <b val="0"/>
        <i val="0"/>
        <strike val="0"/>
        <condense val="0"/>
        <extend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thin">
          <color indexed="64"/>
        </bottom>
      </border>
    </dxf>
    <dxf>
      <font>
        <b val="0"/>
        <i val="0"/>
        <strike val="0"/>
        <condense val="0"/>
        <extend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thin">
          <color indexed="64"/>
        </bottom>
      </border>
    </dxf>
    <dxf>
      <font>
        <b val="0"/>
        <i val="0"/>
        <strike val="0"/>
        <condense val="0"/>
        <extend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thin">
          <color indexed="64"/>
        </bottom>
      </border>
    </dxf>
    <dxf>
      <font>
        <b val="0"/>
        <i val="0"/>
        <strike val="0"/>
        <condense val="0"/>
        <extend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thin">
          <color indexed="64"/>
        </bottom>
      </border>
    </dxf>
    <dxf>
      <font>
        <b val="0"/>
        <i val="0"/>
        <strike val="0"/>
        <condense val="0"/>
        <extend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thin">
          <color indexed="64"/>
        </bottom>
      </border>
    </dxf>
    <dxf>
      <font>
        <b val="0"/>
        <i val="0"/>
        <strike val="0"/>
        <condense val="0"/>
        <extend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thin">
          <color indexed="64"/>
        </bottom>
      </border>
    </dxf>
    <dxf>
      <font>
        <b val="0"/>
        <i val="0"/>
        <strike val="0"/>
        <condense val="0"/>
        <extend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indexed="64"/>
        </left>
        <right/>
        <top/>
        <bottom style="thin">
          <color indexed="64"/>
        </bottom>
      </border>
    </dxf>
    <dxf>
      <font>
        <b val="0"/>
        <i val="0"/>
        <strike val="0"/>
        <condense val="0"/>
        <extend val="0"/>
        <outline val="0"/>
        <shadow val="0"/>
        <u val="none"/>
        <vertAlign val="baseline"/>
        <sz val="8"/>
        <color theme="1"/>
        <name val="Calibri"/>
        <family val="2"/>
        <scheme val="minor"/>
      </font>
      <numFmt numFmtId="3" formatCode="#,##0"/>
      <border diagonalUp="0" diagonalDown="0">
        <left style="thin">
          <color indexed="64"/>
        </left>
        <right/>
        <top/>
        <bottom/>
        <vertical/>
        <horizontal/>
      </border>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style="thin">
          <color indexed="64"/>
        </right>
        <top/>
        <bottom style="thin">
          <color indexed="64"/>
        </bottom>
      </border>
    </dxf>
    <dxf>
      <font>
        <strike val="0"/>
        <outline val="0"/>
        <shadow val="0"/>
        <u val="none"/>
        <vertAlign val="baseline"/>
        <sz val="8"/>
        <color theme="1"/>
        <name val="Calibri"/>
        <family val="2"/>
        <scheme val="minor"/>
      </font>
      <numFmt numFmtId="3" formatCode="#,##0"/>
      <border diagonalUp="0" diagonalDown="0">
        <right style="double">
          <color indexed="64"/>
        </right>
        <top/>
        <bottom/>
        <vertical/>
        <horizontal/>
      </border>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thin">
          <color indexed="64"/>
        </bottom>
      </border>
    </dxf>
    <dxf>
      <font>
        <strike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thin">
          <color indexed="64"/>
        </bottom>
      </border>
    </dxf>
    <dxf>
      <font>
        <b val="0"/>
        <i val="0"/>
        <strike val="0"/>
        <condense val="0"/>
        <extend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thin">
          <color indexed="64"/>
        </bottom>
      </border>
    </dxf>
    <dxf>
      <font>
        <b val="0"/>
        <i val="0"/>
        <strike val="0"/>
        <condense val="0"/>
        <extend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thin">
          <color indexed="64"/>
        </bottom>
      </border>
    </dxf>
    <dxf>
      <font>
        <strike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thin">
          <color indexed="64"/>
        </bottom>
      </border>
    </dxf>
    <dxf>
      <font>
        <strike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thin">
          <color indexed="64"/>
        </bottom>
      </border>
    </dxf>
    <dxf>
      <font>
        <strike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thin">
          <color indexed="64"/>
        </bottom>
      </border>
    </dxf>
    <dxf>
      <font>
        <strike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thin">
          <color indexed="64"/>
        </bottom>
      </border>
    </dxf>
    <dxf>
      <font>
        <strike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thin">
          <color indexed="64"/>
        </bottom>
      </border>
    </dxf>
    <dxf>
      <font>
        <strike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thin">
          <color indexed="64"/>
        </bottom>
      </border>
    </dxf>
    <dxf>
      <font>
        <strike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thin">
          <color indexed="64"/>
        </bottom>
      </border>
    </dxf>
    <dxf>
      <font>
        <strike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indexed="64"/>
        </left>
        <right/>
        <top/>
        <bottom style="thin">
          <color indexed="64"/>
        </bottom>
      </border>
    </dxf>
    <dxf>
      <font>
        <strike val="0"/>
        <outline val="0"/>
        <shadow val="0"/>
        <u val="none"/>
        <vertAlign val="baseline"/>
        <sz val="8"/>
        <color theme="1"/>
        <name val="Calibri"/>
        <family val="2"/>
        <scheme val="minor"/>
      </font>
      <numFmt numFmtId="3" formatCode="#,##0"/>
      <border diagonalUp="0" diagonalDown="0">
        <left style="thin">
          <color indexed="64"/>
        </left>
        <top/>
        <bottom/>
        <horizontal/>
      </border>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strike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b val="0"/>
        <i val="0"/>
        <strike val="0"/>
        <condense val="0"/>
        <extend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b val="0"/>
        <i val="0"/>
        <strike val="0"/>
        <condense val="0"/>
        <extend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strike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strike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strike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strike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strike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strike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strike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strike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right/>
        <top/>
        <bottom style="medium">
          <color indexed="64"/>
        </bottom>
      </border>
    </dxf>
    <dxf>
      <font>
        <strike val="0"/>
        <outline val="0"/>
        <shadow val="0"/>
        <u val="none"/>
        <vertAlign val="baseline"/>
        <sz val="8"/>
        <color theme="1"/>
        <name val="Calibri"/>
        <family val="2"/>
        <scheme val="minor"/>
      </font>
      <numFmt numFmtId="3" formatCode="#,##0"/>
      <border diagonalUp="0" diagonalDown="0">
        <left style="medium">
          <color indexed="64"/>
        </left>
      </border>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style="medium">
          <color indexed="64"/>
        </right>
        <top/>
        <bottom style="medium">
          <color indexed="64"/>
        </bottom>
      </border>
    </dxf>
    <dxf>
      <font>
        <b val="0"/>
        <i val="0"/>
        <strike val="0"/>
        <condense val="0"/>
        <extend val="0"/>
        <outline val="0"/>
        <shadow val="0"/>
        <u val="none"/>
        <vertAlign val="baseline"/>
        <sz val="8"/>
        <color theme="1"/>
        <name val="Calibri"/>
        <family val="2"/>
        <scheme val="minor"/>
      </font>
      <numFmt numFmtId="3" formatCode="#,##0"/>
      <border diagonalUp="0" diagonalDown="0">
        <left/>
        <right style="medium">
          <color indexed="64"/>
        </right>
        <top/>
        <bottom/>
        <vertical/>
        <horizontal/>
      </border>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b val="0"/>
        <i val="0"/>
        <strike val="0"/>
        <condense val="0"/>
        <extend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b val="0"/>
        <i val="0"/>
        <strike val="0"/>
        <condense val="0"/>
        <extend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b val="0"/>
        <i val="0"/>
        <strike val="0"/>
        <condense val="0"/>
        <extend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b val="0"/>
        <i val="0"/>
        <strike val="0"/>
        <condense val="0"/>
        <extend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b val="0"/>
        <i val="0"/>
        <strike val="0"/>
        <condense val="0"/>
        <extend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b val="0"/>
        <i val="0"/>
        <strike val="0"/>
        <condense val="0"/>
        <extend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b val="0"/>
        <i val="0"/>
        <strike val="0"/>
        <condense val="0"/>
        <extend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b val="0"/>
        <i val="0"/>
        <strike val="0"/>
        <condense val="0"/>
        <extend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b val="0"/>
        <i val="0"/>
        <strike val="0"/>
        <condense val="0"/>
        <extend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b val="0"/>
        <i val="0"/>
        <strike val="0"/>
        <condense val="0"/>
        <extend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b val="0"/>
        <i val="0"/>
        <strike val="0"/>
        <condense val="0"/>
        <extend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medium">
          <color indexed="64"/>
        </left>
        <right/>
        <top/>
        <bottom style="medium">
          <color indexed="64"/>
        </bottom>
      </border>
    </dxf>
    <dxf>
      <font>
        <b val="0"/>
        <i val="0"/>
        <strike val="0"/>
        <condense val="0"/>
        <extend val="0"/>
        <outline val="0"/>
        <shadow val="0"/>
        <u val="none"/>
        <vertAlign val="baseline"/>
        <sz val="8"/>
        <color theme="1"/>
        <name val="Calibri"/>
        <family val="2"/>
        <scheme val="minor"/>
      </font>
      <numFmt numFmtId="3" formatCode="#,##0"/>
      <border diagonalUp="0" diagonalDown="0">
        <left style="medium">
          <color indexed="64"/>
        </left>
        <right/>
        <top/>
        <bottom/>
        <vertical/>
        <horizontal/>
      </border>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style="medium">
          <color indexed="64"/>
        </right>
        <top/>
        <bottom style="medium">
          <color indexed="64"/>
        </bottom>
      </border>
    </dxf>
    <dxf>
      <font>
        <strike val="0"/>
        <outline val="0"/>
        <shadow val="0"/>
        <u val="none"/>
        <vertAlign val="baseline"/>
        <sz val="8"/>
        <color theme="1"/>
        <name val="Calibri"/>
        <family val="2"/>
        <scheme val="minor"/>
      </font>
      <numFmt numFmtId="3" formatCode="#,##0"/>
      <border diagonalUp="0" diagonalDown="0">
        <left/>
        <right style="double">
          <color indexed="64"/>
        </right>
        <top/>
        <bottom/>
        <vertical/>
        <horizontal/>
      </border>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strike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b val="0"/>
        <i val="0"/>
        <strike val="0"/>
        <condense val="0"/>
        <extend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b val="0"/>
        <i val="0"/>
        <strike val="0"/>
        <condense val="0"/>
        <extend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strike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strike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strike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strike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strike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strike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strike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strike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medium">
          <color indexed="64"/>
        </left>
        <right/>
        <top/>
        <bottom style="medium">
          <color indexed="64"/>
        </bottom>
      </border>
    </dxf>
    <dxf>
      <font>
        <strike val="0"/>
        <outline val="0"/>
        <shadow val="0"/>
        <u val="none"/>
        <vertAlign val="baseline"/>
        <sz val="8"/>
        <color theme="1"/>
        <name val="Calibri"/>
        <family val="2"/>
        <scheme val="minor"/>
      </font>
      <numFmt numFmtId="3" formatCode="#,##0"/>
      <border diagonalUp="0" diagonalDown="0">
        <left style="medium">
          <color indexed="64"/>
        </left>
      </border>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strike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b val="0"/>
        <i val="0"/>
        <strike val="0"/>
        <condense val="0"/>
        <extend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b val="0"/>
        <i val="0"/>
        <strike val="0"/>
        <condense val="0"/>
        <extend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strike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strike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strike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strike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strike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strike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strike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strike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right/>
        <top/>
        <bottom style="medium">
          <color indexed="64"/>
        </bottom>
      </border>
    </dxf>
    <dxf>
      <font>
        <strike val="0"/>
        <outline val="0"/>
        <shadow val="0"/>
        <u val="none"/>
        <vertAlign val="baseline"/>
        <sz val="8"/>
        <color theme="1"/>
        <name val="Calibri"/>
        <family val="2"/>
        <scheme val="minor"/>
      </font>
      <numFmt numFmtId="3" formatCode="#,##0"/>
      <border diagonalUp="0" diagonalDown="0">
        <left style="medium">
          <color indexed="64"/>
        </left>
      </border>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style="medium">
          <color indexed="64"/>
        </right>
        <top/>
        <bottom style="medium">
          <color indexed="64"/>
        </bottom>
      </border>
    </dxf>
    <dxf>
      <font>
        <b val="0"/>
        <i val="0"/>
        <strike val="0"/>
        <condense val="0"/>
        <extend val="0"/>
        <outline val="0"/>
        <shadow val="0"/>
        <u val="none"/>
        <vertAlign val="baseline"/>
        <sz val="8"/>
        <color theme="1"/>
        <name val="Calibri"/>
        <family val="2"/>
        <scheme val="minor"/>
      </font>
      <numFmt numFmtId="3" formatCode="#,##0"/>
      <border diagonalUp="0" diagonalDown="0">
        <left/>
        <right style="medium">
          <color indexed="64"/>
        </right>
        <top/>
        <bottom/>
        <vertical/>
        <horizontal/>
      </border>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b val="0"/>
        <i val="0"/>
        <strike val="0"/>
        <condense val="0"/>
        <extend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b val="0"/>
        <i val="0"/>
        <strike val="0"/>
        <condense val="0"/>
        <extend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b val="0"/>
        <i val="0"/>
        <strike val="0"/>
        <condense val="0"/>
        <extend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b val="0"/>
        <i val="0"/>
        <strike val="0"/>
        <condense val="0"/>
        <extend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b val="0"/>
        <i val="0"/>
        <strike val="0"/>
        <condense val="0"/>
        <extend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b val="0"/>
        <i val="0"/>
        <strike val="0"/>
        <condense val="0"/>
        <extend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b val="0"/>
        <i val="0"/>
        <strike val="0"/>
        <condense val="0"/>
        <extend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b val="0"/>
        <i val="0"/>
        <strike val="0"/>
        <condense val="0"/>
        <extend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b val="0"/>
        <i val="0"/>
        <strike val="0"/>
        <condense val="0"/>
        <extend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b val="0"/>
        <i val="0"/>
        <strike val="0"/>
        <condense val="0"/>
        <extend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b val="0"/>
        <i val="0"/>
        <strike val="0"/>
        <condense val="0"/>
        <extend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medium">
          <color indexed="64"/>
        </left>
        <right/>
        <top/>
        <bottom style="medium">
          <color indexed="64"/>
        </bottom>
      </border>
    </dxf>
    <dxf>
      <font>
        <b val="0"/>
        <i val="0"/>
        <strike val="0"/>
        <condense val="0"/>
        <extend val="0"/>
        <outline val="0"/>
        <shadow val="0"/>
        <u val="none"/>
        <vertAlign val="baseline"/>
        <sz val="8"/>
        <color theme="1"/>
        <name val="Calibri"/>
        <family val="2"/>
        <scheme val="minor"/>
      </font>
      <numFmt numFmtId="3" formatCode="#,##0"/>
      <border diagonalUp="0" diagonalDown="0">
        <left style="medium">
          <color indexed="64"/>
        </left>
        <right/>
        <top/>
        <bottom/>
        <vertical/>
        <horizontal/>
      </border>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style="medium">
          <color indexed="64"/>
        </right>
        <top/>
        <bottom style="medium">
          <color indexed="64"/>
        </bottom>
      </border>
    </dxf>
    <dxf>
      <font>
        <strike val="0"/>
        <outline val="0"/>
        <shadow val="0"/>
        <u val="none"/>
        <vertAlign val="baseline"/>
        <sz val="8"/>
        <color theme="1"/>
        <name val="Calibri"/>
        <family val="2"/>
        <scheme val="minor"/>
      </font>
      <numFmt numFmtId="3" formatCode="#,##0"/>
      <border diagonalUp="0" diagonalDown="0">
        <left/>
        <right style="double">
          <color indexed="64"/>
        </right>
        <top/>
        <bottom/>
        <vertical/>
        <horizontal/>
      </border>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strike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b val="0"/>
        <i val="0"/>
        <strike val="0"/>
        <condense val="0"/>
        <extend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b val="0"/>
        <i val="0"/>
        <strike val="0"/>
        <condense val="0"/>
        <extend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strike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strike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strike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strike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strike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strike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strike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strike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medium">
          <color indexed="64"/>
        </left>
        <right/>
        <top/>
        <bottom style="medium">
          <color indexed="64"/>
        </bottom>
      </border>
    </dxf>
    <dxf>
      <font>
        <strike val="0"/>
        <outline val="0"/>
        <shadow val="0"/>
        <u val="none"/>
        <vertAlign val="baseline"/>
        <sz val="8"/>
        <color theme="1"/>
        <name val="Calibri"/>
        <family val="2"/>
        <scheme val="minor"/>
      </font>
      <numFmt numFmtId="3" formatCode="#,##0"/>
      <border diagonalUp="0" diagonalDown="0">
        <left style="medium">
          <color indexed="64"/>
        </left>
        <top/>
        <bottom/>
        <horizontal/>
      </border>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strike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b val="0"/>
        <i val="0"/>
        <strike val="0"/>
        <condense val="0"/>
        <extend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b val="0"/>
        <i val="0"/>
        <strike val="0"/>
        <condense val="0"/>
        <extend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strike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strike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strike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strike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strike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strike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strike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style="thin">
          <color theme="1" tint="0.249977111117893"/>
        </left>
        <right/>
        <top/>
        <bottom style="medium">
          <color indexed="64"/>
        </bottom>
      </border>
    </dxf>
    <dxf>
      <font>
        <strike val="0"/>
        <outline val="0"/>
        <shadow val="0"/>
        <u val="none"/>
        <vertAlign val="baseline"/>
        <sz val="8"/>
        <color theme="1"/>
        <name val="Calibri"/>
        <family val="2"/>
        <scheme val="minor"/>
      </font>
      <numFmt numFmtId="3" formatCode="#,##0"/>
    </dxf>
    <dxf>
      <font>
        <b val="0"/>
        <i val="0"/>
        <strike val="0"/>
        <condense val="0"/>
        <extend val="0"/>
        <outline val="0"/>
        <shadow val="0"/>
        <u val="none"/>
        <vertAlign val="baseline"/>
        <sz val="8"/>
        <color theme="1"/>
        <name val="Calibri"/>
        <family val="2"/>
        <scheme val="minor"/>
      </font>
      <numFmt numFmtId="3" formatCode="#,##0"/>
      <border diagonalUp="0" diagonalDown="0" outline="0">
        <left/>
        <right/>
        <top/>
        <bottom style="medium">
          <color indexed="64"/>
        </bottom>
      </border>
    </dxf>
    <dxf>
      <font>
        <strike val="0"/>
        <outline val="0"/>
        <shadow val="0"/>
        <u val="none"/>
        <vertAlign val="baseline"/>
        <sz val="8"/>
        <color theme="1"/>
        <name val="Calibri"/>
        <family val="2"/>
        <scheme val="minor"/>
      </font>
      <numFmt numFmtId="3" formatCode="#,##0"/>
    </dxf>
    <dxf>
      <border diagonalUp="0" diagonalDown="0" outline="0">
        <left/>
        <right/>
        <top/>
        <bottom style="medium">
          <color indexed="64"/>
        </bottom>
      </border>
    </dxf>
    <dxf>
      <font>
        <strike val="0"/>
        <outline val="0"/>
        <shadow val="0"/>
        <u val="none"/>
        <vertAlign val="baseline"/>
        <sz val="8"/>
        <color theme="1"/>
        <name val="Calibri"/>
        <family val="2"/>
        <scheme val="minor"/>
      </font>
    </dxf>
    <dxf>
      <border diagonalUp="0" diagonalDown="0" outline="0">
        <left/>
        <right/>
        <top/>
        <bottom style="medium">
          <color indexed="64"/>
        </bottom>
      </border>
    </dxf>
    <dxf>
      <font>
        <strike val="0"/>
        <outline val="0"/>
        <shadow val="0"/>
        <u val="none"/>
        <vertAlign val="baseline"/>
        <sz val="8"/>
        <color theme="1"/>
        <name val="Calibri"/>
        <family val="2"/>
        <scheme val="minor"/>
      </font>
    </dxf>
    <dxf>
      <border diagonalUp="0" diagonalDown="0" outline="0">
        <left/>
        <right/>
        <top/>
        <bottom style="medium">
          <color indexed="64"/>
        </bottom>
      </border>
    </dxf>
    <dxf>
      <font>
        <strike val="0"/>
        <outline val="0"/>
        <shadow val="0"/>
        <u val="none"/>
        <vertAlign val="baseline"/>
        <sz val="8"/>
        <color theme="1"/>
        <name val="Calibri"/>
        <family val="2"/>
        <scheme val="minor"/>
      </font>
    </dxf>
    <dxf>
      <font>
        <b val="0"/>
        <i val="0"/>
        <strike val="0"/>
        <condense val="0"/>
        <extend val="0"/>
        <outline val="0"/>
        <shadow val="0"/>
        <u val="none"/>
        <vertAlign val="baseline"/>
        <sz val="11"/>
        <color theme="0" tint="-0.249977111117893"/>
        <name val="Calibri"/>
        <family val="2"/>
        <scheme val="minor"/>
      </font>
      <alignment horizontal="left" vertical="top" textRotation="0" wrapText="0" indent="0" justifyLastLine="0" shrinkToFit="0" readingOrder="0"/>
    </dxf>
    <dxf>
      <numFmt numFmtId="166" formatCode="&quot;$&quot;#,##0"/>
    </dxf>
    <dxf>
      <numFmt numFmtId="3" formatCode="#,##0"/>
    </dxf>
    <dxf>
      <numFmt numFmtId="3" formatCode="#,##0"/>
    </dxf>
    <dxf>
      <numFmt numFmtId="3" formatCode="#,##0"/>
    </dxf>
    <dxf>
      <numFmt numFmtId="166" formatCode="&quot;$&quot;#,##0"/>
    </dxf>
    <dxf>
      <numFmt numFmtId="3" formatCode="#,##0"/>
    </dxf>
    <dxf>
      <numFmt numFmtId="3" formatCode="#,##0"/>
    </dxf>
    <dxf>
      <numFmt numFmtId="3" formatCode="#,##0"/>
    </dxf>
    <dxf>
      <numFmt numFmtId="166" formatCode="&quot;$&quot;#,##0"/>
    </dxf>
    <dxf>
      <alignment textRotation="0" wrapText="0" indent="0" justifyLastLine="0" shrinkToFit="0" readingOrder="0"/>
    </dxf>
    <dxf>
      <numFmt numFmtId="0" formatCode="General"/>
    </dxf>
    <dxf>
      <alignment horizontal="center" vertical="center" textRotation="0" indent="0" justifyLastLine="0" shrinkToFit="0" readingOrder="0"/>
    </dxf>
    <dxf>
      <font>
        <strike val="0"/>
        <outline val="0"/>
        <shadow val="0"/>
        <u val="none"/>
        <vertAlign val="baseline"/>
        <sz val="11"/>
        <color theme="1" tint="0.499984740745262"/>
        <name val="Calibri"/>
        <family val="2"/>
        <scheme val="minor"/>
      </font>
    </dxf>
  </dxfs>
  <tableStyles count="0" defaultTableStyle="TableStyleMedium2" defaultPivotStyle="PivotStyleLight16"/>
  <colors>
    <mruColors>
      <color rgb="FF418FDE"/>
      <color rgb="FFC8C8C8"/>
      <color rgb="FFFF9999"/>
      <color rgb="FFE56A5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unitednations.sharepoint.com/sites/OCHAUkraine/Coordination%20Unit/HPC/HPC%202026/50%20Needs%20Analysis/70%20PiN%20&amp;%20Severity/UKR%202026%20HNRP%20Cluster%20Target%20PiN%20Severity%20Master%2020251201%20Hyper.xlsx" TargetMode="External"/><Relationship Id="rId1" Type="http://schemas.openxmlformats.org/officeDocument/2006/relationships/externalLinkPath" Target="UKR%202026%20HNRP%20Cluster%20Target%20PiN%20Severity%20Master%2020251201%20Hyp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ctivityList"/>
      <sheetName val="OVERALL Target Summary"/>
      <sheetName val="OVERALL by Cluster"/>
      <sheetName val="Key figures"/>
      <sheetName val="KF_4HC"/>
      <sheetName val="Overall SP1&amp;4"/>
      <sheetName val="IDPs_1&amp;4"/>
      <sheetName val="NDPs_1&amp;4"/>
      <sheetName val="SP#1 IDPs"/>
      <sheetName val="SP#1 WAND"/>
      <sheetName val="SP#1 Overall"/>
      <sheetName val="SP#2"/>
      <sheetName val="SP#3"/>
      <sheetName val="SP#4 IDPs"/>
      <sheetName val="SP#4 NDPs"/>
      <sheetName val="SP#4 Overall"/>
      <sheetName val="Ref ADM3"/>
    </sheetNames>
    <sheetDataSet>
      <sheetData sheetId="0">
        <row r="6">
          <cell r="AW6">
            <v>1</v>
          </cell>
        </row>
        <row r="7">
          <cell r="AW7">
            <v>1</v>
          </cell>
        </row>
        <row r="8">
          <cell r="AW8">
            <v>0.2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EC1D437-8A25-4750-BA31-468F9302A25A}" name="ActivityList" displayName="ActivityList" ref="A7:S259" totalsRowShown="0" headerRowDxfId="1297">
  <autoFilter ref="A7:S259" xr:uid="{AEC1D437-8A25-4750-BA31-468F9302A25A}"/>
  <sortState xmlns:xlrd2="http://schemas.microsoft.com/office/spreadsheetml/2017/richdata2" ref="A8:S8">
    <sortCondition ref="F7"/>
  </sortState>
  <tableColumns count="19">
    <tableColumn id="1" xr3:uid="{712FD2A5-0F63-4499-97B3-E00FEC196653}" name="#" dataDxfId="1296"/>
    <tableColumn id="31" xr3:uid="{AE611727-E0E2-46FD-BBE1-3F43579ABC5B}" name="sector" dataDxfId="1295"/>
    <tableColumn id="2" xr3:uid="{7982152E-D52C-429C-B235-2E5857755C59}" name="sector_short"/>
    <tableColumn id="4" xr3:uid="{2B592F2D-D10B-4182-B135-957886FC468B}" name="activity" dataDxfId="1294"/>
    <tableColumn id="5" xr3:uid="{A510D448-69AB-423E-AA90-39E63F0C7C61}" name="so"/>
    <tableColumn id="30" xr3:uid="{40923828-F61C-4EF3-973A-430EAF67B9FA}" name="ActFullCode" dataDxfId="1293"/>
    <tableColumn id="27" xr3:uid="{1170FF71-0BF4-4897-B60D-C1D227209F64}" name="modality_group"/>
    <tableColumn id="8" xr3:uid="{A2877045-017F-4C76-88F2-589610B75436}" name="needs"/>
    <tableColumn id="9" xr3:uid="{563771B9-D86C-414E-94D5-481E1C1DA370}" name="recipient"/>
    <tableColumn id="10" xr3:uid="{F6F49702-81D1-4E0E-855F-BF7F5F63A125}" name="sp"/>
    <tableColumn id="16" xr3:uid="{6E98F93D-7267-4ECE-868D-D5E11D225332}" name="act_unit"/>
    <tableColumn id="17" xr3:uid="{4843E76F-5593-44A9-80DF-76AC72294B0F}" name="target_idp" dataDxfId="1292"/>
    <tableColumn id="18" xr3:uid="{9F824AC7-6CA1-4A04-9464-8B906D67F924}" name="target_ndp" dataDxfId="1291"/>
    <tableColumn id="19" xr3:uid="{B2237082-2F8D-44F2-B740-6FCE5F9D84A6}" name="target_overall" dataDxfId="1290"/>
    <tableColumn id="24" xr3:uid="{ED393CB5-ED61-467D-9A32-23416609F5E8}" name="cost_total" dataDxfId="1289"/>
    <tableColumn id="37" xr3:uid="{1FC102A2-1892-4F5E-A7C0-53A3C679C561}" name="targetPr_idp" dataDxfId="1288"/>
    <tableColumn id="38" xr3:uid="{C2FE7DAD-F9D0-4BB7-8AA0-EBC1DD53488C}" name="targetPr_ndp" dataDxfId="1287"/>
    <tableColumn id="39" xr3:uid="{4F4F70AE-CAEC-40AB-AEE6-440B5A1277FE}" name="targetPr_overall" dataDxfId="1286"/>
    <tableColumn id="41" xr3:uid="{44BD489A-5622-40D6-8714-EBC03F79C12C}" name="costPr_total" dataDxfId="1285"/>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7F8C50FE-1BD2-4C8F-9043-9F69A9AB2077}" name="Overall" displayName="Overall" ref="A7:DM15" totalsRowCount="1" headerRowDxfId="1284">
  <autoFilter ref="A7:DM14" xr:uid="{4FCA644B-058D-40CB-AF42-10C6B15E035D}"/>
  <sortState xmlns:xlrd2="http://schemas.microsoft.com/office/spreadsheetml/2017/richdata2" ref="A8:C14">
    <sortCondition ref="C7:C14"/>
  </sortState>
  <tableColumns count="117">
    <tableColumn id="1" xr3:uid="{AE0E3516-02DB-48C8-81FD-5E204B91A526}" name="geo_zone" totalsRowLabel="Total" dataDxfId="1283" totalsRowDxfId="1282"/>
    <tableColumn id="19" xr3:uid="{8D3A62D6-4A65-4250-8D0E-9BED0A0ECA7B}" name="swath" dataDxfId="1281" totalsRowDxfId="1280"/>
    <tableColumn id="18" xr3:uid="{3674B92B-6E20-4172-A5F3-DFC0DE3E0EA1}" name="code" dataDxfId="1279" totalsRowDxfId="1278"/>
    <tableColumn id="4" xr3:uid="{A1407623-1042-4831-A6F5-F599B3904A53}" name="spAll_idp_pin_ed" dataDxfId="1277" totalsRowDxfId="1276"/>
    <tableColumn id="5" xr3:uid="{21EC2A8D-AF02-46C0-BAEA-42F3D2C19B33}" name="spAll_idp_pin_fl" dataDxfId="1275" totalsRowDxfId="1274"/>
    <tableColumn id="6" xr3:uid="{CDA4DB51-D1D0-4032-9F81-568F58EE0252}" name="spAll_idp_pin_he" dataDxfId="1273" totalsRowDxfId="1272"/>
    <tableColumn id="7" xr3:uid="{85B604F0-FAA9-4967-BBE2-6C9E894F9673}" name="spAll_idp_pin_pr" dataDxfId="1271" totalsRowDxfId="1270"/>
    <tableColumn id="8" xr3:uid="{82DE59B4-4F38-4897-9568-E078E3EF4920}" name="spAll_idp_pin_sn" dataDxfId="1269" totalsRowDxfId="1268"/>
    <tableColumn id="9" xr3:uid="{412708E9-02E2-47EF-96F9-0C851B0B874C}" name="spAll_idp_pin_wa" dataDxfId="1267" totalsRowDxfId="1266"/>
    <tableColumn id="10" xr3:uid="{1E989C82-B906-4FB6-B848-CE511B7E48C1}" name="spAll_idp_pin_gp" dataDxfId="1265" totalsRowDxfId="1264"/>
    <tableColumn id="11" xr3:uid="{66C4842F-FD75-4298-ADCC-EE18761346C4}" name="spAll_idp_pin_cp" dataDxfId="1263" totalsRowDxfId="1262"/>
    <tableColumn id="12" xr3:uid="{1B15A61B-5199-4319-8A9D-ADEFD484D9AD}" name="spAll_idp_pin_gb" dataDxfId="1261" totalsRowDxfId="1260"/>
    <tableColumn id="29" xr3:uid="{DADFE56E-B9E4-4E7D-B9D5-519FA1C57F1E}" name="spAll_idp_pin_fs" dataDxfId="1259" totalsRowDxfId="1258"/>
    <tableColumn id="28" xr3:uid="{6E7590D6-7588-46B3-8FE2-67D28A87A545}" name="spAll_idp_pin_li" dataDxfId="1257" totalsRowDxfId="1256"/>
    <tableColumn id="13" xr3:uid="{9BDEE56E-00CE-4A9F-8263-21F6BD211A4F}" name="spAll_idp_pin_adopted" totalsRowFunction="sum" dataDxfId="1255" totalsRowDxfId="1254"/>
    <tableColumn id="14" xr3:uid="{FC3D9CAE-5AED-49A2-9BF0-8DA24058EED9}" name="spAll_idp_target_ed" dataDxfId="1253" totalsRowDxfId="1252"/>
    <tableColumn id="15" xr3:uid="{74754283-7099-44CE-BA9D-2CEF33DDF40F}" name="spAll_idp_target_fl" dataDxfId="1251" totalsRowDxfId="1250"/>
    <tableColumn id="16" xr3:uid="{F042EDE8-89B7-4CC8-B408-A8ED040C3CEA}" name="spAll_idp_target_he" dataDxfId="1249" totalsRowDxfId="1248"/>
    <tableColumn id="20" xr3:uid="{0BE7B322-E85A-4365-B0E9-5348C11BCDFE}" name="spAll_idp_target_pr" dataDxfId="1247" totalsRowDxfId="1246"/>
    <tableColumn id="21" xr3:uid="{DAFC29C8-F2E6-485D-91D9-FA18095B6303}" name="spAll_idp_target_sn" dataDxfId="1245" totalsRowDxfId="1244"/>
    <tableColumn id="22" xr3:uid="{C747802B-7AB3-4575-BFF6-36E3CF4F95A4}" name="spAll_idp_target_wa" dataDxfId="1243" totalsRowDxfId="1242"/>
    <tableColumn id="23" xr3:uid="{DC286262-6CA0-4098-BB0D-345576FF9D79}" name="spAll_idp_target_gp" dataDxfId="1241" totalsRowDxfId="1240"/>
    <tableColumn id="24" xr3:uid="{4C52D329-6270-4193-B862-8E54CA6424AE}" name="spAll_idp_target_cp" dataDxfId="1239" totalsRowDxfId="1238"/>
    <tableColumn id="25" xr3:uid="{473943E9-FE84-4378-AF68-FCD374868339}" name="spAll_idp_target_gb" dataDxfId="1237" totalsRowDxfId="1236"/>
    <tableColumn id="76" xr3:uid="{28F23D2F-84F9-407A-BFF0-E238DEC9F1DC}" name="spAll_idp_target_fs" dataDxfId="1235" totalsRowDxfId="1234"/>
    <tableColumn id="75" xr3:uid="{4DA1E1D5-47BE-4D0E-AABB-9AB0CE9EBD57}" name="spAll_idp_target_li" dataDxfId="1233" totalsRowDxfId="1232"/>
    <tableColumn id="27" xr3:uid="{A09B8E93-2A88-45A3-99AE-D7D3F681D4E8}" name="spAll_idp_target_cw" dataDxfId="1231" totalsRowDxfId="1230"/>
    <tableColumn id="26" xr3:uid="{C97FF0DF-21C8-4567-B6B9-D0ADFC98E61E}" name="spAll_idp_target_joint" totalsRowFunction="sum" dataDxfId="1229" totalsRowDxfId="1228"/>
    <tableColumn id="85" xr3:uid="{AF90332D-CB8C-4519-BFBF-1D3BD7EF30EF}" name="spAll_idp_targetPr_ed" dataDxfId="1227" totalsRowDxfId="1226"/>
    <tableColumn id="86" xr3:uid="{130F22EF-A7BA-4059-823A-3CE1860CBDBF}" name="spAll_idp_targetPr_fl" dataDxfId="1225" totalsRowDxfId="1224"/>
    <tableColumn id="87" xr3:uid="{B65CE6DC-7240-4DD7-907B-FF4189BB119E}" name="spAll_idp_targetPr_he" dataDxfId="1223" totalsRowDxfId="1222"/>
    <tableColumn id="88" xr3:uid="{A83E0BBA-AD9D-48B1-A409-CA15CF83612D}" name="spAll_idp_targetPr_pr" dataDxfId="1221" totalsRowDxfId="1220"/>
    <tableColumn id="89" xr3:uid="{C1F58799-75DB-4EEC-BCCB-CDAB34BD0873}" name="spAll_idp_targetPr_sn" dataDxfId="1219" totalsRowDxfId="1218"/>
    <tableColumn id="90" xr3:uid="{C4606B08-A6D1-452D-A273-120A87199E82}" name="spAll_idp_targetPr_wa" dataDxfId="1217" totalsRowDxfId="1216"/>
    <tableColumn id="91" xr3:uid="{194C06B4-5D5B-4337-A771-ABB8EC41AC04}" name="spAll_idp_targetPr_gp" dataDxfId="1215" totalsRowDxfId="1214"/>
    <tableColumn id="92" xr3:uid="{73ECFC7D-9A57-4F35-B1BD-70D535A87508}" name="spAll_idp_targetPr_cp" dataDxfId="1213" totalsRowDxfId="1212"/>
    <tableColumn id="93" xr3:uid="{CFA05574-0358-4779-BF42-8F415C296FC0}" name="spAll_idp_targetPr_gb" dataDxfId="1211" totalsRowDxfId="1210"/>
    <tableColumn id="94" xr3:uid="{EAA7FC4B-86DA-40C7-902D-A02BFDAC32CB}" name="spAll_idp_targetPr_fs" dataDxfId="1209" totalsRowDxfId="1208"/>
    <tableColumn id="95" xr3:uid="{A4ABA89C-923C-4D92-994D-BCAA0BB29E8E}" name="spAll_idp_targetPr_li" dataDxfId="1207" totalsRowDxfId="1206"/>
    <tableColumn id="96" xr3:uid="{34AC8433-89B6-4CD7-871C-CE3C58202FD9}" name="spAll_idp_targetPr_cw" dataDxfId="1205" totalsRowDxfId="1204"/>
    <tableColumn id="97" xr3:uid="{A601F05F-6887-4057-990E-582FA35F4B22}" name="spAll_idp_targetPr_joint" totalsRowFunction="sum" dataDxfId="1203" totalsRowDxfId="1202"/>
    <tableColumn id="30" xr3:uid="{2F8AF740-56AA-490C-A454-284D29143FF2}" name="spAll_ndp_pin_ed" dataDxfId="1201" totalsRowDxfId="1200"/>
    <tableColumn id="31" xr3:uid="{608F2812-34B1-492D-BFD7-62026FF0B16C}" name="spAll_ndp_pin_fl" dataDxfId="1199" totalsRowDxfId="1198"/>
    <tableColumn id="32" xr3:uid="{3875F5B7-BD79-4F96-BA46-F7569252AA7C}" name="spAll_ndp_pin_he" dataDxfId="1197" totalsRowDxfId="1196"/>
    <tableColumn id="33" xr3:uid="{1165ACCF-FC00-4DC7-8FC4-9FCCADF91E06}" name="spAll_ndp_pin_pr" dataDxfId="1195" totalsRowDxfId="1194"/>
    <tableColumn id="34" xr3:uid="{8B37DB10-2DF1-4DD3-8CFF-9EF024EC0AA0}" name="spAll_ndp_pin_sn" dataDxfId="1193" totalsRowDxfId="1192"/>
    <tableColumn id="35" xr3:uid="{BB49ED8A-57F4-4D20-A7AC-018AB2311FA1}" name="spAll_ndp_pin_wa" dataDxfId="1191" totalsRowDxfId="1190"/>
    <tableColumn id="36" xr3:uid="{09867372-8E34-4C22-A2BA-1FD6CFF35C18}" name="spAll_ndp_pin_gp" dataDxfId="1189" totalsRowDxfId="1188"/>
    <tableColumn id="37" xr3:uid="{480F8818-51EB-45B7-998B-6F564C9C0471}" name="spAll_ndp_pin_cp" dataDxfId="1187" totalsRowDxfId="1186"/>
    <tableColumn id="38" xr3:uid="{44979E1E-BCD9-4C94-AB66-3DED324E771D}" name="spAll_ndp_pin_gb" dataDxfId="1185" totalsRowDxfId="1184"/>
    <tableColumn id="78" xr3:uid="{ABD2C3C8-EB8F-43E5-95B3-2CC076F3D3D5}" name="spAll_ndp_pin_fs" dataDxfId="1183" totalsRowDxfId="1182"/>
    <tableColumn id="77" xr3:uid="{D3ADBEA0-4554-4530-8E64-CBEF536D53E5}" name="spAll_ndp_pin_li" dataDxfId="1181" totalsRowDxfId="1180"/>
    <tableColumn id="39" xr3:uid="{56811CDE-CF61-4943-87C5-C8E2DCF225EF}" name="spAll_ndp_pin_adopted" totalsRowFunction="sum" dataDxfId="1179" totalsRowDxfId="1178"/>
    <tableColumn id="40" xr3:uid="{C498E464-F847-4120-BC81-D22BA6314E9C}" name="spAll_ndp_target_ed" dataDxfId="1177" totalsRowDxfId="1176"/>
    <tableColumn id="41" xr3:uid="{B16B2025-DFE9-48DD-BE21-D8AF841C3E0B}" name="spAll_ndp_target_fl" dataDxfId="1175" totalsRowDxfId="1174"/>
    <tableColumn id="42" xr3:uid="{9FB58094-3EFA-490E-8F0F-125908E1EBEA}" name="spAll_ndp_target_he" dataDxfId="1173" totalsRowDxfId="1172"/>
    <tableColumn id="43" xr3:uid="{70943793-AFBE-4197-9C6D-0FEF0AF7D471}" name="spAll_ndp_target_pr" dataDxfId="1171" totalsRowDxfId="1170"/>
    <tableColumn id="44" xr3:uid="{31996B0F-EC54-4124-9B72-DAD114CFF53E}" name="spAll_ndp_target_sn" dataDxfId="1169" totalsRowDxfId="1168"/>
    <tableColumn id="45" xr3:uid="{0103C83F-4B8E-4D32-A56D-50934F04FA87}" name="spAll_ndp_target_wa" dataDxfId="1167" totalsRowDxfId="1166"/>
    <tableColumn id="46" xr3:uid="{86B89E92-C6F0-4C76-9818-40BED96AAFB4}" name="spAll_ndp_target_gp" dataDxfId="1165" totalsRowDxfId="1164"/>
    <tableColumn id="47" xr3:uid="{818776DB-F9CB-44E6-A52B-A31386749FA2}" name="spAll_ndp_target_cp" dataDxfId="1163" totalsRowDxfId="1162"/>
    <tableColumn id="48" xr3:uid="{95A1643A-9C00-479E-A72E-EA9AFF2BD9C7}" name="spAll_ndp_target_gb" dataDxfId="1161" totalsRowDxfId="1160"/>
    <tableColumn id="80" xr3:uid="{3EACB50A-C334-479D-9216-59170880413B}" name="spAll_ndp_target_fs" dataDxfId="1159" totalsRowDxfId="1158"/>
    <tableColumn id="79" xr3:uid="{775D1FC2-7B9F-4577-99A3-27333F106CC9}" name="spAll_ndp_target_li" dataDxfId="1157" totalsRowDxfId="1156"/>
    <tableColumn id="49" xr3:uid="{2BB652C8-8828-4090-8ADF-CC42F5167096}" name="spAll_ndp_target_cw" dataDxfId="1155" totalsRowDxfId="1154"/>
    <tableColumn id="50" xr3:uid="{7B88E5D0-2946-49CB-A3CF-12509D0AAE45}" name="spAll_ndp_target_joint" totalsRowFunction="sum" dataDxfId="1153" totalsRowDxfId="1152"/>
    <tableColumn id="98" xr3:uid="{11051BB5-E81C-43CE-B4EE-892A1071468D}" name="spAll_ndp_targetPr_ed" dataDxfId="1151" totalsRowDxfId="1150"/>
    <tableColumn id="99" xr3:uid="{9C0D26EE-A747-464B-9E49-0259B6F9019A}" name="spAll_ndp_targetPr_fl" dataDxfId="1149" totalsRowDxfId="1148"/>
    <tableColumn id="100" xr3:uid="{728ED477-C187-4035-A030-98DFE3DB6C02}" name="spAll_ndp_targetPr_he" dataDxfId="1147" totalsRowDxfId="1146"/>
    <tableColumn id="101" xr3:uid="{509C8E24-73E9-4A6C-A49B-BD0FA140BEAE}" name="spAll_ndp_targetPr_pr" dataDxfId="1145" totalsRowDxfId="1144"/>
    <tableColumn id="102" xr3:uid="{494EA028-5E21-4962-A48A-BEFE88695B8F}" name="spAll_ndp_targetPr_sn" dataDxfId="1143" totalsRowDxfId="1142"/>
    <tableColumn id="103" xr3:uid="{D3FC6ACC-3B14-4660-B10A-627B20E403D5}" name="spAll_ndp_targetPr_wa" dataDxfId="1141" totalsRowDxfId="1140"/>
    <tableColumn id="104" xr3:uid="{22756A9E-E017-481E-A6E1-BCD6723E5572}" name="spAll_ndp_targetPr_gp" dataDxfId="1139" totalsRowDxfId="1138"/>
    <tableColumn id="105" xr3:uid="{02AE1F58-D7E2-407A-923A-EAEC0F4DE312}" name="spAll_ndp_targetPr_cp" dataDxfId="1137" totalsRowDxfId="1136"/>
    <tableColumn id="106" xr3:uid="{5FFC2760-E691-4CC6-B34E-517A3D289DD4}" name="spAll_ndp_targetPr_gb" dataDxfId="1135" totalsRowDxfId="1134"/>
    <tableColumn id="107" xr3:uid="{A85A3BA0-950B-482E-814E-EA026B92E633}" name="spAll_ndp_targetPr_fs" dataDxfId="1133" totalsRowDxfId="1132"/>
    <tableColumn id="108" xr3:uid="{9224975F-3E3B-444F-A4AB-F9D795C9763D}" name="spAll_ndp_targetPr_li" dataDxfId="1131" totalsRowDxfId="1130"/>
    <tableColumn id="109" xr3:uid="{5FC8B2BD-D419-446F-B63C-1A0CF7248097}" name="spAll_ndp_targetPr_cw" dataDxfId="1129" totalsRowDxfId="1128"/>
    <tableColumn id="110" xr3:uid="{00B618EF-8DD2-467F-820F-796278A8DE9E}" name="spAll_ndp_targetPr_joint" totalsRowFunction="sum" dataDxfId="1127" totalsRowDxfId="1126"/>
    <tableColumn id="51" xr3:uid="{674C41C4-53CB-45E6-A047-D29F7FC93028}" name="spAll_overall_pin_ed" dataDxfId="1125" totalsRowDxfId="1124"/>
    <tableColumn id="52" xr3:uid="{64706D18-EFDC-4F28-BD86-54FD71DA50AC}" name="spAll_overall_pin_fl" dataDxfId="1123" totalsRowDxfId="1122"/>
    <tableColumn id="53" xr3:uid="{BBDC05F8-0776-4498-B84D-619E2A818A66}" name="spAll_overall_pin_he" dataDxfId="1121" totalsRowDxfId="1120"/>
    <tableColumn id="54" xr3:uid="{E38EBCDD-731D-406D-BB61-9BBEFAF0E0E9}" name="spAll_overall_pin_pr" dataDxfId="1119" totalsRowDxfId="1118"/>
    <tableColumn id="55" xr3:uid="{BFE43F61-D5C1-4C29-A9B5-2F452C7EC6B8}" name="spAll_overall_pin_sn" dataDxfId="1117" totalsRowDxfId="1116"/>
    <tableColumn id="56" xr3:uid="{3EE7F607-C66B-44A9-BFC6-3F832F36DC5C}" name="spAll_overall_pin_wa" dataDxfId="1115" totalsRowDxfId="1114"/>
    <tableColumn id="57" xr3:uid="{A5F43C2F-E0B4-4E94-9EB3-938844F96109}" name="spAll_overall_pin_gp" dataDxfId="1113" totalsRowDxfId="1112"/>
    <tableColumn id="58" xr3:uid="{264948DB-1F0E-4373-8A2C-B9899D2B6B28}" name="spAll_overall_pin_cp" dataDxfId="1111" totalsRowDxfId="1110"/>
    <tableColumn id="59" xr3:uid="{5F9FEDAC-AB8F-4788-A72C-431F7512EE6B}" name="spAll_overall_pin_gb" dataDxfId="1109" totalsRowDxfId="1108"/>
    <tableColumn id="82" xr3:uid="{ED5DB684-8A86-4D7F-9A54-4A71528AD0E1}" name="spAll_overall_pin_fs" dataDxfId="1107" totalsRowDxfId="1106"/>
    <tableColumn id="81" xr3:uid="{6B5E1EE9-7A59-492B-B5F3-C12961DF332F}" name="spAll_overall_pin_li" dataDxfId="1105" totalsRowDxfId="1104"/>
    <tableColumn id="60" xr3:uid="{8460C1FA-10CF-41E3-84A3-ED09FB226478}" name="spAll_overall_pin_adopted" totalsRowFunction="sum" dataDxfId="1103" totalsRowDxfId="1102"/>
    <tableColumn id="61" xr3:uid="{4B7DE0B9-2533-4272-9373-6CB189482D52}" name="spAll_overall_target_ed" dataDxfId="1101" totalsRowDxfId="1100"/>
    <tableColumn id="62" xr3:uid="{32127C1C-C8F8-4210-BDCF-C064357EC226}" name="spAll_overall_target_fl" dataDxfId="1099" totalsRowDxfId="1098"/>
    <tableColumn id="63" xr3:uid="{189A48F4-47A7-43D2-9719-7F3099568C64}" name="spAll_overall_target_he" dataDxfId="1097" totalsRowDxfId="1096"/>
    <tableColumn id="64" xr3:uid="{DF6648BF-6056-4321-909E-6B498B2A44F8}" name="spAll_overall_target_pr" dataDxfId="1095" totalsRowDxfId="1094"/>
    <tableColumn id="65" xr3:uid="{97E55D08-C4A2-4E70-BA2A-6783E02A62A9}" name="spAll_overall_target_sn" dataDxfId="1093" totalsRowDxfId="1092"/>
    <tableColumn id="66" xr3:uid="{6E0BCE1D-E460-471B-9091-204B4911D9C6}" name="spAll_overall_target_wa" dataDxfId="1091" totalsRowDxfId="1090"/>
    <tableColumn id="67" xr3:uid="{D3D23979-2FEE-4349-A6B3-A6AE674CF99E}" name="spAll_overall_target_gp" dataDxfId="1089" totalsRowDxfId="1088"/>
    <tableColumn id="68" xr3:uid="{44E12DC7-719F-4274-BDB0-FE67E2BEF0A7}" name="spAll_overall_target_cp" dataDxfId="1087" totalsRowDxfId="1086"/>
    <tableColumn id="69" xr3:uid="{9CB710D0-EF62-4BED-A3D2-59CC80683FC9}" name="spAll_overall_target_gb" dataDxfId="1085" totalsRowDxfId="1084"/>
    <tableColumn id="84" xr3:uid="{EF363CCC-B36A-4160-A1DB-ED453CD5ACE1}" name="spAll_overall_target_fs" dataDxfId="1083" totalsRowDxfId="1082"/>
    <tableColumn id="83" xr3:uid="{E3E871B4-3187-4BCC-9644-9D68C05ACE01}" name="spAll_overall_target_li" dataDxfId="1081" totalsRowDxfId="1080"/>
    <tableColumn id="70" xr3:uid="{F5CC65DC-C738-4FBE-AD90-1B534CEF610D}" name="spAll_overall_target_cw" dataDxfId="1079" totalsRowDxfId="1078"/>
    <tableColumn id="71" xr3:uid="{6447A06B-E615-4B4E-AAB1-82761762C06A}" name="spAll_overall_target_joint" totalsRowFunction="sum" dataDxfId="1077" totalsRowDxfId="1076"/>
    <tableColumn id="111" xr3:uid="{FCC1D651-941C-4249-805E-00D3B0000387}" name="spAll_overall_targetPr_ed" dataDxfId="1075" totalsRowDxfId="1074"/>
    <tableColumn id="112" xr3:uid="{2CC25E79-B68A-4341-BA1A-EF7E37A5075B}" name="spAll_overall_targetPr_fl" dataDxfId="1073" totalsRowDxfId="1072"/>
    <tableColumn id="113" xr3:uid="{38F6D19D-509A-4F1E-9399-F23BC584E049}" name="spAll_overall_targetPr_he" dataDxfId="1071" totalsRowDxfId="1070"/>
    <tableColumn id="114" xr3:uid="{2CE4FF59-FD8E-4863-8A46-67A48FE561C6}" name="spAll_overall_targetPr_pr" dataDxfId="1069" totalsRowDxfId="1068"/>
    <tableColumn id="115" xr3:uid="{38F8A778-2E1B-4FCC-9064-0E81BCDC5583}" name="spAll_overall_targetPr_sn" dataDxfId="1067" totalsRowDxfId="1066"/>
    <tableColumn id="116" xr3:uid="{82512A67-AE4E-440C-B812-00F9983F966B}" name="spAll_overall_targetPr_wa" dataDxfId="1065" totalsRowDxfId="1064"/>
    <tableColumn id="117" xr3:uid="{AF54A830-A72E-4648-AF8F-2968B3222FEF}" name="spAll_overall_targetPr_gp" dataDxfId="1063" totalsRowDxfId="1062"/>
    <tableColumn id="118" xr3:uid="{E92004C1-BDFC-4288-9524-E90CFCE892DE}" name="spAll_overall_targetPr_cp" dataDxfId="1061" totalsRowDxfId="1060"/>
    <tableColumn id="119" xr3:uid="{025D97B3-69BE-44B9-BBD0-C702E3DE3690}" name="spAll_overall_targetPr_gb" dataDxfId="1059" totalsRowDxfId="1058"/>
    <tableColumn id="120" xr3:uid="{401AD81C-9890-441B-B7CA-EF2F4116A6E3}" name="spAll_overall_targetPr_fs" dataDxfId="1057" totalsRowDxfId="1056"/>
    <tableColumn id="121" xr3:uid="{CA070EBA-1B0F-42F5-A32D-EE887712C64D}" name="spAll_overall_targetPr_li" dataDxfId="1055" totalsRowDxfId="1054"/>
    <tableColumn id="122" xr3:uid="{82765F72-0317-4A01-AA83-6541585B68B7}" name="spAll_overall_targetPr_cw" dataDxfId="1053" totalsRowDxfId="1052"/>
    <tableColumn id="123" xr3:uid="{49327DFF-22A0-447C-AB9A-5ED54338317C}" name="spAll_overall_targetPr_joint" totalsRowFunction="sum" dataDxfId="1051" totalsRowDxfId="1050"/>
  </tableColumns>
  <tableStyleInfo name="TableStyleLight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93957F7-71CB-43BA-A022-709BD057A4D6}" name="overall_total" displayName="overall_total" ref="A7:AG59" totalsRowCount="1" headerRowDxfId="1049" dataDxfId="1048">
  <autoFilter ref="A7:AG58" xr:uid="{791E71EB-60EC-4D82-9C4D-B6981CB9A087}"/>
  <tableColumns count="33">
    <tableColumn id="1" xr3:uid="{C46D7F75-A481-4FAA-8909-F2BB331124E4}" name="ADM1_EN" totalsRowLabel="Total" dataDxfId="1047"/>
    <tableColumn id="3" xr3:uid="{A157A839-09A8-4578-AA7E-97CEA6FCD050}" name="ADM1_PCODE" dataDxfId="1046"/>
    <tableColumn id="4" xr3:uid="{F6F75F21-383B-40A7-902B-43C1D5A03A7F}" name="geo_zone" dataDxfId="1045"/>
    <tableColumn id="2" xr3:uid="{36C6B497-24E0-40DE-A3AE-056EE7BF779A}" name="swath"/>
    <tableColumn id="5" xr3:uid="{5642492F-467A-4AE1-997C-9F41FFF1F55A}" name="UoA_code" dataDxfId="1044"/>
    <tableColumn id="7" xr3:uid="{3F89168F-FC8B-4578-880C-CBF613124730}" name="overall_all_total_joint" totalsRowFunction="custom" dataDxfId="1043" totalsRowDxfId="1042">
      <totalsRowFormula>SUM(F8:F55)</totalsRowFormula>
    </tableColumn>
    <tableColumn id="6" xr3:uid="{7DB76FCD-97BD-4DD2-B4E4-59D1EC649259}" name="overall_aff_sp1_joint" totalsRowFunction="custom" dataDxfId="1041" totalsRowDxfId="1040">
      <totalsRowFormula>SUM(G8:G55)</totalsRowFormula>
    </tableColumn>
    <tableColumn id="40" xr3:uid="{B43ACD0B-20EB-4347-B057-25130534AD62}" name="overall_aff_sp2_joint" totalsRowFunction="sum" dataDxfId="1039" totalsRowDxfId="1038"/>
    <tableColumn id="51" xr3:uid="{6EF53402-F334-4BFF-B682-FB56C60C7B44}" name="overall_aff_sp3_joint" totalsRowFunction="sum" dataDxfId="1037" totalsRowDxfId="1036"/>
    <tableColumn id="50" xr3:uid="{D5D2CA64-CBB2-43FE-83CC-E501BC61F2EE}" name="overall_aff_sp4_joint" totalsRowFunction="custom" dataDxfId="1035" totalsRowDxfId="1034">
      <totalsRowFormula>SUM(J8:J55)</totalsRowFormula>
    </tableColumn>
    <tableColumn id="52" xr3:uid="{3739DD65-67E6-467A-9981-337144B603C4}" name="overall_aff_sp5_joint" totalsRowFunction="sum" dataDxfId="1033" totalsRowDxfId="1032"/>
    <tableColumn id="41" xr3:uid="{9D4F2AE8-AF99-46B2-A16C-C8911A968750}" name="overall_aff_total_joint" totalsRowFunction="sum" dataDxfId="1031" totalsRowDxfId="1030"/>
    <tableColumn id="21" xr3:uid="{625142C0-063C-4A64-B14D-D27B057E78AE}" name="overall_pin_sp1_joint" totalsRowFunction="custom" dataDxfId="1029" totalsRowDxfId="1028">
      <totalsRowFormula>SUM(M8:M55)</totalsRowFormula>
    </tableColumn>
    <tableColumn id="22" xr3:uid="{7826DCE2-5774-4F1D-8DF7-E0D7A8A6A33A}" name="overall_pin_sp2_joint" totalsRowFunction="sum" dataDxfId="1027" totalsRowDxfId="1026"/>
    <tableColumn id="23" xr3:uid="{4750DCF8-10FA-4AC6-8F25-797FA70B6FDE}" name="overall_pin_sp3_joint" totalsRowFunction="sum" dataDxfId="1025" totalsRowDxfId="1024"/>
    <tableColumn id="24" xr3:uid="{72EA5A5F-D8BF-4DA5-9AEE-651883C42344}" name="overall_pin_sp4_joint" totalsRowFunction="custom" dataDxfId="1023" totalsRowDxfId="1022">
      <totalsRowFormula>SUM(P8:P55)</totalsRowFormula>
    </tableColumn>
    <tableColumn id="17" xr3:uid="{578D8ACB-76A7-48BB-A693-9D0B93DB9CC6}" name="overall_pin_sp5_joint" totalsRowFunction="sum" dataDxfId="1021" totalsRowDxfId="1020"/>
    <tableColumn id="18" xr3:uid="{B8D28F51-6172-42E8-8F94-C6E9E4DBD25A}" name="overall_pin_total_joint" totalsRowFunction="sum" dataDxfId="1019" totalsRowDxfId="1018"/>
    <tableColumn id="34" xr3:uid="{90695C69-0378-4E5D-9A56-3EF67BCE1B5F}" name="overall_sev_sp1_joint" dataDxfId="1017" totalsRowDxfId="1016"/>
    <tableColumn id="35" xr3:uid="{1EA6C94B-8C74-49CD-87A4-4D0CF7B4EBBD}" name="overall_sev_sp2_joint" dataDxfId="1015" totalsRowDxfId="1014"/>
    <tableColumn id="36" xr3:uid="{049C305B-7C17-49BB-8EE8-B8F57687C794}" name="overall_sev_sp3_joint" dataDxfId="1013" totalsRowDxfId="1012"/>
    <tableColumn id="37" xr3:uid="{67442160-062F-4C6F-B81D-9F68E5C98CFB}" name="overall_sev_sp4_joint" dataDxfId="1011" totalsRowDxfId="1010"/>
    <tableColumn id="39" xr3:uid="{2A50246B-6C0C-434B-A02C-B4ACF2F0972C}" name="overall_sev_total_joint" dataDxfId="1009" totalsRowDxfId="1008"/>
    <tableColumn id="9" xr3:uid="{4F8D54A7-6428-4AA2-93ED-F5548414A8DC}" name="overall_target_sp1_joint" totalsRowFunction="custom" dataDxfId="1007" totalsRowDxfId="1006">
      <totalsRowFormula>SUM(X8:X55)</totalsRowFormula>
    </tableColumn>
    <tableColumn id="12" xr3:uid="{D008A78B-211F-49F6-8CC4-2E1A45724393}" name="overall_target_sp2_joint" totalsRowFunction="sum" dataDxfId="1005" totalsRowDxfId="1004"/>
    <tableColumn id="13" xr3:uid="{5F2DF7C5-D7A7-4330-8A9A-513898A2EC17}" name="overall_target_sp3_joint" totalsRowFunction="sum" dataDxfId="1003" totalsRowDxfId="1002"/>
    <tableColumn id="14" xr3:uid="{609F404D-9EB0-4B8C-AB85-F3E3ED5CAE0E}" name="overall_target_sp4_joint" totalsRowFunction="custom" dataDxfId="1001" totalsRowDxfId="1000">
      <totalsRowFormula>SUM(AA8:AA55)</totalsRowFormula>
    </tableColumn>
    <tableColumn id="16" xr3:uid="{9899456C-AAFC-4EF8-9178-5CFB9CC6DA51}" name="overall_target_total_joint" totalsRowFunction="sum" dataDxfId="999" totalsRowDxfId="998"/>
    <tableColumn id="8" xr3:uid="{93907C4C-27E4-4E01-9DE9-274B9777551C}" name="overall_targetPr_sp1_joint" totalsRowFunction="custom" dataDxfId="997" totalsRowDxfId="996">
      <totalsRowFormula>SUM(AC8:AC55)</totalsRowFormula>
    </tableColumn>
    <tableColumn id="10" xr3:uid="{6E600BD8-01E1-4A98-9761-A70F812213B5}" name="overall_targetPr_sp2_joint" totalsRowFunction="sum" dataDxfId="995" totalsRowDxfId="994"/>
    <tableColumn id="11" xr3:uid="{E2E77BD9-67EA-4045-AF5C-84B16611EC5F}" name="overall_targetPr_sp3_joint" totalsRowFunction="sum" dataDxfId="993" totalsRowDxfId="992"/>
    <tableColumn id="15" xr3:uid="{37407975-457C-49D7-AB92-6E9274A299D4}" name="overall_targetPr_sp4_joint" totalsRowFunction="custom" dataDxfId="991" totalsRowDxfId="990">
      <totalsRowFormula>SUM(AF8:AF55)</totalsRowFormula>
    </tableColumn>
    <tableColumn id="19" xr3:uid="{4A046909-B180-4187-B032-E7EB75372E34}" name="overall_targetPr_total_joint" totalsRowFunction="sum" dataDxfId="989" totalsRowDxfId="988"/>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DF8198C2-55A9-419E-9133-1A3FD3BC508E}" name="idp_total" displayName="idp_total" ref="A7:AE59" totalsRowCount="1" headerRowDxfId="987" dataDxfId="986">
  <autoFilter ref="A7:AE58" xr:uid="{791E71EB-60EC-4D82-9C4D-B6981CB9A087}"/>
  <tableColumns count="31">
    <tableColumn id="1" xr3:uid="{406A520D-1A27-4F80-B42A-96EE7D387F70}" name="ADM1_EN" totalsRowLabel="Total" dataDxfId="985"/>
    <tableColumn id="3" xr3:uid="{A482DF01-110C-43EF-A7A6-014DFCB0C43D}" name="ADM1_PCODE" dataDxfId="984"/>
    <tableColumn id="4" xr3:uid="{4E76F3C8-AFBF-4F2F-B1E2-AA70E8BA7A38}" name="geo_zone" dataDxfId="983"/>
    <tableColumn id="2" xr3:uid="{38711FDB-19E8-48D3-BBB0-52CF2BDA9058}" name="swath"/>
    <tableColumn id="5" xr3:uid="{43553F6F-E3D3-4901-BAF0-FF4002018596}" name="UoA_code" dataDxfId="982"/>
    <tableColumn id="7" xr3:uid="{283DA4A8-E4C9-4426-A864-DEB9595A4C5B}" name="idp_all_total_joint" totalsRowFunction="custom" dataDxfId="981" totalsRowDxfId="980">
      <totalsRowFormula>SUM(F8:F55)</totalsRowFormula>
    </tableColumn>
    <tableColumn id="6" xr3:uid="{6EE0AA88-6FE0-47CE-A5E8-A6ED0FF096A3}" name="idp_aff_sp1_joint" totalsRowFunction="custom" dataDxfId="979" totalsRowDxfId="978">
      <totalsRowFormula>SUM(G8:G55)</totalsRowFormula>
    </tableColumn>
    <tableColumn id="40" xr3:uid="{6BB8B0FF-897A-46EC-BB2E-F737187DB36C}" name="idp_aff_sp2_joint" totalsRowFunction="sum" dataDxfId="977" totalsRowDxfId="976"/>
    <tableColumn id="51" xr3:uid="{41D286D4-D96C-42EF-85FF-9860BC1DC171}" name="idp_aff_sp3_joint" totalsRowFunction="sum" dataDxfId="975" totalsRowDxfId="974"/>
    <tableColumn id="50" xr3:uid="{B5E6F9F0-503D-4096-B3CF-0288063E7137}" name="idp_aff_sp4_joint" totalsRowFunction="custom" dataDxfId="973" totalsRowDxfId="972">
      <totalsRowFormula>SUM(J8:J55)</totalsRowFormula>
    </tableColumn>
    <tableColumn id="41" xr3:uid="{F75E5ACD-8F73-41FD-B692-3E4191A97D49}" name="idp_aff_total_joint" totalsRowFunction="sum" dataDxfId="971" totalsRowDxfId="970"/>
    <tableColumn id="21" xr3:uid="{AD9E8CEA-EB8E-48EB-977D-B41E35753862}" name="idp_pin_sp1_joint" totalsRowFunction="custom" dataDxfId="969" totalsRowDxfId="968">
      <totalsRowFormula>SUM(L8:L55)</totalsRowFormula>
    </tableColumn>
    <tableColumn id="22" xr3:uid="{7870ED42-BC90-47F9-BA5E-DF0B2DE0DF1B}" name="idp_pin_sp2_joint" totalsRowFunction="sum" dataDxfId="967" totalsRowDxfId="966"/>
    <tableColumn id="23" xr3:uid="{3D6482EA-4D3E-41EF-B755-91E85DB73B9E}" name="idp_pin_sp3_joint" totalsRowFunction="sum" dataDxfId="965" totalsRowDxfId="964"/>
    <tableColumn id="24" xr3:uid="{385D3D3E-128C-430A-A78C-7650C02E6171}" name="idp_pin_sp4_joint" totalsRowFunction="custom" dataDxfId="963" totalsRowDxfId="962">
      <totalsRowFormula>SUM(O8:O55)</totalsRowFormula>
    </tableColumn>
    <tableColumn id="18" xr3:uid="{4CBE62B9-994A-4AE8-97EE-67C1F67CE7FC}" name="idp_pin_total_joint" totalsRowFunction="sum" dataDxfId="961" totalsRowDxfId="960"/>
    <tableColumn id="34" xr3:uid="{7ED6CD7E-C3A6-451F-8613-2C3AEE95E394}" name="idp_sev_sp1_joint" dataDxfId="959" totalsRowDxfId="958"/>
    <tableColumn id="35" xr3:uid="{DE6AD1B2-C65B-41D5-8702-E61886AF3B8D}" name="idp_sev_sp2_joint" dataDxfId="957" totalsRowDxfId="956"/>
    <tableColumn id="36" xr3:uid="{CA3F797D-C28D-43CF-B3DF-62C3A2525F9C}" name="idp_sev_sp3_joint" dataDxfId="955" totalsRowDxfId="954"/>
    <tableColumn id="37" xr3:uid="{7BC739BF-C01A-4A40-815C-99D8ED6E09C8}" name="idp_sev_sp4_joint" dataDxfId="953" totalsRowDxfId="952"/>
    <tableColumn id="39" xr3:uid="{24DBE5C4-440B-476B-B1FA-40FC39132E65}" name="idp_sev_total_joint" dataDxfId="951" totalsRowDxfId="950"/>
    <tableColumn id="9" xr3:uid="{36130C7D-5865-47A5-B1C0-063BB10C7E12}" name="idp_target_sp1_joint" totalsRowFunction="custom" dataDxfId="949" totalsRowDxfId="948">
      <totalsRowFormula>SUM(V8:V55)</totalsRowFormula>
    </tableColumn>
    <tableColumn id="12" xr3:uid="{CCB857C5-A527-4949-B155-9EDB62CB93D8}" name="idp_target_sp2_joint" totalsRowFunction="sum" dataDxfId="947" totalsRowDxfId="946"/>
    <tableColumn id="13" xr3:uid="{8BBF55D0-9160-4A35-B624-E6DEA9B5C8C2}" name="idp_target_sp3_joint" totalsRowFunction="sum" dataDxfId="945" totalsRowDxfId="944"/>
    <tableColumn id="14" xr3:uid="{60D717FD-53B0-490A-8583-F429E4BE6F05}" name="idp_target_sp4_joint" totalsRowFunction="custom" dataDxfId="943" totalsRowDxfId="942">
      <totalsRowFormula>SUM(Y8:Y55)</totalsRowFormula>
    </tableColumn>
    <tableColumn id="16" xr3:uid="{64795C74-84AB-4EE4-9DF7-009A23C14847}" name="idp_target_total_joint" totalsRowFunction="sum" dataDxfId="941" totalsRowDxfId="940"/>
    <tableColumn id="8" xr3:uid="{3F6C4330-F5DC-40DB-ACA7-885410E880AB}" name="idp_targetPr_sp1_joint" totalsRowFunction="custom" dataDxfId="939" totalsRowDxfId="938">
      <totalsRowFormula>SUM(AA8:AA55)</totalsRowFormula>
    </tableColumn>
    <tableColumn id="10" xr3:uid="{6384FEA3-AC17-43E4-8365-E80FBE9BFDE2}" name="idp_targetPr_sp2_joint" totalsRowFunction="sum" dataDxfId="937" totalsRowDxfId="936"/>
    <tableColumn id="11" xr3:uid="{A1B3D893-5B71-41D8-BC41-DDC1C972ACD7}" name="idp_targetPr_sp3_joint" totalsRowFunction="sum" dataDxfId="935" totalsRowDxfId="934"/>
    <tableColumn id="15" xr3:uid="{AC37A85D-6B21-4E97-B80A-0FBB76FACC6C}" name="idp_targetPr_sp4_joint" totalsRowFunction="custom" dataDxfId="933" totalsRowDxfId="932">
      <totalsRowFormula>SUM(AD8:AD55)</totalsRowFormula>
    </tableColumn>
    <tableColumn id="17" xr3:uid="{55257EC4-33F2-463B-9923-DCCADE770CB9}" name="idp_targetPr_total_joint" totalsRowFunction="sum" dataDxfId="931" totalsRowDxfId="930"/>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A20EA299-5280-48F4-8974-04062F13E7D5}" name="wand_total" displayName="wand_total" ref="A7:AG59" totalsRowCount="1" headerRowDxfId="929" dataDxfId="928">
  <autoFilter ref="A7:AG58" xr:uid="{791E71EB-60EC-4D82-9C4D-B6981CB9A087}"/>
  <sortState xmlns:xlrd2="http://schemas.microsoft.com/office/spreadsheetml/2017/richdata2" ref="A8:AB55">
    <sortCondition ref="E7:E55"/>
  </sortState>
  <tableColumns count="33">
    <tableColumn id="1" xr3:uid="{B1E3D05C-2B25-4B5C-9F1F-08BA3A912A2C}" name="ADM1_EN" totalsRowLabel="Total" dataDxfId="927"/>
    <tableColumn id="3" xr3:uid="{6FB06E25-227F-4F3D-8CAF-969A6A52B164}" name="ADM1_PCODE" dataDxfId="926"/>
    <tableColumn id="4" xr3:uid="{20AE8DA4-5DF4-4FDC-8A84-83EDA5C67A26}" name="geo_zone" dataDxfId="925"/>
    <tableColumn id="2" xr3:uid="{91AC423A-5A1C-4D3F-986D-3AA7F42F3D81}" name="swath"/>
    <tableColumn id="5" xr3:uid="{3B9FD7FC-4E33-4F3C-868D-CE5C55E11B66}" name="UoA_code" dataDxfId="924"/>
    <tableColumn id="7" xr3:uid="{C86FEFCC-74B2-4677-82FE-C3C5DCB5566C}" name="ndp_all_total_joint" totalsRowFunction="custom" dataDxfId="923" totalsRowDxfId="922">
      <totalsRowFormula>SUM(F8:F55)</totalsRowFormula>
    </tableColumn>
    <tableColumn id="6" xr3:uid="{EA61D425-37FD-43D1-830B-9EA09E951C6B}" name="ndp_aff_sp1_joint" totalsRowFunction="custom" dataDxfId="921" totalsRowDxfId="920">
      <totalsRowFormula>SUM(G8:G55)</totalsRowFormula>
    </tableColumn>
    <tableColumn id="40" xr3:uid="{A50BF6BC-3EB1-4F89-ACBB-DE3F12C52AAE}" name="ndp_aff_sp2_joint" totalsRowFunction="sum" dataDxfId="919" totalsRowDxfId="918"/>
    <tableColumn id="51" xr3:uid="{01B8020E-56E6-4AA1-A8BF-95CF73D58241}" name="ndp_aff_sp3_joint" totalsRowFunction="sum" dataDxfId="917" totalsRowDxfId="916"/>
    <tableColumn id="50" xr3:uid="{064D2608-8C7D-43E0-84AB-844C46563094}" name="ndp_aff_sp4_joint" totalsRowFunction="custom" dataDxfId="915" totalsRowDxfId="914">
      <totalsRowFormula>SUM(J8:J55)</totalsRowFormula>
    </tableColumn>
    <tableColumn id="52" xr3:uid="{32B2703E-FE91-43AC-87A8-9544EC4E60D1}" name="ndp_aff_sp5_joint" totalsRowFunction="sum" dataDxfId="913" totalsRowDxfId="912"/>
    <tableColumn id="41" xr3:uid="{9951704C-8711-4A36-8644-988E398975E5}" name="ndp_aff_total_joint" totalsRowFunction="sum" dataDxfId="911" totalsRowDxfId="910"/>
    <tableColumn id="21" xr3:uid="{54206C1F-B353-4C9E-AC4A-79FDB04EBCB2}" name="ndp_pin_sp1_joint" totalsRowFunction="custom" dataDxfId="909" totalsRowDxfId="908">
      <totalsRowFormula>SUM(M8:M55)</totalsRowFormula>
    </tableColumn>
    <tableColumn id="22" xr3:uid="{56106428-66AC-4F67-B1EF-8658A09CAC4E}" name="ndp_pin_sp2_joint" totalsRowFunction="sum" dataDxfId="907" totalsRowDxfId="906"/>
    <tableColumn id="23" xr3:uid="{0BF8A639-17F1-457B-9801-D689AF20BE39}" name="ndp_pin_sp3_joint" totalsRowFunction="sum" dataDxfId="905" totalsRowDxfId="904"/>
    <tableColumn id="24" xr3:uid="{F3DB6D94-B45A-4663-86D7-971D82ED2B9B}" name="ndp_pin_sp4_joint" totalsRowFunction="custom" dataDxfId="903" totalsRowDxfId="902">
      <totalsRowFormula>SUM(P8:P55)</totalsRowFormula>
    </tableColumn>
    <tableColumn id="17" xr3:uid="{CA43A078-8ED3-44CC-8FDA-595935FDF94E}" name="ndp_pin_sp5_joint" totalsRowFunction="sum" dataDxfId="901" totalsRowDxfId="900"/>
    <tableColumn id="18" xr3:uid="{4D00BA4A-F02E-4C2A-B574-ECFEF54C883C}" name="ndp_pin_total_joint" totalsRowFunction="sum" dataDxfId="899" totalsRowDxfId="898"/>
    <tableColumn id="34" xr3:uid="{30E0C3C7-3523-420E-87CC-F7E1A935C828}" name="ndp_sev_sp1_joint" dataDxfId="897" totalsRowDxfId="896"/>
    <tableColumn id="35" xr3:uid="{D2C7CFE3-A01F-4B53-B2EE-66A3F6DC395B}" name="ndp_sev_sp2_joint" dataDxfId="895" totalsRowDxfId="894"/>
    <tableColumn id="36" xr3:uid="{C9911AFC-3568-44ED-8467-69C9EDB6EF9F}" name="ndp_sev_sp3_joint" dataDxfId="893" totalsRowDxfId="892"/>
    <tableColumn id="37" xr3:uid="{6619F703-8D55-4681-A964-7837DAED5589}" name="ndp_sev_sp4_joint" dataDxfId="891" totalsRowDxfId="890"/>
    <tableColumn id="39" xr3:uid="{ED9F89BE-B9EF-4A17-B29A-4524BEC6428C}" name="ndp_sev_total_joint" dataDxfId="889" totalsRowDxfId="888"/>
    <tableColumn id="9" xr3:uid="{FF90F2D3-F0CD-4D05-82ED-2E2C46CD89F7}" name="ndp_target_sp1_joint" totalsRowFunction="custom" dataDxfId="887" totalsRowDxfId="886">
      <totalsRowFormula>SUM(X8:X55)</totalsRowFormula>
    </tableColumn>
    <tableColumn id="12" xr3:uid="{F7122997-A837-44D9-A2B4-F370DB721206}" name="ndp_target_sp2_joint" totalsRowFunction="sum" dataDxfId="885" totalsRowDxfId="884"/>
    <tableColumn id="13" xr3:uid="{1E35F75A-15DC-4782-BE04-2A32203F910C}" name="ndp_target_sp3_joint" totalsRowFunction="sum" dataDxfId="883" totalsRowDxfId="882"/>
    <tableColumn id="14" xr3:uid="{66FF33F7-ABEB-4E3B-9077-529D26460725}" name="ndp_target_sp4_joint" totalsRowFunction="custom" dataDxfId="881" totalsRowDxfId="880">
      <totalsRowFormula>SUM(AA8:AA55)</totalsRowFormula>
    </tableColumn>
    <tableColumn id="16" xr3:uid="{515AA27B-1576-4D05-9486-8CED7FAE7265}" name="ndp_target_total_joint" totalsRowFunction="sum" dataDxfId="879" totalsRowDxfId="878"/>
    <tableColumn id="8" xr3:uid="{850FD54A-8FB5-4C72-8588-0E891F9898D6}" name="ndp_targetPr_sp1_joint" totalsRowFunction="custom" dataDxfId="877" totalsRowDxfId="876">
      <totalsRowFormula>SUM(AC8:AC55)</totalsRowFormula>
    </tableColumn>
    <tableColumn id="10" xr3:uid="{92314B64-CF45-48B8-B7A9-6DC6C6B57213}" name="ndp_targetPr_sp2_joint" totalsRowFunction="sum" dataDxfId="875" totalsRowDxfId="874"/>
    <tableColumn id="11" xr3:uid="{04D03388-B60B-4A73-AB5E-474CB99F89B0}" name="ndp_targetPr_sp3_joint" totalsRowFunction="sum" dataDxfId="873" totalsRowDxfId="872"/>
    <tableColumn id="15" xr3:uid="{AFD62461-16C4-41EB-BB27-C688881C6EAF}" name="ndp_targetPr_sp4_joint" totalsRowFunction="custom" dataDxfId="871" totalsRowDxfId="870">
      <totalsRowFormula>SUM(AF8:AF55)</totalsRowFormula>
    </tableColumn>
    <tableColumn id="19" xr3:uid="{82853859-1593-4758-9E9D-1A59C4FF102A}" name="ndp_targetPr_total_joint" totalsRowFunction="sum" dataDxfId="869" totalsRowDxfId="868"/>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82CBA16-8E7C-40A1-8BCA-3775ED650C90}" name="overall_SP1" displayName="overall_SP1" ref="A7:BF56" totalsRowCount="1" headerRowDxfId="867" dataDxfId="866">
  <autoFilter ref="A7:BF55" xr:uid="{791E71EB-60EC-4D82-9C4D-B6981CB9A087}"/>
  <tableColumns count="58">
    <tableColumn id="1" xr3:uid="{A44C0E51-EEE9-44E3-8D2F-58FC05377AA3}" name="ADM1_EN" totalsRowLabel="Total" dataDxfId="865"/>
    <tableColumn id="3" xr3:uid="{9E9F69A4-1854-4EBB-B658-CEE2762DA1C0}" name="ADM1_PCODE" dataDxfId="864"/>
    <tableColumn id="4" xr3:uid="{241BFCDC-4307-4242-ADD3-753EB5BB39D9}" name="geo_zone" dataDxfId="863"/>
    <tableColumn id="2" xr3:uid="{1B5CBB1E-2C2F-4225-9194-E2AE91D8DF95}" name="swath"/>
    <tableColumn id="5" xr3:uid="{48AB8BDC-38BD-406D-A2A7-ECE11936A5DE}" name="UoA_code" dataDxfId="862"/>
    <tableColumn id="6" xr3:uid="{D2A8D102-0B69-42CE-AB2F-3D1887F3FB24}" name="idp_aff_sp1" totalsRowFunction="sum" dataDxfId="861" totalsRowDxfId="860"/>
    <tableColumn id="40" xr3:uid="{BE8524FC-169E-431C-8A89-FE4B30D0D18F}" name="ndp_aff_sp1" totalsRowFunction="sum" dataDxfId="859" totalsRowDxfId="858"/>
    <tableColumn id="41" xr3:uid="{1D6F72B4-82C4-468E-BA27-27D4CE21AF06}" name="overall_aff_sp1" totalsRowFunction="sum" dataDxfId="857" totalsRowDxfId="856"/>
    <tableColumn id="21" xr3:uid="{5D480C24-C0E7-4108-96B6-1FDAC323BB9A}" name="sp1_overall_pin_ed" dataDxfId="855" totalsRowDxfId="854">
      <calculatedColumnFormula>idp_SP1[[#This Row],[sp1_idp_pin_ed]]+ndp_SP1[[#This Row],[sp1_ndp_pin_ed]]</calculatedColumnFormula>
    </tableColumn>
    <tableColumn id="22" xr3:uid="{8052CFBE-8D5D-4339-BCD5-AD5CD6DBD93E}" name="sp1_overall_pin_fl" dataDxfId="853" totalsRowDxfId="852">
      <calculatedColumnFormula>idp_SP1[[#This Row],[sp1_idp_pin_fl]]+ndp_SP1[[#This Row],[sp1_ndp_pin_fl]]</calculatedColumnFormula>
    </tableColumn>
    <tableColumn id="23" xr3:uid="{74C82C89-4DF6-44E4-B845-A2D76D6F5054}" name="sp1_overall_pin_he" dataDxfId="851" totalsRowDxfId="850">
      <calculatedColumnFormula>idp_SP1[[#This Row],[sp1_idp_pin_he]]+ndp_SP1[[#This Row],[sp1_ndp_pin_he]]</calculatedColumnFormula>
    </tableColumn>
    <tableColumn id="24" xr3:uid="{9560E2A6-D377-47D9-B23A-43E7605224C7}" name="sp1_overall_pin_pr" dataDxfId="849" totalsRowDxfId="848">
      <calculatedColumnFormula>idp_SP1[[#This Row],[sp1_idp_pin_pr]]+ndp_SP1[[#This Row],[sp1_ndp_pin_pr]]</calculatedColumnFormula>
    </tableColumn>
    <tableColumn id="17" xr3:uid="{30F98C5B-3056-4199-82D1-FA3129EE99AE}" name="sp1_overall_pin_sn" dataDxfId="847" totalsRowDxfId="846">
      <calculatedColumnFormula>idp_SP1[[#This Row],[sp1_idp_pin_sn]]+ndp_SP1[[#This Row],[sp1_ndp_pin_sn]]</calculatedColumnFormula>
    </tableColumn>
    <tableColumn id="18" xr3:uid="{A568542D-5230-41DA-8BCE-9CC414DC2482}" name="sp1_overall_pin_wa" dataDxfId="845" totalsRowDxfId="844">
      <calculatedColumnFormula>idp_SP1[[#This Row],[sp1_idp_pin_wa]]+ndp_SP1[[#This Row],[sp1_ndp_pin_wa]]</calculatedColumnFormula>
    </tableColumn>
    <tableColumn id="19" xr3:uid="{916837A9-0CC2-43A6-ADEA-2D881474E699}" name="sp1_overall_pin_gp" dataDxfId="843" totalsRowDxfId="842">
      <calculatedColumnFormula>idp_SP1[[#This Row],[sp1_idp_pin_gp]]+ndp_SP1[[#This Row],[sp1_ndp_pin_gp]]</calculatedColumnFormula>
    </tableColumn>
    <tableColumn id="20" xr3:uid="{7FE0FAAB-B631-4515-B833-B1E534F1EA50}" name="sp1_overall_pin_cp" dataDxfId="841" totalsRowDxfId="840">
      <calculatedColumnFormula>idp_SP1[[#This Row],[sp1_idp_pin_cp]]+ndp_SP1[[#This Row],[sp1_ndp_pin_cp]]</calculatedColumnFormula>
    </tableColumn>
    <tableColumn id="15" xr3:uid="{DCE7C69D-2EE8-49D2-9F84-202CDC63B8B6}" name="sp1_overall_pin_gb" dataDxfId="839" totalsRowDxfId="838">
      <calculatedColumnFormula>idp_SP1[[#This Row],[sp1_idp_pin_gb]]+ndp_SP1[[#This Row],[sp1_ndp_pin_gb]]</calculatedColumnFormula>
    </tableColumn>
    <tableColumn id="55" xr3:uid="{C4F435BA-F910-40D0-9951-B8103A8E5254}" name="sp1_overall_pin_fs" dataDxfId="837" totalsRowDxfId="836">
      <calculatedColumnFormula>idp_SP1[[#This Row],[sp1_idp_pin_fs]]+ndp_SP1[[#This Row],[sp1_ndp_pin_fs]]</calculatedColumnFormula>
    </tableColumn>
    <tableColumn id="54" xr3:uid="{B3D5D2C1-1189-4DCD-9B86-69D468620028}" name="sp1_overall_pin_li" dataDxfId="835" totalsRowDxfId="834">
      <calculatedColumnFormula>idp_SP1[[#This Row],[sp1_idp_pin_li]]+ndp_SP1[[#This Row],[sp1_ndp_pin_li]]</calculatedColumnFormula>
    </tableColumn>
    <tableColumn id="11" xr3:uid="{1D928904-1657-42DB-B9AC-9262E54C5779}" name="sp1_overall_pin_adopted" totalsRowFunction="sum" dataDxfId="833" totalsRowDxfId="832">
      <calculatedColumnFormula>idp_SP1[[#This Row],[sp1_idp_pin_adopted]]+ndp_SP1[[#This Row],[sp1_ndp_pin_adopted]]</calculatedColumnFormula>
    </tableColumn>
    <tableColumn id="34" xr3:uid="{A4476A88-C937-4F91-94FE-3DEAE66ECBD7}" name="sp1_overall_sev_ed" dataDxfId="831" totalsRowDxfId="830"/>
    <tableColumn id="35" xr3:uid="{E8D45F63-BF4F-4D9D-B67C-6014FF1949ED}" name="sp1_overall_sev_fl" dataDxfId="829" totalsRowDxfId="828"/>
    <tableColumn id="36" xr3:uid="{0DD38010-C338-4154-8DF8-1C82823509F8}" name="sp1_overall_sev_he" dataDxfId="827" totalsRowDxfId="826"/>
    <tableColumn id="37" xr3:uid="{4E6435F3-2B96-4831-B27D-659BF9E7924E}" name="sp1_overall_sev_pr" dataDxfId="825" totalsRowDxfId="824">
      <calculatedColumnFormula>MAX(idp_SP1[[#This Row],[sp1_idp_sev_pr]],ndp_SP1[[#This Row],[sp1_ndp_sev_pr]])</calculatedColumnFormula>
    </tableColumn>
    <tableColumn id="38" xr3:uid="{DF6BBCE5-4A56-4B0F-BA2D-3770436EC492}" name="sp1_overall_sev_sn" dataDxfId="823" totalsRowDxfId="822"/>
    <tableColumn id="39" xr3:uid="{06F99EE6-8F95-4E04-B763-51CF2BCF1F5B}" name="sp1_overall_sev_wa" dataDxfId="821" totalsRowDxfId="820"/>
    <tableColumn id="42" xr3:uid="{DA2D8ECB-C725-44CE-A3C8-6D2D04945405}" name="sp1_overall_sev_gp" dataDxfId="819" totalsRowDxfId="818"/>
    <tableColumn id="43" xr3:uid="{7216E5BC-85D3-4CA1-817F-932FD800FD07}" name="sp1_overall_sev_cp" dataDxfId="817" totalsRowDxfId="816"/>
    <tableColumn id="44" xr3:uid="{1DA9BCB1-7953-4121-8BFC-0B5257071EFD}" name="sp1_overall_sev_gb" dataDxfId="815" totalsRowDxfId="814"/>
    <tableColumn id="57" xr3:uid="{7C92C1C5-64DD-49DF-8F28-9020E7EA3516}" name="sp1_overall_sev_fs" dataDxfId="813" totalsRowDxfId="812"/>
    <tableColumn id="56" xr3:uid="{3D14A23A-33CF-4FF7-8D6A-650EC958E077}" name="sp1_overall_sev_li" dataDxfId="811" totalsRowDxfId="810"/>
    <tableColumn id="53" xr3:uid="{95286E78-A11F-4AA0-AB96-7E2A20BE97EF}" name="sp1_overall_sev_adopted" dataDxfId="809" totalsRowDxfId="808"/>
    <tableColumn id="9" xr3:uid="{40CF8214-80C8-493A-9DA2-65B497067C32}" name="sp1_overall_target_ed" dataDxfId="807" totalsRowDxfId="806">
      <calculatedColumnFormula>idp_SP1[[#This Row],[sp1_idp_target_ed]]+ndp_SP1[[#This Row],[sp1_ndp_target_ed]]</calculatedColumnFormula>
    </tableColumn>
    <tableColumn id="12" xr3:uid="{F4C8269D-523A-43BB-BFF1-D25B08BC1C44}" name="sp1_overall_target_fl" dataDxfId="805" totalsRowDxfId="804">
      <calculatedColumnFormula>idp_SP1[[#This Row],[sp1_idp_target_fl]]+ndp_SP1[[#This Row],[sp1_ndp_target_fl]]</calculatedColumnFormula>
    </tableColumn>
    <tableColumn id="13" xr3:uid="{B927A596-D418-4943-8AF6-CFFF26AE11D4}" name="sp1_overall_target_he" dataDxfId="803" totalsRowDxfId="802">
      <calculatedColumnFormula>idp_SP1[[#This Row],[sp1_idp_target_he]]+ndp_SP1[[#This Row],[sp1_ndp_target_he]]</calculatedColumnFormula>
    </tableColumn>
    <tableColumn id="14" xr3:uid="{2693BD1A-3A4C-47DC-9492-93C45332E77F}" name="sp1_overall_target_pr" dataDxfId="801" totalsRowDxfId="800">
      <calculatedColumnFormula>idp_SP1[[#This Row],[sp1_idp_target_pr]]+ndp_SP1[[#This Row],[sp1_ndp_target_pr]]</calculatedColumnFormula>
    </tableColumn>
    <tableColumn id="16" xr3:uid="{520EBB9B-2DE2-4E76-A69C-5DE29DCCC06E}" name="sp1_overall_target_sn" dataDxfId="799" totalsRowDxfId="798">
      <calculatedColumnFormula>idp_SP1[[#This Row],[sp1_idp_target_sn]]+ndp_SP1[[#This Row],[sp1_ndp_target_sn]]</calculatedColumnFormula>
    </tableColumn>
    <tableColumn id="25" xr3:uid="{F3F5B481-98E0-4F59-8FD0-7B28FCEAC6A2}" name="sp1_overall_target_wa" dataDxfId="797" totalsRowDxfId="796">
      <calculatedColumnFormula>idp_SP1[[#This Row],[sp1_idp_target_wa]]+ndp_SP1[[#This Row],[sp1_ndp_target_wa]]</calculatedColumnFormula>
    </tableColumn>
    <tableColumn id="26" xr3:uid="{6D8B41CB-669C-4D1C-82BD-827BB8F5DD10}" name="sp1_overall_target_gp" dataDxfId="795" totalsRowDxfId="794">
      <calculatedColumnFormula>idp_SP1[[#This Row],[sp1_idp_target_gp]]+ndp_SP1[[#This Row],[sp1_ndp_target_gp]]</calculatedColumnFormula>
    </tableColumn>
    <tableColumn id="27" xr3:uid="{FF39F37E-6B22-48BA-9178-0008FBE6941B}" name="sp1_overall_target_cp" dataDxfId="793" totalsRowDxfId="792">
      <calculatedColumnFormula>idp_SP1[[#This Row],[sp1_idp_target_cp]]+ndp_SP1[[#This Row],[sp1_ndp_target_cp]]</calculatedColumnFormula>
    </tableColumn>
    <tableColumn id="28" xr3:uid="{65048648-E3A9-443B-AA2E-DC28AA0FC444}" name="sp1_overall_target_gb" dataDxfId="791" totalsRowDxfId="790">
      <calculatedColumnFormula>idp_SP1[[#This Row],[sp1_idp_target_gb]]+ndp_SP1[[#This Row],[sp1_ndp_target_gb]]</calculatedColumnFormula>
    </tableColumn>
    <tableColumn id="59" xr3:uid="{B4796A39-7C43-4BB1-B47D-CD0CF6E681BD}" name="sp1_overall_target_fs" dataDxfId="789" totalsRowDxfId="788">
      <calculatedColumnFormula>idp_SP1[[#This Row],[sp1_idp_target_fs]]+ndp_SP1[[#This Row],[sp1_ndp_target_fs]]</calculatedColumnFormula>
    </tableColumn>
    <tableColumn id="58" xr3:uid="{9D19084B-056F-4A3C-A133-2CCF4BF452C3}" name="sp1_overall_target_li" dataDxfId="787" totalsRowDxfId="786">
      <calculatedColumnFormula>idp_SP1[[#This Row],[sp1_idp_target_li]]+ndp_SP1[[#This Row],[sp1_ndp_target_li]]</calculatedColumnFormula>
    </tableColumn>
    <tableColumn id="30" xr3:uid="{A586F91C-A91A-488F-B5E1-0E367EBE5D8E}" name="sp1_overall_target_cw" dataDxfId="785" totalsRowDxfId="784">
      <calculatedColumnFormula>idp_SP1[[#This Row],[sp1_idp_target_cw]]+ndp_SP1[[#This Row],[sp1_ndp_target_cw]]</calculatedColumnFormula>
    </tableColumn>
    <tableColumn id="29" xr3:uid="{0043350B-8494-4D85-A79E-A8D62DED0B03}" name="sp1_overall_target_joint" totalsRowFunction="sum" dataDxfId="783" totalsRowDxfId="782">
      <calculatedColumnFormula>idp_SP1[[#This Row],[sp1_idp_target_joint]]+ndp_SP1[[#This Row],[sp1_ndp_target_joint]]</calculatedColumnFormula>
    </tableColumn>
    <tableColumn id="7" xr3:uid="{2F3D0B1D-4DEF-45E3-9768-18CC8A980A9E}" name="sp1_overall_targetPr_ed" dataDxfId="781" totalsRowDxfId="780"/>
    <tableColumn id="8" xr3:uid="{0DAB13B6-9311-4058-9E09-A924BF8D1555}" name="sp1_overall_targetPr_fl" dataDxfId="779" totalsRowDxfId="778"/>
    <tableColumn id="10" xr3:uid="{715FBE13-A64E-4141-A760-3D46CED0BB85}" name="sp1_overall_targetPr_he" dataDxfId="777" totalsRowDxfId="776"/>
    <tableColumn id="33" xr3:uid="{A6C18843-D203-4915-8BAB-EACEC560A689}" name="sp1_overall_targetPr_pr" dataDxfId="775" totalsRowDxfId="774"/>
    <tableColumn id="45" xr3:uid="{74375F03-7878-4085-BD2A-17361DB5D73C}" name="sp1_overall_targetPr_sn" dataDxfId="773" totalsRowDxfId="772"/>
    <tableColumn id="46" xr3:uid="{2007E82E-36B9-42E0-B7C5-6DF0E92AEBFC}" name="sp1_overall_targetPr_wa" dataDxfId="771" totalsRowDxfId="770"/>
    <tableColumn id="47" xr3:uid="{26FA84D6-81E4-4904-AE42-4C91FC279C65}" name="sp1_overall_targetPr_gp" dataDxfId="769" totalsRowDxfId="768"/>
    <tableColumn id="48" xr3:uid="{E8A148B9-F477-457A-B2FC-C7DBD1A2D081}" name="sp1_overall_targetPr_cp" dataDxfId="767" totalsRowDxfId="766"/>
    <tableColumn id="49" xr3:uid="{5124BBEA-821E-4D43-8229-2E8EFF6F0DD7}" name="sp1_overall_targetPr_gb" dataDxfId="765" totalsRowDxfId="764"/>
    <tableColumn id="50" xr3:uid="{ADF395BA-B269-46C2-921E-120DE3B3D712}" name="sp1_overall_targetPr_fs" dataDxfId="763" totalsRowDxfId="762"/>
    <tableColumn id="51" xr3:uid="{635CC0B4-F565-4FCA-9F3C-0F3A468FDA8C}" name="sp1_overall_targetPr_li" dataDxfId="761" totalsRowDxfId="760"/>
    <tableColumn id="52" xr3:uid="{C134DF09-0646-460A-B883-60422567895A}" name="sp1_overall_targetPr_cw" dataDxfId="759" totalsRowDxfId="758"/>
    <tableColumn id="60" xr3:uid="{461F1681-09D4-4C3A-B975-7E9842F8B14B}" name="sp1_overall_targetPr_joint" totalsRowFunction="sum" dataDxfId="757" totalsRowDxfId="756"/>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0B91C2F-AC54-4740-8724-43469CF643CB}" name="idp_SP1" displayName="idp_SP1" ref="A7:BF56" totalsRowCount="1" headerRowDxfId="755" dataDxfId="754">
  <autoFilter ref="A7:BF55" xr:uid="{791E71EB-60EC-4D82-9C4D-B6981CB9A087}"/>
  <tableColumns count="58">
    <tableColumn id="1" xr3:uid="{0E4F175A-36CC-428C-B070-33606565D415}" name="ADM1_EN" totalsRowLabel="Total" dataDxfId="753"/>
    <tableColumn id="3" xr3:uid="{EBA6B57B-2EAA-4B94-A5D2-B07D8AD00E75}" name="ADM1_PCODE" dataDxfId="752"/>
    <tableColumn id="4" xr3:uid="{3F4D8826-3175-42B5-877A-31031D575CCE}" name="geo_zone" dataDxfId="751"/>
    <tableColumn id="2" xr3:uid="{3E141855-CC1A-460B-AB3F-816C56263A46}" name="swath"/>
    <tableColumn id="5" xr3:uid="{3F1B77AC-1E9E-422E-98B4-9C8A23DF47A4}" name="UoA_code" dataDxfId="750"/>
    <tableColumn id="6" xr3:uid="{638C406C-C066-4A9A-AD09-D9BE78CDC9A8}" name="idp_aff_sp1" totalsRowFunction="sum" dataDxfId="749" totalsRowDxfId="748"/>
    <tableColumn id="40" xr3:uid="{4187F457-B15F-4B6F-9F1F-8D62FD404E93}" name="ndp_aff_sp1" totalsRowFunction="sum" dataDxfId="747" totalsRowDxfId="746"/>
    <tableColumn id="41" xr3:uid="{9FAA92C7-929C-4C00-AF8E-B8E867F97EAC}" name="overall_aff_sp1" totalsRowFunction="sum" dataDxfId="745" totalsRowDxfId="744"/>
    <tableColumn id="21" xr3:uid="{307E2B8C-FCF4-40B7-8FFF-69A022C6D04A}" name="sp1_idp_pin_ed" dataDxfId="743" totalsRowDxfId="742"/>
    <tableColumn id="22" xr3:uid="{04A213BD-1442-4E05-8CAE-F91B781178B9}" name="sp1_idp_pin_fl" dataDxfId="741" totalsRowDxfId="740"/>
    <tableColumn id="23" xr3:uid="{8D4646C9-4FBA-4198-AA08-D3FB8FA2A083}" name="sp1_idp_pin_he" dataDxfId="739" totalsRowDxfId="738"/>
    <tableColumn id="24" xr3:uid="{8EC57544-EE80-4071-A7EC-4E417BD43C70}" name="sp1_idp_pin_pr" dataDxfId="737" totalsRowDxfId="736"/>
    <tableColumn id="17" xr3:uid="{C8D78117-2E12-4C92-BF32-DA69AAF3ACAF}" name="sp1_idp_pin_sn" dataDxfId="735" totalsRowDxfId="734"/>
    <tableColumn id="18" xr3:uid="{F3AE60EA-ACD2-4E6A-B3AA-F723BB9A4632}" name="sp1_idp_pin_wa" dataDxfId="733" totalsRowDxfId="732"/>
    <tableColumn id="19" xr3:uid="{B2A6AE27-C346-4B03-9A94-E611223B3291}" name="sp1_idp_pin_gp" dataDxfId="731" totalsRowDxfId="730"/>
    <tableColumn id="20" xr3:uid="{516D4808-A2C0-4190-9D6E-6096F4003D84}" name="sp1_idp_pin_cp" dataDxfId="729" totalsRowDxfId="728"/>
    <tableColumn id="15" xr3:uid="{88AA06A0-32A1-488F-8131-431883DD3490}" name="sp1_idp_pin_gb" dataDxfId="727" totalsRowDxfId="726"/>
    <tableColumn id="47" xr3:uid="{6CAE3956-55C7-4116-9C27-951D499DAAAA}" name="sp1_idp_pin_fs" dataDxfId="725" totalsRowDxfId="724"/>
    <tableColumn id="46" xr3:uid="{B3974318-DFD3-45C9-9277-08F0C2F54516}" name="sp1_idp_pin_li" dataDxfId="723" totalsRowDxfId="722"/>
    <tableColumn id="11" xr3:uid="{9BDA5CD5-A615-4DF7-B3B6-D982629A0548}" name="sp1_idp_pin_adopted" totalsRowFunction="sum" dataDxfId="721" totalsRowDxfId="720"/>
    <tableColumn id="34" xr3:uid="{8570EA1D-19AE-470C-8496-3D427D980CD9}" name="sp1_idp_sev_ed" dataDxfId="719" totalsRowDxfId="718"/>
    <tableColumn id="35" xr3:uid="{D62E104B-DAF8-4A3F-913D-E6924ED8AF0C}" name="sp1_idp_sev_fl" dataDxfId="717" totalsRowDxfId="716"/>
    <tableColumn id="36" xr3:uid="{7CEBC27A-B29E-480E-8451-D1BB99B4E016}" name="sp1_idp_sev_he" dataDxfId="715" totalsRowDxfId="714"/>
    <tableColumn id="37" xr3:uid="{06C38EF3-6FF6-4B53-A28F-7F0440A03DB5}" name="sp1_idp_sev_pr" dataDxfId="713" totalsRowDxfId="712"/>
    <tableColumn id="38" xr3:uid="{D60D8B98-DA87-4880-9526-8A88AC4522AB}" name="sp1_idp_sev_sn" dataDxfId="711" totalsRowDxfId="710"/>
    <tableColumn id="39" xr3:uid="{2413496D-52C1-4194-903C-DE912C99B230}" name="sp1_idp_sev_wa" dataDxfId="709" totalsRowDxfId="708"/>
    <tableColumn id="42" xr3:uid="{C98894B3-074C-4C18-9937-F95AD116B308}" name="sp1_idp_sev_gp" dataDxfId="707" totalsRowDxfId="706"/>
    <tableColumn id="43" xr3:uid="{29856513-F2C4-46FA-8E3E-AB9839B468BE}" name="sp1_idp_sev_cp" dataDxfId="705" totalsRowDxfId="704"/>
    <tableColumn id="44" xr3:uid="{A7C6CCA8-00BD-4742-A47A-9BF09810D6CD}" name="sp1_idp_sev_gb" dataDxfId="703" totalsRowDxfId="702"/>
    <tableColumn id="45" xr3:uid="{4C9BAFDB-6C20-44A1-8069-2FF1BE566DF6}" name="sp1_idp_sev_fs" dataDxfId="701" totalsRowDxfId="700"/>
    <tableColumn id="33" xr3:uid="{1C7937A7-CEA0-40F9-A290-BCD0FEFB36A2}" name="sp1_idp_sev_li" dataDxfId="699" totalsRowDxfId="698"/>
    <tableColumn id="53" xr3:uid="{4FDFD974-9F83-433D-BB07-9A859F16FC80}" name="sp1_idp_sev_adopted" dataDxfId="697" totalsRowDxfId="696"/>
    <tableColumn id="9" xr3:uid="{44A0809A-DCE8-4581-93DD-887ADACADCEB}" name="sp1_idp_target_ed" dataDxfId="695" totalsRowDxfId="694"/>
    <tableColumn id="12" xr3:uid="{922E1913-9755-40CF-8D4C-7276F937B87E}" name="sp1_idp_target_fl" dataDxfId="693" totalsRowDxfId="692"/>
    <tableColumn id="13" xr3:uid="{E1DFFB57-3939-4A03-AB71-E84960EA455A}" name="sp1_idp_target_he" dataDxfId="691" totalsRowDxfId="690"/>
    <tableColumn id="14" xr3:uid="{620D2E94-4779-4793-9EA4-64B74AE6806B}" name="sp1_idp_target_pr" dataDxfId="689" totalsRowDxfId="688"/>
    <tableColumn id="16" xr3:uid="{54D590BE-23E1-4F52-9591-206325B7753B}" name="sp1_idp_target_sn" dataDxfId="687" totalsRowDxfId="686"/>
    <tableColumn id="25" xr3:uid="{39803328-24C1-4A67-9989-3D568E64A18D}" name="sp1_idp_target_wa" dataDxfId="685" totalsRowDxfId="684"/>
    <tableColumn id="26" xr3:uid="{A697F634-F72B-49FC-AD94-C239C8B081F4}" name="sp1_idp_target_gp" dataDxfId="683" totalsRowDxfId="682"/>
    <tableColumn id="27" xr3:uid="{FA3C65AF-C00F-4E47-AE07-CC79BB263D67}" name="sp1_idp_target_cp" dataDxfId="681" totalsRowDxfId="680"/>
    <tableColumn id="28" xr3:uid="{9F19CAFF-E19C-4226-B4C3-4DC073FCF7BF}" name="sp1_idp_target_gb" dataDxfId="679" totalsRowDxfId="678"/>
    <tableColumn id="32" xr3:uid="{0BBC51B0-EE09-453F-93E1-0F9448ED46BF}" name="sp1_idp_target_fs" dataDxfId="677" totalsRowDxfId="676"/>
    <tableColumn id="31" xr3:uid="{65F0DC43-3BDF-4D17-9BF9-A36ECD93DDFB}" name="sp1_idp_target_li" dataDxfId="675" totalsRowDxfId="674"/>
    <tableColumn id="30" xr3:uid="{8942E86C-82F0-42F5-A747-16DDA15905C8}" name="sp1_idp_target_cw" dataDxfId="673" totalsRowDxfId="672"/>
    <tableColumn id="29" xr3:uid="{395E4136-ACEA-468C-9828-CCF6D03FF8D8}" name="sp1_idp_target_joint" totalsRowFunction="sum" dataDxfId="671" totalsRowDxfId="670"/>
    <tableColumn id="7" xr3:uid="{BDB26BC2-C144-4E1A-BEE6-65C8A344A1E8}" name="sp1_idp_targetPr_ed" dataDxfId="669" totalsRowDxfId="668"/>
    <tableColumn id="8" xr3:uid="{6256F7DC-E3B6-4E54-B052-C2DB8D0A2E27}" name="sp1_idp_targetPr_fl" dataDxfId="667" totalsRowDxfId="666"/>
    <tableColumn id="10" xr3:uid="{FFEE035A-E614-4912-A61F-90811A225617}" name="sp1_idp_targetPr_he" dataDxfId="665" totalsRowDxfId="664"/>
    <tableColumn id="50" xr3:uid="{3FC7FC6D-5610-4FA9-BE55-B3649F4009C2}" name="sp1_idp_targetPr_pr" dataDxfId="663" totalsRowDxfId="662"/>
    <tableColumn id="51" xr3:uid="{F59937C6-AEE8-43B0-8D99-BFFE1204EF77}" name="sp1_idp_targetPr_sn" dataDxfId="661" totalsRowDxfId="660"/>
    <tableColumn id="52" xr3:uid="{40AD07E9-EC16-4980-8BCE-62CEA73A9879}" name="sp1_idp_targetPr_wa" dataDxfId="659" totalsRowDxfId="658"/>
    <tableColumn id="54" xr3:uid="{327E8AB5-02B6-4ECD-AEA6-B431727237D6}" name="sp1_idp_targetPr_gp" dataDxfId="657" totalsRowDxfId="656"/>
    <tableColumn id="55" xr3:uid="{CDF98650-0B53-411E-AB4B-E297105AC5FB}" name="sp1_idp_targetPr_cp" dataDxfId="655" totalsRowDxfId="654"/>
    <tableColumn id="56" xr3:uid="{0FAFC21B-0C6B-4387-92C3-BB20B9E26AA8}" name="sp1_idp_targetPr_gb" dataDxfId="653" totalsRowDxfId="652"/>
    <tableColumn id="57" xr3:uid="{645371B9-39D4-4874-B8B2-72518201AB39}" name="sp1_idp_targetPr_fs" dataDxfId="651" totalsRowDxfId="650"/>
    <tableColumn id="58" xr3:uid="{A642245E-E6AD-4F49-87A1-533CAAFFE331}" name="sp1_idp_targetPr_li" dataDxfId="649" totalsRowDxfId="648"/>
    <tableColumn id="59" xr3:uid="{289D92DF-1323-4319-B6D0-BEF90C5AF4C7}" name="sp1_idp_targetPr_cw" dataDxfId="647" totalsRowDxfId="646"/>
    <tableColumn id="60" xr3:uid="{A1EF6875-4BF1-43EC-8E77-C87660B5F052}" name="sp1_idp_targetPr_joint" totalsRowFunction="sum" dataDxfId="645" totalsRowDxfId="644"/>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BDC3AA9-0267-4387-B800-9CF89C7D5240}" name="ndp_SP1" displayName="ndp_SP1" ref="A7:BF56" totalsRowCount="1" headerRowDxfId="643" dataDxfId="642">
  <autoFilter ref="A7:BF55" xr:uid="{791E71EB-60EC-4D82-9C4D-B6981CB9A087}"/>
  <tableColumns count="58">
    <tableColumn id="1" xr3:uid="{9FBBC30E-7DE1-4D03-8354-EF46C3F3059C}" name="ADM1_EN" totalsRowLabel="Total" dataDxfId="641"/>
    <tableColumn id="3" xr3:uid="{29144A5A-E265-4BFB-BBAF-DA2806413402}" name="ADM1_PCODE" dataDxfId="640"/>
    <tableColumn id="4" xr3:uid="{AE4CA4B2-83F2-497F-9EC8-6627D0C1BA4B}" name="geo_zone" dataDxfId="639"/>
    <tableColumn id="2" xr3:uid="{9F70A13E-8D10-49AE-BC20-A81240B73B1F}" name="swath"/>
    <tableColumn id="5" xr3:uid="{8E0E4DB3-608A-4A28-99BF-B43D3BF1BDD6}" name="UoA_code" dataDxfId="638"/>
    <tableColumn id="6" xr3:uid="{1259FEF1-95C0-4487-B730-D961F86BE4CF}" name="idp_aff_sp1" totalsRowFunction="sum" dataDxfId="637" totalsRowDxfId="636"/>
    <tableColumn id="40" xr3:uid="{689B0304-52CD-4D4D-9F11-09B1F827F1AD}" name="ndp_aff_sp1" totalsRowFunction="sum" dataDxfId="635" totalsRowDxfId="634"/>
    <tableColumn id="41" xr3:uid="{B623A83C-81FB-4952-AA7B-AD65E99AACDF}" name="overall_aff_sp1" totalsRowFunction="sum" dataDxfId="633" totalsRowDxfId="632"/>
    <tableColumn id="21" xr3:uid="{398F818A-4651-498A-BF01-9A2DE0475C17}" name="sp1_ndp_pin_ed" dataDxfId="631" totalsRowDxfId="630"/>
    <tableColumn id="22" xr3:uid="{BA2DD6A2-3137-4AF9-9654-9E8951200B9C}" name="sp1_ndp_pin_fl" dataDxfId="629" totalsRowDxfId="628"/>
    <tableColumn id="23" xr3:uid="{E5A81247-DFE8-4B67-A313-73A6129AFC8D}" name="sp1_ndp_pin_he" dataDxfId="627" totalsRowDxfId="626"/>
    <tableColumn id="24" xr3:uid="{D0949FAD-9750-42B8-A41B-C5AE14D82876}" name="sp1_ndp_pin_pr" dataDxfId="625" totalsRowDxfId="624"/>
    <tableColumn id="17" xr3:uid="{57ACD1E6-0E59-41E3-9D92-DDAA627BE038}" name="sp1_ndp_pin_sn" dataDxfId="623" totalsRowDxfId="622"/>
    <tableColumn id="18" xr3:uid="{14C91BC0-9920-4C9C-B8C4-91A3223B0D62}" name="sp1_ndp_pin_wa" dataDxfId="621" totalsRowDxfId="620"/>
    <tableColumn id="19" xr3:uid="{F1A126EA-7C8B-445C-8E34-C06E4CF1E288}" name="sp1_ndp_pin_gp" dataDxfId="619" totalsRowDxfId="618"/>
    <tableColumn id="20" xr3:uid="{29C6AA4A-F5CC-49D7-A441-AF2DFB2EC79B}" name="sp1_ndp_pin_cp" dataDxfId="617" totalsRowDxfId="616"/>
    <tableColumn id="15" xr3:uid="{90927CBD-0DDF-4E62-B0C3-C2B7F17A5082}" name="sp1_ndp_pin_gb" dataDxfId="615" totalsRowDxfId="614"/>
    <tableColumn id="32" xr3:uid="{C9513D2D-B934-45C3-93FB-B2A04F890D1E}" name="sp1_ndp_pin_fs" dataDxfId="613" totalsRowDxfId="612"/>
    <tableColumn id="31" xr3:uid="{68750412-B201-4B2F-ABE5-53B2DBD10D60}" name="sp1_ndp_pin_li" dataDxfId="611" totalsRowDxfId="610"/>
    <tableColumn id="11" xr3:uid="{CD7ED9AD-CA3A-4683-9B39-754F26E719A6}" name="sp1_ndp_pin_adopted" totalsRowFunction="sum" dataDxfId="609" totalsRowDxfId="608"/>
    <tableColumn id="34" xr3:uid="{8F96034E-4FB7-4A3C-9092-8FA7E89D792B}" name="sp1_ndp_sev_ed" dataDxfId="607" totalsRowDxfId="606"/>
    <tableColumn id="35" xr3:uid="{C8787467-A543-4631-A23D-4922D249DD3E}" name="sp1_ndp_sev_fl" dataDxfId="605" totalsRowDxfId="604"/>
    <tableColumn id="36" xr3:uid="{DE855BA2-5C60-4D4D-BB26-F19AD355AD69}" name="sp1_ndp_sev_he" dataDxfId="603" totalsRowDxfId="602"/>
    <tableColumn id="37" xr3:uid="{E9AB39B5-6348-4CF2-BBEB-E45FF616441E}" name="sp1_ndp_sev_pr" dataDxfId="601" totalsRowDxfId="600"/>
    <tableColumn id="38" xr3:uid="{92A2A0AA-0478-43AB-9986-540B3F64E43C}" name="sp1_ndp_sev_sn" dataDxfId="599" totalsRowDxfId="598"/>
    <tableColumn id="39" xr3:uid="{24D9C758-A947-49C4-AA82-11022E287EFA}" name="sp1_ndp_sev_wa" dataDxfId="597" totalsRowDxfId="596"/>
    <tableColumn id="42" xr3:uid="{15573875-3668-4570-AD7B-8D9C5E86987A}" name="sp1_ndp_sev_gp" dataDxfId="595" totalsRowDxfId="594"/>
    <tableColumn id="43" xr3:uid="{34F57E55-D241-4ED5-976C-14A599AE4E74}" name="sp1_ndp_sev_cp" dataDxfId="593" totalsRowDxfId="592"/>
    <tableColumn id="44" xr3:uid="{07F869D2-5C98-4FD7-9897-B6FC93C18C49}" name="sp1_ndp_sev_gb" dataDxfId="591" totalsRowDxfId="590"/>
    <tableColumn id="47" xr3:uid="{BB2C10A4-52A2-45D8-8AC7-442A51531080}" name="sp1_ndp_sev_fs" dataDxfId="589" totalsRowDxfId="588"/>
    <tableColumn id="46" xr3:uid="{F8A0647C-452C-4299-AF2F-F948D190ED48}" name="sp1_ndp_sev_li" dataDxfId="587" totalsRowDxfId="586"/>
    <tableColumn id="53" xr3:uid="{87C5DAF5-4298-4AA6-A858-81433237A2FC}" name="sp1_ndp_sev_adopted" dataDxfId="585" totalsRowDxfId="584"/>
    <tableColumn id="9" xr3:uid="{6305982C-0021-41AB-A592-6EDA15F4BD7D}" name="sp1_ndp_target_ed" dataDxfId="583" totalsRowDxfId="582"/>
    <tableColumn id="12" xr3:uid="{CF2CB4F4-A590-44BD-A309-725F7B46A37A}" name="sp1_ndp_target_fl" dataDxfId="581" totalsRowDxfId="580"/>
    <tableColumn id="13" xr3:uid="{4660C3B6-E17F-4736-98E5-F0A3A62FA8F8}" name="sp1_ndp_target_he" dataDxfId="579" totalsRowDxfId="578"/>
    <tableColumn id="14" xr3:uid="{E8F642FE-4999-4B2E-A711-AF9081C922A5}" name="sp1_ndp_target_pr" dataDxfId="577" totalsRowDxfId="576"/>
    <tableColumn id="16" xr3:uid="{3A6F6528-F10F-4B4D-A90A-6A770E47776D}" name="sp1_ndp_target_sn" dataDxfId="575" totalsRowDxfId="574"/>
    <tableColumn id="25" xr3:uid="{BFC5DB56-3370-41FC-83D1-8CDB8F0D1BA1}" name="sp1_ndp_target_wa" dataDxfId="573" totalsRowDxfId="572"/>
    <tableColumn id="26" xr3:uid="{AC625A0E-A190-4742-A757-8DFED2E1FB44}" name="sp1_ndp_target_gp" dataDxfId="571" totalsRowDxfId="570"/>
    <tableColumn id="27" xr3:uid="{9F1092EA-5918-4768-9AB4-52170055C848}" name="sp1_ndp_target_cp" dataDxfId="569" totalsRowDxfId="568"/>
    <tableColumn id="28" xr3:uid="{94F29551-58F4-4608-8307-124406FB2511}" name="sp1_ndp_target_gb" dataDxfId="567" totalsRowDxfId="566"/>
    <tableColumn id="45" xr3:uid="{95BF9067-7948-4E4C-8735-FC5076A36B54}" name="sp1_ndp_target_fs" dataDxfId="565" totalsRowDxfId="564"/>
    <tableColumn id="33" xr3:uid="{C06CF289-CE1E-4F85-8002-3A74ABBA3550}" name="sp1_ndp_target_li" dataDxfId="563" totalsRowDxfId="562"/>
    <tableColumn id="30" xr3:uid="{ACB0B9BF-397F-42C0-A57B-D303D8EC610D}" name="sp1_ndp_target_cw" dataDxfId="561" totalsRowDxfId="560"/>
    <tableColumn id="29" xr3:uid="{1A75A762-284D-44CD-9B89-B1766E579837}" name="sp1_ndp_target_joint" totalsRowFunction="sum" dataDxfId="559" totalsRowDxfId="558"/>
    <tableColumn id="7" xr3:uid="{1D367688-54AB-4286-BEF4-BBFB6C2D5178}" name="sp1_ndp_targetPr_ed" dataDxfId="557" totalsRowDxfId="556"/>
    <tableColumn id="8" xr3:uid="{2E01BCE9-7AE5-4FE4-BA5C-36B9A4FAFC5D}" name="sp1_ndp_targetPr_fl" dataDxfId="555" totalsRowDxfId="554"/>
    <tableColumn id="10" xr3:uid="{65E5EBD7-8C80-4BED-A6C6-1FD63E8E9D6E}" name="sp1_ndp_targetPr_he" dataDxfId="553" totalsRowDxfId="552"/>
    <tableColumn id="50" xr3:uid="{4B614040-67D5-4BC3-8C60-A682133D4FA4}" name="sp1_ndp_targetPr_pr" dataDxfId="551" totalsRowDxfId="550"/>
    <tableColumn id="51" xr3:uid="{43265403-81F2-4305-80CC-F54298472031}" name="sp1_ndp_targetPr_sn" dataDxfId="549" totalsRowDxfId="548"/>
    <tableColumn id="52" xr3:uid="{B8CC6A66-1E75-435C-A2D3-BF3403D4336F}" name="sp1_ndp_targetPr_wa" dataDxfId="547" totalsRowDxfId="546"/>
    <tableColumn id="54" xr3:uid="{FD105FC2-D969-4CC9-93CC-04EFE8D2304C}" name="sp1_ndp_targetPr_gp" dataDxfId="545" totalsRowDxfId="544"/>
    <tableColumn id="55" xr3:uid="{9958120E-082E-4E8E-ACD3-E8BA3BA6EABB}" name="sp1_ndp_targetPr_cp" dataDxfId="543" totalsRowDxfId="542"/>
    <tableColumn id="56" xr3:uid="{F761F4A6-660D-4A9F-BB86-EF9199B0F964}" name="sp1_ndp_targetPr_gb" dataDxfId="541" totalsRowDxfId="540"/>
    <tableColumn id="57" xr3:uid="{176D2B2F-C0AA-4F35-A36D-DC8A0521650D}" name="sp1_ndp_targetPr_fs" dataDxfId="539" totalsRowDxfId="538"/>
    <tableColumn id="58" xr3:uid="{71AFDA01-CDD8-49AE-8220-F98BC8AEDE4D}" name="sp1_ndp_targetPr_li" dataDxfId="537" totalsRowDxfId="536"/>
    <tableColumn id="59" xr3:uid="{A4B7BDFF-0512-44B8-ADFB-3236B6548CEE}" name="sp1_ndp_targetPr_cw" dataDxfId="535" totalsRowDxfId="534"/>
    <tableColumn id="60" xr3:uid="{ED97EC0C-452F-49C1-B82D-05739B3FBC1F}" name="sp1_ndp_targetPr_joint" totalsRowFunction="sum" dataDxfId="533" totalsRowDxfId="532"/>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2412DE-8951-4ED2-8F0C-3FE4FE02E8F5}" name="sp2_idp" displayName="sp2_idp" ref="A6:AQ8" totalsRowCount="1" headerRowDxfId="531" dataDxfId="530">
  <autoFilter ref="A6:AQ7" xr:uid="{F92412DE-8951-4ED2-8F0C-3FE4FE02E8F5}"/>
  <sortState xmlns:xlrd2="http://schemas.microsoft.com/office/spreadsheetml/2017/richdata2" ref="A7:E7">
    <sortCondition ref="C6:C7"/>
  </sortState>
  <tableColumns count="43">
    <tableColumn id="4" xr3:uid="{78AB439F-B645-4997-A6BD-ACEC2E0D779C}" name="geo_zone" totalsRowLabel="Total" dataDxfId="529"/>
    <tableColumn id="5" xr3:uid="{624D0ABE-4378-418F-BF56-8CDA4279188B}" name="swath"/>
    <tableColumn id="3" xr3:uid="{84001C78-4DCC-4E37-8593-4B15FD23E796}" name="code"/>
    <tableColumn id="39" xr3:uid="{DF6B97A6-DA52-4BA7-A8E3-0FA6CF326666}" name="sp2_udp_pin" totalsRowFunction="sum" dataDxfId="528" totalsRowDxfId="527"/>
    <tableColumn id="2" xr3:uid="{444E101D-DCD6-44F3-BA71-EB8CCE6F3143}" name="sp2_udp_sev" dataDxfId="526" totalsRowDxfId="525"/>
    <tableColumn id="6" xr3:uid="{681CB6B7-079E-471C-9FC1-5C8F075628D1}" name="sp2_idp_pin_ed" totalsRowFunction="sum" dataDxfId="524" totalsRowDxfId="523"/>
    <tableColumn id="7" xr3:uid="{BCE52372-6BC8-408F-8774-7891148E9982}" name="sp2_idp_pin_fl" totalsRowFunction="sum" dataDxfId="522" totalsRowDxfId="521"/>
    <tableColumn id="8" xr3:uid="{B6CE4D81-0481-4746-BB58-BEED4D6E249B}" name="sp2_idp_pin_he" totalsRowFunction="sum" dataDxfId="520" totalsRowDxfId="519"/>
    <tableColumn id="9" xr3:uid="{DEA9D46F-7084-41E3-8F34-09E02F32C2F8}" name="sp2_idp_pin_pr" totalsRowFunction="sum" dataDxfId="518" totalsRowDxfId="517"/>
    <tableColumn id="10" xr3:uid="{4A8746F2-555E-4D2F-9B55-2DD597F21694}" name="sp2_idp_pin_sn" totalsRowFunction="sum" dataDxfId="516" totalsRowDxfId="515"/>
    <tableColumn id="11" xr3:uid="{F4A565A3-C4EA-497E-AE3F-8E7D43F2B5D8}" name="sp2_idp_pin_wa" totalsRowFunction="sum" dataDxfId="514" totalsRowDxfId="513"/>
    <tableColumn id="12" xr3:uid="{62CC53F3-B05D-46D4-A21B-E54D911277E3}" name="sp2_idp_pin_gp" totalsRowFunction="sum" dataDxfId="512" totalsRowDxfId="511"/>
    <tableColumn id="13" xr3:uid="{491DE18D-7BE8-44CB-AAD8-729363070126}" name="sp2_idp_pin_cp" totalsRowFunction="sum" dataDxfId="510" totalsRowDxfId="509"/>
    <tableColumn id="14" xr3:uid="{DECC3532-54E6-458A-A1AD-FF7738215BD2}" name="sp2_idp_pin_gb" totalsRowFunction="sum" dataDxfId="508" totalsRowDxfId="507"/>
    <tableColumn id="18" xr3:uid="{C0CE2DEB-AA60-42F3-A903-F464A328CA72}" name="sp2_idp_pin_fs" totalsRowFunction="sum" dataDxfId="506" totalsRowDxfId="505"/>
    <tableColumn id="17" xr3:uid="{E48083E4-A0E2-4C79-AC60-D3A87BB7AFF5}" name="sp2_idp_pin_li" totalsRowFunction="sum" dataDxfId="504" totalsRowDxfId="503"/>
    <tableColumn id="15" xr3:uid="{98309025-413A-4BDC-8F30-136C6FB43DFC}" name="sp2_idp_pin_adopted" totalsRowFunction="sum" dataDxfId="502" totalsRowDxfId="501"/>
    <tableColumn id="26" xr3:uid="{D947FBCD-F5F9-4388-8C1A-5DAEF3FBE439}" name="sp2_idp_target_ed" totalsRowFunction="sum" dataDxfId="500" totalsRowDxfId="499"/>
    <tableColumn id="27" xr3:uid="{9D64DB19-ADF2-440F-A49C-698001FB0113}" name="sp2_idp_target_fl" totalsRowFunction="sum" dataDxfId="498" totalsRowDxfId="497"/>
    <tableColumn id="28" xr3:uid="{0E11FDEB-9AAD-43C0-AD7C-9B87E168C969}" name="sp2_idp_target_he" totalsRowFunction="sum" dataDxfId="496" totalsRowDxfId="495"/>
    <tableColumn id="29" xr3:uid="{846F2795-F9B7-4FD9-AAF3-CD0569326980}" name="sp2_idp_target_pr" totalsRowFunction="sum" dataDxfId="494" totalsRowDxfId="493"/>
    <tableColumn id="30" xr3:uid="{6732BFE9-5ECD-4CE1-AC6F-F288EFE37E8B}" name="sp2_idp_target_sn" totalsRowFunction="sum" dataDxfId="492" totalsRowDxfId="491"/>
    <tableColumn id="31" xr3:uid="{3796AF00-F16F-43A4-B073-ABE7AA15605D}" name="sp2_idp_target_wa" totalsRowFunction="sum" dataDxfId="490" totalsRowDxfId="489"/>
    <tableColumn id="32" xr3:uid="{A83AC67F-A7B8-41C4-A7B5-683034BF3FEE}" name="sp2_idp_target_gp" totalsRowFunction="sum" dataDxfId="488" totalsRowDxfId="487"/>
    <tableColumn id="33" xr3:uid="{8A976332-23A1-44FE-A144-F1E417E02D23}" name="sp2_idp_target_cp" totalsRowFunction="sum" dataDxfId="486" totalsRowDxfId="485"/>
    <tableColumn id="34" xr3:uid="{A2F12A3B-AD48-4653-B475-5717C81CDD1B}" name="sp2_idp_target_gb" totalsRowFunction="sum" dataDxfId="484" totalsRowDxfId="483"/>
    <tableColumn id="20" xr3:uid="{2CBE4DAE-4B58-40BA-BBF9-3497182F2757}" name="sp2_idp_target_fs" totalsRowFunction="sum" dataDxfId="482" totalsRowDxfId="481"/>
    <tableColumn id="19" xr3:uid="{B3F02006-10AE-46A3-9CBB-C460A621AB4F}" name="sp2_idp_target_li" totalsRowFunction="sum" dataDxfId="480" totalsRowDxfId="479"/>
    <tableColumn id="16" xr3:uid="{AC182813-FCF5-460C-8BD0-99C3493F0E39}" name="sp2_idp_target_cw" totalsRowFunction="sum" dataDxfId="478" totalsRowDxfId="477"/>
    <tableColumn id="35" xr3:uid="{2E2F2750-585F-40C6-B1F8-B6F330251B32}" name="sp2_idp_target_joint" totalsRowFunction="sum" dataDxfId="476" totalsRowDxfId="475"/>
    <tableColumn id="21" xr3:uid="{43CAFD22-5566-41CC-9204-9F257B441D0D}" name="sp2_idp_targetPr_ed" totalsRowFunction="sum" dataDxfId="474" totalsRowDxfId="473"/>
    <tableColumn id="22" xr3:uid="{7CD9C633-30B6-496C-B188-B916848F554A}" name="sp2_idp_targetPr_fl" totalsRowFunction="sum" dataDxfId="472" totalsRowDxfId="471"/>
    <tableColumn id="23" xr3:uid="{E07CB4EF-0909-4441-B8FC-094AD0B9DCED}" name="sp2_idp_targetPr_he" totalsRowFunction="sum" dataDxfId="470" totalsRowDxfId="469"/>
    <tableColumn id="24" xr3:uid="{33FD50E6-1E6E-4738-8F88-ECB3E22D7719}" name="sp2_idp_targetPr_pr" totalsRowFunction="sum" dataDxfId="468" totalsRowDxfId="467"/>
    <tableColumn id="25" xr3:uid="{B2FB2610-1413-461D-A41A-B2635B6E63A0}" name="sp2_idp_targetPr_sn" totalsRowFunction="sum" dataDxfId="466" totalsRowDxfId="465"/>
    <tableColumn id="36" xr3:uid="{716F7FED-D3A2-48A0-9F3A-F9E97A385CC6}" name="sp2_idp_targetPr_wa" totalsRowFunction="sum" dataDxfId="464" totalsRowDxfId="463"/>
    <tableColumn id="37" xr3:uid="{34C92C51-60DD-49D1-B126-084796454900}" name="sp2_idp_targetPr_gp" totalsRowFunction="sum" dataDxfId="462" totalsRowDxfId="461"/>
    <tableColumn id="38" xr3:uid="{D5E01ECD-7EDF-41DD-B38A-695F90C696B5}" name="sp2_idp_targetPr_cp" totalsRowFunction="sum" dataDxfId="460" totalsRowDxfId="459"/>
    <tableColumn id="40" xr3:uid="{E4857D29-24C5-46EB-BF92-6A430720F5DB}" name="sp2_idp_targetPr_gb" totalsRowFunction="sum" dataDxfId="458" totalsRowDxfId="457"/>
    <tableColumn id="41" xr3:uid="{3E6DEB95-3822-4303-A1EE-AE71B36B8969}" name="sp2_idp_targetPr_fs" totalsRowFunction="sum" dataDxfId="456" totalsRowDxfId="455"/>
    <tableColumn id="42" xr3:uid="{43A49063-F509-4D58-B8D1-65201342C2BE}" name="sp2_idp_targetPr_li" totalsRowFunction="sum" dataDxfId="454" totalsRowDxfId="453"/>
    <tableColumn id="43" xr3:uid="{AEC702A2-2D36-47FA-9B74-2E769E343F5A}" name="sp2_idp_targetPr_cw" totalsRowFunction="sum" dataDxfId="452" totalsRowDxfId="451"/>
    <tableColumn id="44" xr3:uid="{C2065B64-E0F2-46E6-B295-106C3E6CF499}" name="sp2_idp_targetPr_joint" totalsRowFunction="sum" dataDxfId="450" totalsRowDxfId="449"/>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559CC2E-2119-47A4-BD48-A4DD2B25AA8C}" name="sp3_overall" displayName="sp3_overall" ref="A6:AQ14" totalsRowCount="1" headerRowDxfId="448">
  <autoFilter ref="A6:AQ13" xr:uid="{4FCA644B-058D-40CB-AF42-10C6B15E035D}"/>
  <sortState xmlns:xlrd2="http://schemas.microsoft.com/office/spreadsheetml/2017/richdata2" ref="A7:E13">
    <sortCondition ref="C6:C13"/>
  </sortState>
  <tableColumns count="43">
    <tableColumn id="1" xr3:uid="{89169E09-5083-48F0-8AD1-7D6C46CAA666}" name="geo_zone" totalsRowLabel="Total"/>
    <tableColumn id="19" xr3:uid="{3D37D570-D208-4928-A121-564A9022369B}" name="swath"/>
    <tableColumn id="18" xr3:uid="{2006B02F-7B1A-4873-BCF2-CC19F55083D9}" name="code"/>
    <tableColumn id="3" xr3:uid="{CB6711E3-1F88-402E-B369-4BC0A22CC19A}" name="sp3_overall_pin" totalsRowFunction="sum" dataDxfId="447" totalsRowDxfId="446"/>
    <tableColumn id="17" xr3:uid="{D25C1CCC-E939-4A5F-8592-EB5177D7C0B8}" name="sp3_overall_sev" dataDxfId="445" totalsRowDxfId="444"/>
    <tableColumn id="4" xr3:uid="{A6F21995-A496-4614-8B29-FA72D0D39205}" name="sp3_overall_pin_ed" dataDxfId="443" totalsRowDxfId="442"/>
    <tableColumn id="5" xr3:uid="{DC743618-1B4F-42E0-A5E2-36EACD17AACE}" name="sp3_overall_pin_fl" dataDxfId="441" totalsRowDxfId="440"/>
    <tableColumn id="6" xr3:uid="{5113C7C6-6684-44DF-91D2-10F7FD410474}" name="sp3_overall_pin_he" dataDxfId="439" totalsRowDxfId="438"/>
    <tableColumn id="7" xr3:uid="{4C2D153A-F02E-4802-A772-CB771008278C}" name="sp3_overall_pin_pr" dataDxfId="437" totalsRowDxfId="436"/>
    <tableColumn id="8" xr3:uid="{6250F5AA-70FA-461F-AF9A-F4553D5A4463}" name="sp3_overall_pin_sn" dataDxfId="435" totalsRowDxfId="434"/>
    <tableColumn id="9" xr3:uid="{8EFDD8F4-F0A0-41E1-8672-C4138DE61841}" name="sp3_overall_pin_wa" dataDxfId="433" totalsRowDxfId="432"/>
    <tableColumn id="10" xr3:uid="{C9EB1E57-7813-4413-8576-D138C64AF12B}" name="sp3_overall_pin_gp" dataDxfId="431" totalsRowDxfId="430"/>
    <tableColumn id="11" xr3:uid="{7AA73EF7-C948-40C8-883C-503A5CC2A81C}" name="sp3_overall_pin_cp" dataDxfId="429" totalsRowDxfId="428"/>
    <tableColumn id="12" xr3:uid="{0BD3A601-02D4-4EE4-8ED3-C47770A57B09}" name="sp3_overall_pin_gb" dataDxfId="427" totalsRowDxfId="426"/>
    <tableColumn id="84" xr3:uid="{E7E6167B-03F3-4382-A451-4DF1C0F9D819}" name="sp3_overall_pin_fs" dataDxfId="425" totalsRowDxfId="424"/>
    <tableColumn id="83" xr3:uid="{A2D0350D-CD10-45B1-83EB-F864560EF8C7}" name="sp3_overall_pin_li" dataDxfId="423" totalsRowDxfId="422"/>
    <tableColumn id="13" xr3:uid="{8FCBAF3E-538B-4111-B6DC-5033F43F5F6D}" name="sp3_overall_pin_adopted" totalsRowFunction="sum" dataDxfId="421" totalsRowDxfId="420"/>
    <tableColumn id="14" xr3:uid="{1E778B1C-7EB4-4E4E-AFF6-1F78F8B2EB38}" name="sp3_overall_target_ed" dataDxfId="419" totalsRowDxfId="418"/>
    <tableColumn id="15" xr3:uid="{C9735BFC-4643-42E4-B327-89CF5237708C}" name="sp3_overall_target_fl" dataDxfId="417" totalsRowDxfId="416"/>
    <tableColumn id="16" xr3:uid="{E5B4D805-C427-4907-8BFB-261D451FD50A}" name="sp3_overall_target_he" dataDxfId="415" totalsRowDxfId="414"/>
    <tableColumn id="20" xr3:uid="{9A671354-2536-40A0-8517-17FDEF16D48C}" name="sp3_overall_target_pr" dataDxfId="413" totalsRowDxfId="412"/>
    <tableColumn id="21" xr3:uid="{9A5DD11E-CA28-4151-B878-080B90187779}" name="sp3_overall_target_sn" dataDxfId="411" totalsRowDxfId="410"/>
    <tableColumn id="22" xr3:uid="{7D22A28A-9685-4126-A6E5-D458B30BD647}" name="sp3_overall_target_wa" dataDxfId="409" totalsRowDxfId="408"/>
    <tableColumn id="23" xr3:uid="{4FDD07F7-819E-4A1A-953B-8BC82614323D}" name="sp3_overall_target_gp" dataDxfId="407" totalsRowDxfId="406"/>
    <tableColumn id="24" xr3:uid="{8EF8DDD0-460A-44E8-89C9-9A599C9C901F}" name="sp3_overall_target_cp" dataDxfId="405" totalsRowDxfId="404"/>
    <tableColumn id="25" xr3:uid="{DFD22B62-FF2D-4327-A423-40439CC73EC5}" name="sp3_overall_target_gb" dataDxfId="403" totalsRowDxfId="402"/>
    <tableColumn id="90" xr3:uid="{E38A20A7-A49C-4827-AAF0-7142B7EAA1DB}" name="sp3_overall_target_fs" dataDxfId="401" totalsRowDxfId="400"/>
    <tableColumn id="89" xr3:uid="{990DB90B-A524-4758-8A91-878F5CECF3EA}" name="sp3_overall_target_li" dataDxfId="399" totalsRowDxfId="398"/>
    <tableColumn id="27" xr3:uid="{7E7ED17B-AC7F-44FA-8D72-3072F9A61818}" name="sp3_overall_target_cw" dataDxfId="397" totalsRowDxfId="396"/>
    <tableColumn id="26" xr3:uid="{C301343A-9226-483E-8B25-0632A57240EE}" name="sp3_overall_target_joint" totalsRowFunction="sum" dataDxfId="395" totalsRowDxfId="394"/>
    <tableColumn id="30" xr3:uid="{807DDBB3-E307-4B2F-B20E-7A3F0AA0B9B7}" name="sp3_overall_targetPr_ed" dataDxfId="393" totalsRowDxfId="392"/>
    <tableColumn id="73" xr3:uid="{B8B5EC26-6E8B-45E2-BFDC-3382899E2AAB}" name="sp3_overall_targetPr_fl" dataDxfId="391" totalsRowDxfId="390"/>
    <tableColumn id="74" xr3:uid="{97F35F65-9CAB-46D3-8970-6F786A3581CD}" name="sp3_overall_targetPr_he" dataDxfId="389" totalsRowDxfId="388"/>
    <tableColumn id="75" xr3:uid="{52FBF9E2-BB4D-44DB-B0BE-57218FA62416}" name="sp3_overall_targetPr_pr" dataDxfId="387" totalsRowDxfId="386"/>
    <tableColumn id="76" xr3:uid="{FD0C499B-4CFB-4EA0-B76F-42D0B0D80166}" name="sp3_overall_targetPr_sn" dataDxfId="385" totalsRowDxfId="384"/>
    <tableColumn id="77" xr3:uid="{2365D536-3729-4622-9CE1-1F45A401C9E9}" name="sp3_overall_targetPr_wa" dataDxfId="383" totalsRowDxfId="382"/>
    <tableColumn id="78" xr3:uid="{09BF8ADA-C9F6-4AC3-865C-4874E68734E1}" name="sp3_overall_targetPr_gp" dataDxfId="381" totalsRowDxfId="380"/>
    <tableColumn id="79" xr3:uid="{89BB497C-3EB7-4449-AB48-922E260B4323}" name="sp3_overall_targetPr_cp" dataDxfId="379" totalsRowDxfId="378"/>
    <tableColumn id="80" xr3:uid="{F00E4AB4-55B9-499D-A9B7-FB9C1CF14487}" name="sp3_overall_targetPr_gb" dataDxfId="377" totalsRowDxfId="376"/>
    <tableColumn id="81" xr3:uid="{17147B38-23F0-499C-9722-C1CE55C7E7C6}" name="sp3_overall_targetPr_fs" dataDxfId="375" totalsRowDxfId="374"/>
    <tableColumn id="82" xr3:uid="{FEF78869-48F2-4913-80DE-0E78BA64F8B1}" name="sp3_overall_targetPr_li" dataDxfId="373" totalsRowDxfId="372"/>
    <tableColumn id="95" xr3:uid="{AE6D30CC-1A67-4F50-BD0B-7FB2E5743762}" name="sp3_overall_targetPr_cw" dataDxfId="371" totalsRowDxfId="370"/>
    <tableColumn id="96" xr3:uid="{10C19C5A-82EF-47C3-9991-F363A690A120}" name="sp3_overall_targetPr_joint" totalsRowFunction="sum" dataDxfId="369" totalsRowDxfId="368"/>
  </tableColumns>
  <tableStyleInfo name="TableStyleLight15"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E7DB3FE0-DA89-4F50-8CEE-C9C2E353950F}" name="overall_SP4" displayName="overall_SP4" ref="A7:BF56" totalsRowCount="1" headerRowDxfId="367" dataDxfId="366">
  <autoFilter ref="A7:BF55" xr:uid="{791E71EB-60EC-4D82-9C4D-B6981CB9A087}"/>
  <sortState xmlns:xlrd2="http://schemas.microsoft.com/office/spreadsheetml/2017/richdata2" ref="A8:AS55">
    <sortCondition ref="E7:E55"/>
  </sortState>
  <tableColumns count="58">
    <tableColumn id="1" xr3:uid="{9145761A-A7FB-4CFF-8457-F874A5619552}" name="ADM1_EN" totalsRowLabel="Total" dataDxfId="365"/>
    <tableColumn id="3" xr3:uid="{D19AF57F-4CC5-43BA-9E20-A93F3A5D6A9B}" name="ADM1_PCODE" dataDxfId="364"/>
    <tableColumn id="4" xr3:uid="{92278D66-F24F-44E7-97CE-B83F130CFE93}" name="geo_zone" dataDxfId="363"/>
    <tableColumn id="2" xr3:uid="{2E389084-BAD1-45C9-A0D2-A6F4CAAC12AB}" name="swath"/>
    <tableColumn id="5" xr3:uid="{E4D8C09E-3A00-4ABF-9862-89857A32DA93}" name="UoA_code" dataDxfId="362"/>
    <tableColumn id="6" xr3:uid="{B50515AB-FE94-43F1-B32D-90C30E7959B1}" name="idp_aff_sp4" totalsRowFunction="sum" dataDxfId="361" totalsRowDxfId="360"/>
    <tableColumn id="40" xr3:uid="{2CC50D6B-1B01-4D61-9DF8-C3D71229A123}" name="ndp_aff_sp4" totalsRowFunction="sum" dataDxfId="359" totalsRowDxfId="358"/>
    <tableColumn id="41" xr3:uid="{576D7608-769E-4AD3-8331-EA50E3C8CE83}" name="overall_aff_sp4" totalsRowFunction="sum" dataDxfId="357" totalsRowDxfId="356"/>
    <tableColumn id="21" xr3:uid="{707BF72C-321C-4A58-8A8C-631B342E1CD8}" name="sp4_overall_pin_ed" dataDxfId="355" totalsRowDxfId="354"/>
    <tableColumn id="22" xr3:uid="{21C62791-F1B8-4E04-AA52-6608CE9B9D2E}" name="sp4_overall_pin_fl" dataDxfId="353" totalsRowDxfId="352"/>
    <tableColumn id="23" xr3:uid="{86C1B89F-A666-497F-B62F-AE01BB09F261}" name="sp4_overall_pin_he" dataDxfId="351" totalsRowDxfId="350"/>
    <tableColumn id="24" xr3:uid="{0C4E95EC-A014-4810-8BE1-87D671A65227}" name="sp4_overall_pin_pr" dataDxfId="349" totalsRowDxfId="348"/>
    <tableColumn id="17" xr3:uid="{4789C643-FA0A-4D27-94C8-B8A0E193FAB4}" name="sp4_overall_pin_sn" dataDxfId="347" totalsRowDxfId="346"/>
    <tableColumn id="18" xr3:uid="{3E935184-489C-4FFB-8A2B-C9B75F3EBAFA}" name="sp4_overall_pin_wa" dataDxfId="345" totalsRowDxfId="344"/>
    <tableColumn id="19" xr3:uid="{D4FB9B55-DF88-4DB8-B422-DBA390AADB5F}" name="sp4_overall_pin_gp" dataDxfId="343" totalsRowDxfId="342"/>
    <tableColumn id="20" xr3:uid="{A31A40FA-2CE5-4B75-B278-FE7D76B3F676}" name="sp4_overall_pin_cp" dataDxfId="341" totalsRowDxfId="340"/>
    <tableColumn id="15" xr3:uid="{7E8FB205-69BF-4E49-9FB5-CC031E57AB12}" name="sp4_overall_pin_gb" dataDxfId="339" totalsRowDxfId="338"/>
    <tableColumn id="59" xr3:uid="{84F79457-F540-4AA8-A062-03B73B19947F}" name="sp4_overall_pin_fs" dataDxfId="337" totalsRowDxfId="336"/>
    <tableColumn id="58" xr3:uid="{1589BA9E-1401-41B8-B56B-F4787BD15A99}" name="sp4_overall_pin_li" dataDxfId="335" totalsRowDxfId="334"/>
    <tableColumn id="11" xr3:uid="{19673DF1-4A4A-451E-95AC-AC787BD48DB2}" name="sp4_overall_pin_adopted" totalsRowFunction="sum" dataDxfId="333" totalsRowDxfId="332"/>
    <tableColumn id="34" xr3:uid="{5F881068-750E-4A50-8FDB-05D75C1C311C}" name="sp4_overall_sev_ed" dataDxfId="331" totalsRowDxfId="330"/>
    <tableColumn id="35" xr3:uid="{502A2162-128E-44BB-AC1C-CBFF352F3690}" name="sp4_overall_sev_fl" dataDxfId="329" totalsRowDxfId="328"/>
    <tableColumn id="36" xr3:uid="{6ACC5CA9-D9D2-4814-B9D4-9C88E9588B60}" name="sp4_overall_sev_he" dataDxfId="327" totalsRowDxfId="326"/>
    <tableColumn id="37" xr3:uid="{8B6A161A-86CC-4E4F-8989-8CB8D70F73DF}" name="sp4_overall_sev_pr" dataDxfId="325" totalsRowDxfId="324"/>
    <tableColumn id="38" xr3:uid="{0C1519C6-1A12-41F2-A956-E62D1C7CB695}" name="sp4_overall_sev_sn" dataDxfId="323" totalsRowDxfId="322"/>
    <tableColumn id="39" xr3:uid="{CEAFFB31-BD4B-49C2-AEE5-AD7743A9BB95}" name="sp4_overall_sev_wa" dataDxfId="321" totalsRowDxfId="320"/>
    <tableColumn id="42" xr3:uid="{7CDD5D51-40E3-4916-8347-80BF7EA205FD}" name="sp4_overall_sev_gp" dataDxfId="319" totalsRowDxfId="318"/>
    <tableColumn id="43" xr3:uid="{9DD87919-5EC3-469D-934D-48C4CA0F0992}" name="sp4_overall_sev_cp" dataDxfId="317" totalsRowDxfId="316"/>
    <tableColumn id="44" xr3:uid="{B0DF4CBA-D39E-4DA2-AFD4-02A5AAF53F52}" name="sp4_overall_sev_gb" dataDxfId="315" totalsRowDxfId="314"/>
    <tableColumn id="61" xr3:uid="{8F7C6887-B2BE-443E-A3A5-89FCC1FB9464}" name="sp4_overall_sev_fs" dataDxfId="313" totalsRowDxfId="312"/>
    <tableColumn id="60" xr3:uid="{F80A7A8A-4FEE-4A83-B04C-13FDAB18E949}" name="sp4_overall_sev_li" dataDxfId="311" totalsRowDxfId="310"/>
    <tableColumn id="53" xr3:uid="{5221541D-0C90-4B69-B8D8-7E42D66D25EC}" name="sp4_overall_sev_adopted" dataDxfId="309" totalsRowDxfId="308"/>
    <tableColumn id="9" xr3:uid="{08D2A8D4-DF51-4F32-8831-050F9F4AE7B7}" name="sp4_overall_target_ed" dataDxfId="307" totalsRowDxfId="306"/>
    <tableColumn id="12" xr3:uid="{16E2294D-086D-4539-B97E-625A739E1D15}" name="sp4_overall_target_fl" dataDxfId="305" totalsRowDxfId="304"/>
    <tableColumn id="13" xr3:uid="{46B4EFA8-E951-409C-969D-44310D9D521F}" name="sp4_overall_target_he" dataDxfId="303" totalsRowDxfId="302"/>
    <tableColumn id="14" xr3:uid="{E5A1C76E-1835-499B-9721-36BD858BA9BA}" name="sp4_overall_target_pr" dataDxfId="301" totalsRowDxfId="300"/>
    <tableColumn id="16" xr3:uid="{28145CBB-0666-4AD8-8ECE-9C00349F0508}" name="sp4_overall_target_sn" dataDxfId="299" totalsRowDxfId="298"/>
    <tableColumn id="25" xr3:uid="{56B5BA5B-73E1-42E8-AEC4-F041C9FDB6F3}" name="sp4_overall_target_wa" dataDxfId="297" totalsRowDxfId="296"/>
    <tableColumn id="26" xr3:uid="{255ADA79-0D3F-4EFF-927B-F5C0B87FC81F}" name="sp4_overall_target_gp" dataDxfId="295" totalsRowDxfId="294"/>
    <tableColumn id="27" xr3:uid="{670AB66A-13E2-4EC9-8F82-CBE16690CFB8}" name="sp4_overall_target_cp" dataDxfId="293" totalsRowDxfId="292"/>
    <tableColumn id="28" xr3:uid="{F87C9C25-CCC8-4BF6-962D-309338F285A6}" name="sp4_overall_target_gb" dataDxfId="291" totalsRowDxfId="290"/>
    <tableColumn id="55" xr3:uid="{908F651D-3E2D-4990-8367-B7ADCD09E1F8}" name="sp4_overall_target_fs" dataDxfId="289" totalsRowDxfId="288"/>
    <tableColumn id="54" xr3:uid="{9494C869-B6B5-4DB3-911B-4F3A0B921924}" name="sp4_overall_target_li" dataDxfId="287" totalsRowDxfId="286"/>
    <tableColumn id="30" xr3:uid="{5B1DD56D-DC89-456A-8208-62A0A53489DD}" name="sp4_overall_target_cw" dataDxfId="285" totalsRowDxfId="284"/>
    <tableColumn id="29" xr3:uid="{448187D2-8B6E-463B-B463-7BB916EEAE4C}" name="sp4_overall_target_joint" totalsRowFunction="sum" dataDxfId="283" totalsRowDxfId="282"/>
    <tableColumn id="7" xr3:uid="{FEBDCF43-C1B0-45A4-A089-309964A2867F}" name="sp4_overall_targetPr_ed" dataDxfId="281" totalsRowDxfId="280"/>
    <tableColumn id="8" xr3:uid="{497227E8-C72C-4560-90BF-973395CA5F35}" name="sp4_overall_targetPr_fl" dataDxfId="279" totalsRowDxfId="278"/>
    <tableColumn id="10" xr3:uid="{9C2E0B35-E4A0-4828-B810-45FDF3B52999}" name="sp4_overall_targetPr_he" dataDxfId="277" totalsRowDxfId="276"/>
    <tableColumn id="33" xr3:uid="{33528E81-157F-4DEC-ABEE-609BC1EED30A}" name="sp4_overall_targetPr_pr" dataDxfId="275" totalsRowDxfId="274"/>
    <tableColumn id="45" xr3:uid="{876B59AD-80AD-401E-AD5C-9F7F172C46A2}" name="sp4_overall_targetPr_sn" dataDxfId="273" totalsRowDxfId="272"/>
    <tableColumn id="46" xr3:uid="{2E8676BD-691F-462A-B93B-04A35D6090CE}" name="sp4_overall_targetPr_wa" dataDxfId="271" totalsRowDxfId="270"/>
    <tableColumn id="47" xr3:uid="{D99E5395-5C04-4E48-9B42-933F8512D084}" name="sp4_overall_targetPr_gp" dataDxfId="269" totalsRowDxfId="268"/>
    <tableColumn id="48" xr3:uid="{6363382E-AA65-4EB0-BB5A-498266272AFE}" name="sp4_overall_targetPr_cp" dataDxfId="267" totalsRowDxfId="266"/>
    <tableColumn id="49" xr3:uid="{267E889E-725A-4344-A276-1A7B8CAE58E1}" name="sp4_overall_targetPr_gb" dataDxfId="265" totalsRowDxfId="264"/>
    <tableColumn id="50" xr3:uid="{5CDF742D-19C0-4393-8985-AD9F13A63F31}" name="sp4_overall_targetPr_fs" dataDxfId="263" totalsRowDxfId="262"/>
    <tableColumn id="51" xr3:uid="{91B97B33-0141-4322-B990-489BDDA014E2}" name="sp4_overall_targetPr_li" dataDxfId="261" totalsRowDxfId="260"/>
    <tableColumn id="52" xr3:uid="{CED0BF59-A3B3-4390-97A1-DB33AB4D9430}" name="sp4_overall_targetPr_cw" dataDxfId="259" totalsRowDxfId="258"/>
    <tableColumn id="56" xr3:uid="{52D746D6-2597-4B25-9A8F-A53B1DF27360}" name="sp4_overall_targetPr_joint" totalsRowFunction="sum" dataDxfId="257" totalsRowDxfId="256"/>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3BE949B-8230-40C3-93E2-8DD5B1FAFC02}" name="idp_SP4" displayName="idp_SP4" ref="A7:BF56" totalsRowCount="1" headerRowDxfId="255" dataDxfId="254">
  <autoFilter ref="A7:BF55" xr:uid="{791E71EB-60EC-4D82-9C4D-B6981CB9A087}"/>
  <sortState xmlns:xlrd2="http://schemas.microsoft.com/office/spreadsheetml/2017/richdata2" ref="A8:AS55">
    <sortCondition ref="E7:E55"/>
  </sortState>
  <tableColumns count="58">
    <tableColumn id="1" xr3:uid="{C110405D-A110-4EE1-859F-B5531F22852A}" name="ADM1_EN" totalsRowLabel="Total" dataDxfId="253"/>
    <tableColumn id="3" xr3:uid="{D6F90E77-4950-4424-8A53-0B8FE72F4292}" name="ADM1_PCODE" dataDxfId="252"/>
    <tableColumn id="4" xr3:uid="{451050EE-361B-402F-8B49-379F6ECFDDF3}" name="geo_zone" dataDxfId="251"/>
    <tableColumn id="2" xr3:uid="{8CFAD805-D984-4FE2-99DE-C84D863D6217}" name="swath"/>
    <tableColumn id="5" xr3:uid="{9E07EEA9-C83A-4E43-A77E-EC4941B96BB0}" name="UoA_code" dataDxfId="250"/>
    <tableColumn id="6" xr3:uid="{DBF29B1A-F741-459F-B250-7BC5577FC476}" name="idp_aff_sp4" totalsRowFunction="sum" dataDxfId="249" totalsRowDxfId="248"/>
    <tableColumn id="40" xr3:uid="{E1A932FD-49BF-4E86-BDE8-BF8E6632BB09}" name="ndp_aff_sp4" totalsRowFunction="sum" dataDxfId="247" totalsRowDxfId="246"/>
    <tableColumn id="41" xr3:uid="{9EE84253-C816-4AEC-807F-CFEAD5647CF8}" name="overall_aff_sp4" totalsRowFunction="sum" dataDxfId="245" totalsRowDxfId="244"/>
    <tableColumn id="21" xr3:uid="{DA5E8FB1-983C-4939-8B5C-9D019D98377A}" name="sp4_idp_pin_ed" dataDxfId="243" totalsRowDxfId="242"/>
    <tableColumn id="22" xr3:uid="{157541CA-412F-42DF-88A6-316467445D62}" name="sp4_idp_pin_fl" dataDxfId="241" totalsRowDxfId="240"/>
    <tableColumn id="23" xr3:uid="{E87940E6-DC73-4D15-A06D-3B799EFCD7D1}" name="sp4_idp_pin_he" dataDxfId="239" totalsRowDxfId="238"/>
    <tableColumn id="24" xr3:uid="{AD86B874-48E0-45E7-B805-75A90ADBBFE5}" name="sp4_idp_pin_pr" dataDxfId="237" totalsRowDxfId="236"/>
    <tableColumn id="17" xr3:uid="{A151EB2D-8DC9-4317-A536-232D00B5B2E7}" name="sp4_idp_pin_sn" dataDxfId="235" totalsRowDxfId="234"/>
    <tableColumn id="18" xr3:uid="{AC0F943D-540C-4A6A-B5CB-35DEB6725B93}" name="sp4_idp_pin_wa" dataDxfId="233" totalsRowDxfId="232"/>
    <tableColumn id="19" xr3:uid="{DE0591FD-3F24-49AD-AF99-8483E0BA83F4}" name="sp4_idp_pin_gp" dataDxfId="231" totalsRowDxfId="230"/>
    <tableColumn id="20" xr3:uid="{5E355820-BB09-4FC5-B77A-790F96BDDCA9}" name="sp4_idp_pin_cp" dataDxfId="229" totalsRowDxfId="228"/>
    <tableColumn id="15" xr3:uid="{8BE6E98A-7517-43AF-B19D-CEC754B157D9}" name="sp4_idp_pin_gb" dataDxfId="227" totalsRowDxfId="226"/>
    <tableColumn id="59" xr3:uid="{93F84AC5-7D07-411E-85C3-11161B436FF9}" name="sp4_idp_pin_fs" dataDxfId="225" totalsRowDxfId="224"/>
    <tableColumn id="58" xr3:uid="{455277F0-3A0B-4308-AFD2-313157532963}" name="sp4_idp_pin_li" dataDxfId="223" totalsRowDxfId="222"/>
    <tableColumn id="11" xr3:uid="{77859B8A-96A6-4345-9402-8679751F41C6}" name="sp4_idp_pin_adopted" totalsRowFunction="sum" dataDxfId="221" totalsRowDxfId="220"/>
    <tableColumn id="34" xr3:uid="{B974E3A0-5237-4D3E-BC4D-29088D1A8FF3}" name="sp4_idp_sev_ed" dataDxfId="219" totalsRowDxfId="218"/>
    <tableColumn id="35" xr3:uid="{80903F69-2E1A-4358-98B3-99975749FB59}" name="sp4_idp_sev_fl" dataDxfId="217" totalsRowDxfId="216"/>
    <tableColumn id="36" xr3:uid="{9311D9BD-C83D-4D97-9425-0C64BBEC2F1C}" name="sp4_idp_sev_he" dataDxfId="215" totalsRowDxfId="214"/>
    <tableColumn id="37" xr3:uid="{EA1EFD09-4B9A-466C-AED0-595624FDD772}" name="sp4_idp_sev_pr" dataDxfId="213" totalsRowDxfId="212"/>
    <tableColumn id="38" xr3:uid="{B963836C-F4DA-4A51-A08F-FCDC61FA0E48}" name="sp4_idp_sev_sn" dataDxfId="211" totalsRowDxfId="210"/>
    <tableColumn id="39" xr3:uid="{D04BD284-6AFB-492D-93AC-BEA0723D381F}" name="sp4_idp_sev_wa" dataDxfId="209" totalsRowDxfId="208"/>
    <tableColumn id="42" xr3:uid="{30105FF5-13A1-4D58-9B3A-244C80220AC7}" name="sp4_idp_sev_gp" dataDxfId="207" totalsRowDxfId="206"/>
    <tableColumn id="43" xr3:uid="{2473DD48-7E52-40AD-8AF4-A81B8DA6450D}" name="sp4_idp_sev_cp" dataDxfId="205" totalsRowDxfId="204"/>
    <tableColumn id="44" xr3:uid="{370C81DE-C0EA-4992-8E12-DA2B45EB76BA}" name="sp4_idp_sev_gb" dataDxfId="203" totalsRowDxfId="202"/>
    <tableColumn id="61" xr3:uid="{3CD765A7-80AD-424D-954B-9E67C658BCFD}" name="sp4_idp_sev_fs" dataDxfId="201" totalsRowDxfId="200"/>
    <tableColumn id="60" xr3:uid="{E75258E7-03F5-4E49-901F-386B55D113C7}" name="sp4_idp_sev_li" dataDxfId="199" totalsRowDxfId="198"/>
    <tableColumn id="53" xr3:uid="{D2D2B8AB-5690-4F39-B6EA-66BDA8C557F0}" name="sp4_idp_sev_adopted" dataDxfId="197" totalsRowDxfId="196"/>
    <tableColumn id="9" xr3:uid="{C7A080F6-405A-4EC2-ABA0-891C32E59EED}" name="sp4_idp_target_ed" dataDxfId="195" totalsRowDxfId="194"/>
    <tableColumn id="12" xr3:uid="{1E362F3D-1BA3-4AC0-A065-04D41E221C7F}" name="sp4_idp_target_fl" dataDxfId="193" totalsRowDxfId="192"/>
    <tableColumn id="13" xr3:uid="{8BB734A1-C9DF-4ED3-A4C9-55D5CFC7CB86}" name="sp4_idp_target_he" dataDxfId="191" totalsRowDxfId="190"/>
    <tableColumn id="14" xr3:uid="{E27F23B9-5D35-4418-9A05-C6FDCFF5501A}" name="sp4_idp_target_pr" dataDxfId="189" totalsRowDxfId="188"/>
    <tableColumn id="16" xr3:uid="{5330E752-39C0-43F4-BAD9-97A0EE520EED}" name="sp4_idp_target_sn" dataDxfId="187" totalsRowDxfId="186"/>
    <tableColumn id="25" xr3:uid="{4ABCB937-AE9D-4372-81EB-8C78244E35C8}" name="sp4_idp_target_wa" dataDxfId="185" totalsRowDxfId="184"/>
    <tableColumn id="26" xr3:uid="{9C0BB490-EF6D-48E2-A8F9-BF8167B1D960}" name="sp4_idp_target_gp" dataDxfId="183" totalsRowDxfId="182"/>
    <tableColumn id="27" xr3:uid="{A66BADF5-B1D1-482A-BBE3-07F6335C85D0}" name="sp4_idp_target_cp" dataDxfId="181" totalsRowDxfId="180"/>
    <tableColumn id="28" xr3:uid="{875C22BB-9630-4444-97CD-D99336720DE7}" name="sp4_idp_target_gb" dataDxfId="179" totalsRowDxfId="178"/>
    <tableColumn id="55" xr3:uid="{FF279C6C-6649-445B-9002-6DB4BADD5311}" name="sp4_idp_target_fs" dataDxfId="177" totalsRowDxfId="176"/>
    <tableColumn id="54" xr3:uid="{1D57FE2F-8AC8-41B0-90F8-6DFFA7F9048B}" name="sp4_idp_target_li" dataDxfId="175" totalsRowDxfId="174"/>
    <tableColumn id="30" xr3:uid="{D18E16D5-BDC8-4058-865D-1C262BA18E0B}" name="sp4_idp_target_cw" dataDxfId="173" totalsRowDxfId="172"/>
    <tableColumn id="29" xr3:uid="{309353ED-17F7-4CBA-AD44-0F0EB67A13C3}" name="sp4_idp_target_joint" totalsRowFunction="sum" dataDxfId="171" totalsRowDxfId="170"/>
    <tableColumn id="7" xr3:uid="{CA73EBD4-2423-4B97-8B6A-2B00AC103958}" name="sp4_idp_targetPr_ed" dataDxfId="169" totalsRowDxfId="168"/>
    <tableColumn id="8" xr3:uid="{A3E75895-E0EC-47FC-8508-77E41D2BA07B}" name="sp4_idp_targetPr_fl" dataDxfId="167" totalsRowDxfId="166"/>
    <tableColumn id="10" xr3:uid="{F4A83F67-2752-4710-BFFB-85279DF7B720}" name="sp4_idp_targetPr_he" dataDxfId="165" totalsRowDxfId="164"/>
    <tableColumn id="31" xr3:uid="{D5F90B6B-A84E-43A7-918D-6FD9D0FAA943}" name="sp4_idp_targetPr_pr" dataDxfId="163" totalsRowDxfId="162"/>
    <tableColumn id="32" xr3:uid="{919D35A3-C9CB-40B7-895F-FEBD22AA1B1B}" name="sp4_idp_targetPr_sn" dataDxfId="161" totalsRowDxfId="160"/>
    <tableColumn id="33" xr3:uid="{02602BC5-AE5C-4694-8317-BB0946FDBC10}" name="sp4_idp_targetPr_wa" dataDxfId="159" totalsRowDxfId="158"/>
    <tableColumn id="45" xr3:uid="{7D36BA87-B2AA-4F03-9D1B-298518FE3F3F}" name="sp4_idp_targetPr_gp" dataDxfId="157" totalsRowDxfId="156"/>
    <tableColumn id="46" xr3:uid="{938E5910-6958-48FD-B733-A2317A92E57E}" name="sp4_idp_targetPr_cp" dataDxfId="155" totalsRowDxfId="154"/>
    <tableColumn id="47" xr3:uid="{42753A4D-68A3-4079-A35F-47BCF95B4C90}" name="sp4_idp_targetPr_gb" dataDxfId="153" totalsRowDxfId="152"/>
    <tableColumn id="48" xr3:uid="{23AD1D3A-A593-40E3-98D2-E6DDFBB7A817}" name="sp4_idp_targetPr_fs" dataDxfId="151" totalsRowDxfId="150"/>
    <tableColumn id="49" xr3:uid="{3CE3B452-17A6-4EA5-8D71-70F39C2E06A8}" name="sp4_idp_targetPr_li" dataDxfId="149" totalsRowDxfId="148"/>
    <tableColumn id="50" xr3:uid="{0F44AEA6-7B57-450E-8A5E-60680672812A}" name="sp4_idp_targetPr_cw" dataDxfId="147" totalsRowDxfId="146"/>
    <tableColumn id="51" xr3:uid="{E6DD0A4C-6AB7-491C-9485-9F7A3A9A16B7}" name="sp4_idp_targetPr_joint" totalsRowFunction="sum" dataDxfId="145" totalsRowDxfId="144"/>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B6561F4-6E59-4B4F-B68E-69101CAEDF30}" name="ndp_SP4" displayName="ndp_SP4" ref="A7:BF56" totalsRowCount="1" headerRowDxfId="143" dataDxfId="142">
  <autoFilter ref="A7:BF55" xr:uid="{791E71EB-60EC-4D82-9C4D-B6981CB9A087}"/>
  <sortState xmlns:xlrd2="http://schemas.microsoft.com/office/spreadsheetml/2017/richdata2" ref="A8:AS55">
    <sortCondition ref="E7:E55"/>
  </sortState>
  <tableColumns count="58">
    <tableColumn id="1" xr3:uid="{EB0C6A95-36B8-455A-A9AA-05E9E955CFC2}" name="ADM1_EN" totalsRowLabel="Total" dataDxfId="141"/>
    <tableColumn id="3" xr3:uid="{B04974DA-3425-479A-A18D-E95697A1A620}" name="ADM1_PCODE" dataDxfId="140"/>
    <tableColumn id="4" xr3:uid="{FAC5367C-4001-42C8-B4C4-CC8615BD0AA7}" name="geo_zone" dataDxfId="139"/>
    <tableColumn id="2" xr3:uid="{A9F39829-417C-454E-9C66-9A7F0FF6B445}" name="swath"/>
    <tableColumn id="5" xr3:uid="{90C2389A-5735-4967-81F4-309D12647658}" name="UoA_code" dataDxfId="138"/>
    <tableColumn id="6" xr3:uid="{ACC39509-73EC-4386-810C-A433504A91B8}" name="idp_aff_sp4" totalsRowFunction="sum" dataDxfId="137" totalsRowDxfId="136"/>
    <tableColumn id="40" xr3:uid="{2B0C6B6B-AF30-47D9-97FC-5570EAC5F8EF}" name="ndp_aff_sp4" totalsRowFunction="sum" dataDxfId="135" totalsRowDxfId="134"/>
    <tableColumn id="41" xr3:uid="{5C9F5981-E591-4C9E-9D22-F3DA9AEDC9D3}" name="overall_aff_sp4" totalsRowFunction="sum" dataDxfId="133" totalsRowDxfId="132"/>
    <tableColumn id="21" xr3:uid="{3EE1CFE2-2BAE-4363-B3E1-C9223B636E78}" name="sp4_ndp_pin_ed" totalsRowFunction="sum" dataDxfId="131" totalsRowDxfId="130"/>
    <tableColumn id="22" xr3:uid="{1E1C21F4-E3E6-4ECA-8B45-34F4A9A630C1}" name="sp4_ndp_pin_fl" totalsRowFunction="sum" dataDxfId="129" totalsRowDxfId="128"/>
    <tableColumn id="23" xr3:uid="{7ABEA89F-FFD2-4578-A7D8-FB7A770D3DB7}" name="sp4_ndp_pin_he" totalsRowFunction="sum" dataDxfId="127" totalsRowDxfId="126"/>
    <tableColumn id="24" xr3:uid="{9866A847-11B2-4EC0-8ED5-D8BD176A49FE}" name="sp4_ndp_pin_pr" totalsRowFunction="sum" dataDxfId="125" totalsRowDxfId="124"/>
    <tableColumn id="17" xr3:uid="{17FBE749-8308-414E-AEF2-FDE11E09B77D}" name="sp4_ndp_pin_sn" totalsRowFunction="sum" dataDxfId="123" totalsRowDxfId="122"/>
    <tableColumn id="18" xr3:uid="{246387FE-822B-488C-ADA4-748F024A0F38}" name="sp4_ndp_pin_wa" totalsRowFunction="sum" dataDxfId="121" totalsRowDxfId="120"/>
    <tableColumn id="19" xr3:uid="{8AE242C1-2BFA-487F-8CDB-585049418795}" name="sp4_ndp_pin_gp" totalsRowFunction="sum" dataDxfId="119" totalsRowDxfId="118"/>
    <tableColumn id="20" xr3:uid="{684414FE-E209-4406-BEF9-5B6A57860A30}" name="sp4_ndp_pin_cp" totalsRowFunction="sum" dataDxfId="117" totalsRowDxfId="116"/>
    <tableColumn id="15" xr3:uid="{1A50D1CA-BB58-4BEA-A29E-03A1E9DC1716}" name="sp4_ndp_pin_gb" totalsRowFunction="sum" dataDxfId="115" totalsRowDxfId="114"/>
    <tableColumn id="59" xr3:uid="{E5789FAD-4317-49F1-8B91-B4C311499725}" name="sp4_ndp_pin_fs" totalsRowFunction="sum" dataDxfId="113" totalsRowDxfId="112"/>
    <tableColumn id="58" xr3:uid="{39A39485-7D9E-4DDB-A2D0-4F2001A00E9C}" name="sp4_ndp_pin_li" totalsRowFunction="sum" dataDxfId="111" totalsRowDxfId="110"/>
    <tableColumn id="11" xr3:uid="{1E03684F-52E9-4E80-8964-D22F47BA4A0A}" name="sp4_ndp_pin_adopted" totalsRowFunction="sum" dataDxfId="109" totalsRowDxfId="108"/>
    <tableColumn id="34" xr3:uid="{E50A6019-4165-4079-AB7E-11A48FFF0657}" name="sp4_ndp_sev_ed" dataDxfId="107" totalsRowDxfId="106"/>
    <tableColumn id="35" xr3:uid="{DBBB357E-C7BA-436D-B4F3-6DAA814B4900}" name="sp4_ndp_sev_fl" dataDxfId="105" totalsRowDxfId="104"/>
    <tableColumn id="36" xr3:uid="{1F68D3F5-FCF7-4798-BD0C-94872F1986E1}" name="sp4_ndp_sev_he" dataDxfId="103" totalsRowDxfId="102"/>
    <tableColumn id="37" xr3:uid="{EBE7335C-0515-4D07-BA79-421F7FCC65E4}" name="sp4_ndp_sev_pr" dataDxfId="101" totalsRowDxfId="100"/>
    <tableColumn id="38" xr3:uid="{F9016C2C-9675-4BD8-923C-8ADC0DEFA69A}" name="sp4_ndp_sev_sn" dataDxfId="99" totalsRowDxfId="98"/>
    <tableColumn id="39" xr3:uid="{7C799649-1DDE-470C-B597-F24928E0F3E2}" name="sp4_ndp_sev_wa" dataDxfId="97" totalsRowDxfId="96"/>
    <tableColumn id="42" xr3:uid="{44C04601-2D16-469D-BC5E-226CFD3D023B}" name="sp4_ndp_sev_gp" dataDxfId="95" totalsRowDxfId="94"/>
    <tableColumn id="43" xr3:uid="{3EA40EA2-D210-4F2E-958F-E8316B718531}" name="sp4_ndp_sev_cp" dataDxfId="93" totalsRowDxfId="92"/>
    <tableColumn id="44" xr3:uid="{C574D32F-A04F-4E7F-9FDD-93B7771AF2FF}" name="sp4_ndp_sev_gb" dataDxfId="91" totalsRowDxfId="90"/>
    <tableColumn id="61" xr3:uid="{77647AEE-5B7E-4BB0-B1B6-A23F4F6BE768}" name="sp4_ndp_sev_fs" dataDxfId="89" totalsRowDxfId="88"/>
    <tableColumn id="60" xr3:uid="{5C27532F-20F5-4C72-95EC-9204A6DD033F}" name="sp4_ndp_sev_li" dataDxfId="87" totalsRowDxfId="86"/>
    <tableColumn id="53" xr3:uid="{89295F6B-65AA-4900-94EE-71D1A7304967}" name="sp4_ndp_sev_adopted" dataDxfId="85" totalsRowDxfId="84"/>
    <tableColumn id="9" xr3:uid="{74C8D87A-FFCD-4084-8CBB-A124F45007F2}" name="sp4_ndp_target_ed" totalsRowFunction="sum" dataDxfId="83" totalsRowDxfId="82"/>
    <tableColumn id="12" xr3:uid="{FA224EA8-7E5A-4B82-9D1B-FC87B8DE4B1E}" name="sp4_ndp_target_fl" totalsRowFunction="sum" dataDxfId="81" totalsRowDxfId="80"/>
    <tableColumn id="13" xr3:uid="{396EDA66-263C-49A2-9D6E-75D20B56EA9F}" name="sp4_ndp_target_he" totalsRowFunction="sum" dataDxfId="79" totalsRowDxfId="78"/>
    <tableColumn id="14" xr3:uid="{CD901997-44D4-4054-975F-655676C05914}" name="sp4_ndp_target_pr" totalsRowFunction="sum" dataDxfId="77" totalsRowDxfId="76"/>
    <tableColumn id="16" xr3:uid="{1A5A83F7-75FE-4182-940F-5DB91F1F1C3B}" name="sp4_ndp_target_sn" totalsRowFunction="sum" dataDxfId="75" totalsRowDxfId="74"/>
    <tableColumn id="25" xr3:uid="{D461C271-E0A0-4247-8C88-9DE992DE3F86}" name="sp4_ndp_target_wa" totalsRowFunction="sum" dataDxfId="73" totalsRowDxfId="72"/>
    <tableColumn id="26" xr3:uid="{07375C0B-9D17-4B56-8F49-7C41850DE68E}" name="sp4_ndp_target_gp" totalsRowFunction="sum" dataDxfId="71" totalsRowDxfId="70"/>
    <tableColumn id="27" xr3:uid="{C1880196-E594-40E9-B884-781EA2738F35}" name="sp4_ndp_target_cp" totalsRowFunction="sum" dataDxfId="69" totalsRowDxfId="68"/>
    <tableColumn id="28" xr3:uid="{DC6FC103-7AEE-4015-9679-F419EC5856EE}" name="sp4_ndp_target_gb" totalsRowFunction="sum" dataDxfId="67" totalsRowDxfId="66"/>
    <tableColumn id="55" xr3:uid="{18DF54A7-E46F-4033-8DCA-4A8B09EAD43E}" name="sp4_ndp_target_fs" totalsRowFunction="sum" dataDxfId="65" totalsRowDxfId="64"/>
    <tableColumn id="54" xr3:uid="{1C23A7EC-D768-4D16-98D9-5EC3074CE930}" name="sp4_ndp_target_li" totalsRowFunction="sum" dataDxfId="63" totalsRowDxfId="62"/>
    <tableColumn id="30" xr3:uid="{0E18E21A-510C-4D81-BCA1-89EAF65324E8}" name="sp4_ndp_target_cw" totalsRowFunction="sum" dataDxfId="61" totalsRowDxfId="60"/>
    <tableColumn id="29" xr3:uid="{AAA2DBF6-ECB4-4294-9293-59527A8C9432}" name="sp4_ndp_target_joint" totalsRowFunction="sum" dataDxfId="59" totalsRowDxfId="58"/>
    <tableColumn id="7" xr3:uid="{317FB71C-E7BE-44FC-B1CC-CAF932AD474A}" name="sp4_ndp_targetPr_ed" totalsRowFunction="sum" dataDxfId="57" totalsRowDxfId="56"/>
    <tableColumn id="8" xr3:uid="{F0DAF73F-A554-4945-A8EA-E317E6FB8FA7}" name="sp4_ndp_targetPr_fl" totalsRowFunction="sum" dataDxfId="55" totalsRowDxfId="54"/>
    <tableColumn id="10" xr3:uid="{80076214-176B-4975-AB88-C0100C00B917}" name="sp4_ndp_targetPr_he" totalsRowFunction="sum" dataDxfId="53" totalsRowDxfId="52"/>
    <tableColumn id="33" xr3:uid="{85F05D30-0BEE-4F3A-94F2-5BAC7878BB04}" name="sp4_ndp_targetPr_pr" totalsRowFunction="sum" dataDxfId="51" totalsRowDxfId="50"/>
    <tableColumn id="45" xr3:uid="{A43E24D3-21CE-4041-8400-F5A59575F845}" name="sp4_ndp_targetPr_sn" totalsRowFunction="sum" dataDxfId="49" totalsRowDxfId="48"/>
    <tableColumn id="46" xr3:uid="{6F0C1DD5-04C5-4693-87FA-3D0849C62DD4}" name="sp4_ndp_targetPr_wa" totalsRowFunction="sum" dataDxfId="47" totalsRowDxfId="46"/>
    <tableColumn id="47" xr3:uid="{9772D282-C5EE-40B5-90EC-7D1693550F9C}" name="sp4_ndp_targetPr_gp" totalsRowFunction="sum" dataDxfId="45" totalsRowDxfId="44"/>
    <tableColumn id="48" xr3:uid="{AFDBED1F-0BF5-47BA-9112-F5E586539290}" name="sp4_ndp_targetPr_cp" totalsRowFunction="sum" dataDxfId="43" totalsRowDxfId="42"/>
    <tableColumn id="49" xr3:uid="{DDA29095-0F9C-47E3-9ECD-61E86FE5BC39}" name="sp4_ndp_targetPr_gb" totalsRowFunction="sum" dataDxfId="41" totalsRowDxfId="40"/>
    <tableColumn id="50" xr3:uid="{81DE324F-7357-487A-822C-1BD6D4B5CEEA}" name="sp4_ndp_targetPr_fs" totalsRowFunction="sum" dataDxfId="39" totalsRowDxfId="38"/>
    <tableColumn id="51" xr3:uid="{B02986D5-31B5-4450-A453-0E147D2AD994}" name="sp4_ndp_targetPr_li" totalsRowFunction="sum" dataDxfId="37" totalsRowDxfId="36"/>
    <tableColumn id="52" xr3:uid="{39FBAEEC-7FAD-44EF-8036-7D6A9ABF28B7}" name="sp4_ndp_targetPr_cw" totalsRowFunction="sum" dataDxfId="35" totalsRowDxfId="34"/>
    <tableColumn id="56" xr3:uid="{9BB6404C-124A-4A09-8487-750ACBDD2479}" name="sp4_ndp_targetPr_joint" totalsRowFunction="sum" dataDxfId="33" totalsRowDxfId="32"/>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37157108-34A9-4F09-9E53-60FEBEA6EF84}" name="SADD2026" displayName="SADD2026" ref="A5:I77" totalsRowShown="0">
  <autoFilter ref="A5:I77" xr:uid="{37157108-34A9-4F09-9E53-60FEBEA6EF84}"/>
  <tableColumns count="9">
    <tableColumn id="1" xr3:uid="{514115B5-93DD-42DF-BC6B-CB87796AA272}" name="Population Group"/>
    <tableColumn id="9" xr3:uid="{1775C5C4-1782-40B5-B60D-A6C80A1EB1A8}" name="Sector"/>
    <tableColumn id="2" xr3:uid="{58AA6B94-6F55-439B-98D7-653F60293812}" name="% Girls (0-17)" dataCellStyle="Percent"/>
    <tableColumn id="3" xr3:uid="{408D08A1-88E4-4A0A-B531-D54DBF3A6B55}" name="% Boys (0-17)" dataCellStyle="Percent"/>
    <tableColumn id="4" xr3:uid="{70BA0901-0BF4-45A5-B844-1EAFEDE75505}" name="% Women (18-59)" dataCellStyle="Percent"/>
    <tableColumn id="5" xr3:uid="{99F631E0-4B33-47A1-9CBA-43B50F8A2CB4}" name="% Men (18-59)" dataCellStyle="Percent"/>
    <tableColumn id="6" xr3:uid="{01E956D6-08ED-4614-9219-B41BEED496AE}" name="% Older Women (60+)" dataCellStyle="Percent"/>
    <tableColumn id="7" xr3:uid="{79EE1ABF-C4D5-4897-A872-8321B001CA68}" name="% Older Men (60+)" dataCellStyle="Percent"/>
    <tableColumn id="8" xr3:uid="{8C613A19-3C1E-41A8-A71C-872B61175F45}" name="% People with Disabilities"/>
  </tableColumns>
  <tableStyleInfo name="TableStyleLight15"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9651549-B57A-4EB9-BC4D-1351376B8708}" name="HH_Size_Oblast" displayName="HH_Size_Oblast" ref="B9:E35" totalsRowShown="0" headerRowDxfId="31" dataDxfId="29" headerRowBorderDxfId="30" tableBorderDxfId="28">
  <autoFilter ref="B9:E35" xr:uid="{AB83B1B2-15D2-4295-A0D8-83E11DBF522B}"/>
  <sortState xmlns:xlrd2="http://schemas.microsoft.com/office/spreadsheetml/2017/richdata2" ref="B10:D34">
    <sortCondition ref="B9:B34"/>
  </sortState>
  <tableColumns count="4">
    <tableColumn id="1" xr3:uid="{A71ADC9D-2A55-405C-94A5-B253C6FFADAD}" name="ADM1_EN" dataDxfId="27"/>
    <tableColumn id="2" xr3:uid="{08DEA0A7-D3B4-41A3-A13F-04724E4FB8F3}" name="ADM1_PCODE" dataDxfId="26"/>
    <tableColumn id="3" xr3:uid="{45F2B40B-3023-472E-B9A5-B68E73D66A94}" name="hh_size" dataDxfId="25"/>
    <tableColumn id="4" xr3:uid="{276DD08E-9F03-4A30-8074-048D462AF852}" name="moe" dataDxfId="24"/>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1D6965-7845-419E-83E5-80FFC2BA5067}" name="HH_Size_Urban_Rural" displayName="HH_Size_Urban_Rural" ref="G8:I10" totalsRowShown="0" headerRowDxfId="23" dataDxfId="21" headerRowBorderDxfId="22" tableBorderDxfId="20">
  <autoFilter ref="G8:I10" xr:uid="{048439F8-F0FB-47C5-AA23-63C7969B4549}"/>
  <tableColumns count="3">
    <tableColumn id="1" xr3:uid="{6524D7CD-18E9-4F63-BFA2-CE8B6DE96511}" name="urban_rural" dataDxfId="19"/>
    <tableColumn id="2" xr3:uid="{9164BE65-AB98-48C9-A5A2-CEFA487AE9D4}" name="hh_size" dataDxfId="18"/>
    <tableColumn id="3" xr3:uid="{4D2CC37C-4695-4868-928C-89570312B121}" name="moe" dataDxfId="17"/>
  </tableColumns>
  <tableStyleInfo name="TableStyleLight4"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2800CAF-988B-4821-963F-4CC98648BE35}" name="HH_Size_IDP" displayName="HH_Size_IDP" ref="G19:J23" totalsRowShown="0" headerRowDxfId="16" dataDxfId="14" headerRowBorderDxfId="15" tableBorderDxfId="13">
  <autoFilter ref="G19:J23" xr:uid="{0499E95D-DDE2-477B-BA97-A89CA4D9C9C3}"/>
  <tableColumns count="4">
    <tableColumn id="1" xr3:uid="{C1ADB3AB-7745-45CC-A924-11EC0C449254}" name="urban_rural" dataDxfId="12"/>
    <tableColumn id="2" xr3:uid="{07EB89B1-D3A5-4A45-97E3-A77216C54D79}" name="pop_group" dataDxfId="11"/>
    <tableColumn id="3" xr3:uid="{F08FA18C-D571-4345-9883-76FD3453FB2A}" name="hh_size" dataDxfId="10"/>
    <tableColumn id="4" xr3:uid="{9893CED0-17E3-4076-97B6-D2516B7ECFAF}" name="moe" dataDxfId="9"/>
  </tableColumns>
  <tableStyleInfo name="TableStyleLight4"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12997AF-7E04-4711-A5AD-8BBD0D6F115B}" name="admin3_reference" displayName="admin3_reference" ref="A6:N1477" totalsRowCount="1" headerRowDxfId="8">
  <autoFilter ref="A6:N1476" xr:uid="{012997AF-7E04-4711-A5AD-8BBD0D6F115B}"/>
  <tableColumns count="14">
    <tableColumn id="1" xr3:uid="{EC571DCC-45DC-4584-9D50-30C48DD4BD15}" name="ADM3_EN" totalsRowLabel="Total"/>
    <tableColumn id="2" xr3:uid="{9C020296-8793-4013-9BE8-DFEAFBD03C87}" name="ADM3_PCODE"/>
    <tableColumn id="3" xr3:uid="{BEEC389B-E0AA-4A25-A121-C6C55008793C}" name="ADM2_EN"/>
    <tableColumn id="4" xr3:uid="{A2E812CD-241C-447A-8FC4-E91EF883FD95}" name="ADM2_PCODE"/>
    <tableColumn id="5" xr3:uid="{AF12E94C-1BF4-4913-8A85-2AFAA38E3C56}" name="ADM1_EN"/>
    <tableColumn id="6" xr3:uid="{C8B2ED29-B9AE-404F-94C6-09E5D60F4010}" name="ADM1_PCODE"/>
    <tableColumn id="10" xr3:uid="{0F9D311B-2ED5-437A-B77D-1E5BEF59CB1B}" name="control" dataDxfId="7"/>
    <tableColumn id="9" xr3:uid="{7FED6D7E-7962-4C8A-A6CF-5DB28B511891}" name="zone_desc"/>
    <tableColumn id="8" xr3:uid="{CC22BE0F-185F-47C6-B136-9D579404B325}" name="swath" dataDxfId="6"/>
    <tableColumn id="16" xr3:uid="{E5B1E9BC-A41C-4325-BBCB-73DE901825D3}" name="UoA_code" dataDxfId="5"/>
    <tableColumn id="11" xr3:uid="{AD480042-866A-4C3D-9EAE-2E30FBE666B9}" name="SP1 Hromadas"/>
    <tableColumn id="7" xr3:uid="{D2747F90-D6AC-4C5C-94BE-6662E5F1A22E}" name="SP2 Hromadas"/>
    <tableColumn id="12" xr3:uid="{64688C78-4622-4D2A-AC84-DE6378D87E13}" name="SP3 Hromadas"/>
    <tableColumn id="13" xr3:uid="{26E87E8E-0A4D-4671-B91B-FFE53C50C8DB}" name="SP4 Hromadas"/>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CHA colors">
      <a:dk1>
        <a:sysClr val="windowText" lastClr="000000"/>
      </a:dk1>
      <a:lt1>
        <a:sysClr val="window" lastClr="FFFFFF"/>
      </a:lt1>
      <a:dk2>
        <a:srgbClr val="009EDB"/>
      </a:dk2>
      <a:lt2>
        <a:srgbClr val="E8E8E8"/>
      </a:lt2>
      <a:accent1>
        <a:srgbClr val="72BF44"/>
      </a:accent1>
      <a:accent2>
        <a:srgbClr val="FFC800"/>
      </a:accent2>
      <a:accent3>
        <a:srgbClr val="F58220"/>
      </a:accent3>
      <a:accent4>
        <a:srgbClr val="ED1847"/>
      </a:accent4>
      <a:accent5>
        <a:srgbClr val="A05FB4"/>
      </a:accent5>
      <a:accent6>
        <a:srgbClr val="AEA29A"/>
      </a:accent6>
      <a:hlink>
        <a:srgbClr val="467886"/>
      </a:hlink>
      <a:folHlink>
        <a:srgbClr val="96607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humanitarianaction.info/plan/1515/document/ukraine-humanitarian-needs-and-response-plan-2026/article/43-analysis-methodology-0" TargetMode="External"/><Relationship Id="rId1" Type="http://schemas.openxmlformats.org/officeDocument/2006/relationships/hyperlink" Target="https://humanitarianaction.info/plan/1515"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table" Target="../tables/table15.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1C2E3-0F4A-430D-BB4C-327029912770}">
  <dimension ref="A1:B11"/>
  <sheetViews>
    <sheetView tabSelected="1" zoomScaleNormal="100" workbookViewId="0"/>
  </sheetViews>
  <sheetFormatPr defaultRowHeight="14.25" x14ac:dyDescent="0.45"/>
  <cols>
    <col min="1" max="1" width="110.33203125" customWidth="1"/>
  </cols>
  <sheetData>
    <row r="1" spans="1:2" ht="19.899999999999999" x14ac:dyDescent="0.7">
      <c r="A1" s="311" t="s">
        <v>4274</v>
      </c>
    </row>
    <row r="2" spans="1:2" ht="24.5" customHeight="1" x14ac:dyDescent="0.45">
      <c r="A2" s="315" t="s">
        <v>4271</v>
      </c>
    </row>
    <row r="3" spans="1:2" ht="8.1999999999999993" customHeight="1" x14ac:dyDescent="0.7">
      <c r="A3" s="312"/>
    </row>
    <row r="4" spans="1:2" x14ac:dyDescent="0.45">
      <c r="A4" s="313" t="s">
        <v>4269</v>
      </c>
    </row>
    <row r="5" spans="1:2" ht="8.65" customHeight="1" x14ac:dyDescent="0.7">
      <c r="A5" s="312"/>
    </row>
    <row r="6" spans="1:2" x14ac:dyDescent="0.45">
      <c r="A6" s="61" t="s">
        <v>4270</v>
      </c>
    </row>
    <row r="7" spans="1:2" ht="42.75" x14ac:dyDescent="0.45">
      <c r="A7" s="308" t="s">
        <v>4272</v>
      </c>
      <c r="B7" s="319"/>
    </row>
    <row r="8" spans="1:2" ht="42.75" x14ac:dyDescent="0.45">
      <c r="A8" s="308" t="s">
        <v>4273</v>
      </c>
      <c r="B8" s="320" t="s">
        <v>4275</v>
      </c>
    </row>
    <row r="9" spans="1:2" ht="42.75" x14ac:dyDescent="0.45">
      <c r="A9" s="309" t="s">
        <v>4276</v>
      </c>
      <c r="B9" s="321" t="s">
        <v>4275</v>
      </c>
    </row>
    <row r="10" spans="1:2" ht="270.75" x14ac:dyDescent="0.45">
      <c r="A10" s="310" t="s">
        <v>4277</v>
      </c>
      <c r="B10" s="319"/>
    </row>
    <row r="11" spans="1:2" x14ac:dyDescent="0.45">
      <c r="A11" s="310" t="s">
        <v>4333</v>
      </c>
      <c r="B11" s="319"/>
    </row>
  </sheetData>
  <hyperlinks>
    <hyperlink ref="B8" r:id="rId1" xr:uid="{1E7EA341-1C1D-42CD-B7AD-C60393E516EA}"/>
    <hyperlink ref="B9" r:id="rId2" location="page-title" xr:uid="{BA918F5E-BD0A-404A-8C6E-FD3F6BA4423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14BBB-65C2-49FF-A1A7-45E4040C876D}">
  <sheetPr codeName="Sheet3"/>
  <dimension ref="A1:S259"/>
  <sheetViews>
    <sheetView showGridLines="0" zoomScaleNormal="100" workbookViewId="0">
      <pane xSplit="4" ySplit="7" topLeftCell="E8" activePane="bottomRight" state="frozen"/>
      <selection pane="topRight" activeCell="E1" sqref="E1"/>
      <selection pane="bottomLeft" activeCell="A7" sqref="A7"/>
      <selection pane="bottomRight"/>
    </sheetView>
  </sheetViews>
  <sheetFormatPr defaultRowHeight="14.25" x14ac:dyDescent="0.45"/>
  <cols>
    <col min="1" max="1" width="5.86328125" style="79" customWidth="1"/>
    <col min="2" max="2" width="23.06640625" customWidth="1"/>
    <col min="3" max="3" width="10.46484375" customWidth="1"/>
    <col min="4" max="4" width="76.86328125" customWidth="1"/>
    <col min="5" max="5" width="10.3984375" customWidth="1"/>
    <col min="6" max="6" width="14.53125" customWidth="1"/>
    <col min="7" max="7" width="16.1328125" customWidth="1"/>
    <col min="8" max="8" width="9.1328125" customWidth="1"/>
    <col min="9" max="9" width="13.86328125" customWidth="1"/>
    <col min="10" max="10" width="9.1328125" customWidth="1"/>
    <col min="11" max="11" width="13.1328125" customWidth="1"/>
    <col min="12" max="12" width="10.53125" customWidth="1"/>
    <col min="13" max="13" width="11.1328125" customWidth="1"/>
    <col min="14" max="14" width="13.53125" customWidth="1"/>
    <col min="15" max="15" width="16.1328125" customWidth="1"/>
    <col min="16" max="16" width="10" style="87" customWidth="1"/>
    <col min="17" max="18" width="10" customWidth="1"/>
    <col min="19" max="19" width="17.86328125" customWidth="1"/>
    <col min="20" max="21" width="14.6640625" customWidth="1"/>
  </cols>
  <sheetData>
    <row r="1" spans="1:19" ht="17.649999999999999" customHeight="1" x14ac:dyDescent="0.45">
      <c r="A1" s="316" t="s">
        <v>730</v>
      </c>
    </row>
    <row r="2" spans="1:19" ht="18.5" customHeight="1" x14ac:dyDescent="0.55000000000000004">
      <c r="A2" s="315" t="s">
        <v>4334</v>
      </c>
      <c r="B2" s="317"/>
      <c r="P2"/>
    </row>
    <row r="3" spans="1:19" ht="12.95" customHeight="1" x14ac:dyDescent="0.55000000000000004">
      <c r="A3" s="318" t="s">
        <v>4266</v>
      </c>
      <c r="B3" s="317"/>
      <c r="P3"/>
    </row>
    <row r="4" spans="1:19" ht="13.8" customHeight="1" x14ac:dyDescent="0.45">
      <c r="A4" s="314"/>
      <c r="B4" s="5"/>
      <c r="P4"/>
    </row>
    <row r="5" spans="1:19" s="300" customFormat="1" ht="15.5" customHeight="1" x14ac:dyDescent="0.45">
      <c r="A5" s="365" t="s">
        <v>0</v>
      </c>
      <c r="B5" s="366" t="s">
        <v>1</v>
      </c>
      <c r="C5" s="366" t="s">
        <v>4260</v>
      </c>
      <c r="D5" s="369" t="s">
        <v>2</v>
      </c>
      <c r="E5" s="366" t="s">
        <v>3</v>
      </c>
      <c r="F5" s="366" t="s">
        <v>4258</v>
      </c>
      <c r="G5" s="366" t="s">
        <v>4</v>
      </c>
      <c r="H5" s="366" t="s">
        <v>4261</v>
      </c>
      <c r="I5" s="366" t="s">
        <v>5</v>
      </c>
      <c r="J5" s="366" t="s">
        <v>6</v>
      </c>
      <c r="K5" s="366" t="s">
        <v>8</v>
      </c>
      <c r="L5" s="367" t="s">
        <v>7</v>
      </c>
      <c r="M5" s="367"/>
      <c r="N5" s="367"/>
      <c r="O5" s="298" t="s">
        <v>4242</v>
      </c>
      <c r="P5" s="368" t="s">
        <v>152</v>
      </c>
      <c r="Q5" s="368"/>
      <c r="R5" s="368"/>
      <c r="S5" s="299" t="s">
        <v>4243</v>
      </c>
    </row>
    <row r="6" spans="1:19" s="306" customFormat="1" x14ac:dyDescent="0.45">
      <c r="A6" s="366"/>
      <c r="B6" s="366"/>
      <c r="C6" s="366"/>
      <c r="D6" s="369"/>
      <c r="E6" s="366"/>
      <c r="F6" s="366"/>
      <c r="G6" s="366"/>
      <c r="H6" s="366"/>
      <c r="I6" s="366"/>
      <c r="J6" s="366"/>
      <c r="K6" s="366"/>
      <c r="L6" s="301" t="s">
        <v>9</v>
      </c>
      <c r="M6" s="302" t="s">
        <v>4259</v>
      </c>
      <c r="N6" s="301" t="s">
        <v>11</v>
      </c>
      <c r="O6" s="303" t="s">
        <v>12</v>
      </c>
      <c r="P6" s="304" t="s">
        <v>9</v>
      </c>
      <c r="Q6" s="304" t="s">
        <v>4259</v>
      </c>
      <c r="R6" s="304" t="s">
        <v>11</v>
      </c>
      <c r="S6" s="305" t="s">
        <v>12</v>
      </c>
    </row>
    <row r="7" spans="1:19" x14ac:dyDescent="0.45">
      <c r="A7" s="295" t="s">
        <v>0</v>
      </c>
      <c r="B7" s="6" t="s">
        <v>4240</v>
      </c>
      <c r="C7" s="6" t="s">
        <v>4241</v>
      </c>
      <c r="D7" s="6" t="s">
        <v>13</v>
      </c>
      <c r="E7" s="6" t="s">
        <v>14</v>
      </c>
      <c r="F7" s="6" t="s">
        <v>4033</v>
      </c>
      <c r="G7" s="6" t="s">
        <v>15</v>
      </c>
      <c r="H7" s="6" t="s">
        <v>16</v>
      </c>
      <c r="I7" s="6" t="s">
        <v>17</v>
      </c>
      <c r="J7" s="6" t="s">
        <v>18</v>
      </c>
      <c r="K7" s="6" t="s">
        <v>19</v>
      </c>
      <c r="L7" s="6" t="s">
        <v>20</v>
      </c>
      <c r="M7" s="6" t="s">
        <v>21</v>
      </c>
      <c r="N7" s="6" t="s">
        <v>22</v>
      </c>
      <c r="O7" s="6" t="s">
        <v>23</v>
      </c>
      <c r="P7" s="6" t="s">
        <v>4244</v>
      </c>
      <c r="Q7" s="6" t="s">
        <v>4245</v>
      </c>
      <c r="R7" s="6" t="s">
        <v>4246</v>
      </c>
      <c r="S7" s="6" t="s">
        <v>4247</v>
      </c>
    </row>
    <row r="8" spans="1:19" x14ac:dyDescent="0.45">
      <c r="A8" s="79">
        <v>1</v>
      </c>
      <c r="B8" t="s">
        <v>24</v>
      </c>
      <c r="C8" t="s">
        <v>25</v>
      </c>
      <c r="D8" t="s">
        <v>26</v>
      </c>
      <c r="E8" t="s">
        <v>27</v>
      </c>
      <c r="F8" s="81" t="s">
        <v>3799</v>
      </c>
      <c r="G8" t="s">
        <v>28</v>
      </c>
      <c r="H8" t="s">
        <v>29</v>
      </c>
      <c r="I8" t="s">
        <v>30</v>
      </c>
      <c r="J8" t="s">
        <v>31</v>
      </c>
      <c r="K8" t="s">
        <v>30</v>
      </c>
      <c r="L8" s="24">
        <v>80567</v>
      </c>
      <c r="M8" s="24">
        <v>111497</v>
      </c>
      <c r="N8" s="24">
        <v>192064</v>
      </c>
      <c r="O8" s="81">
        <v>8930976</v>
      </c>
      <c r="P8" s="364">
        <v>80566</v>
      </c>
      <c r="Q8" s="24">
        <v>111497</v>
      </c>
      <c r="R8" s="24">
        <v>192063</v>
      </c>
      <c r="S8" s="81">
        <v>8930976</v>
      </c>
    </row>
    <row r="9" spans="1:19" x14ac:dyDescent="0.45">
      <c r="A9" s="79">
        <v>2</v>
      </c>
      <c r="B9" t="s">
        <v>24</v>
      </c>
      <c r="C9" t="s">
        <v>25</v>
      </c>
      <c r="D9" t="s">
        <v>32</v>
      </c>
      <c r="E9" t="s">
        <v>27</v>
      </c>
      <c r="F9" s="81" t="s">
        <v>3800</v>
      </c>
      <c r="G9" t="s">
        <v>28</v>
      </c>
      <c r="H9" t="s">
        <v>29</v>
      </c>
      <c r="I9" t="s">
        <v>30</v>
      </c>
      <c r="J9" t="s">
        <v>31</v>
      </c>
      <c r="K9" t="s">
        <v>30</v>
      </c>
      <c r="L9" s="24">
        <v>14520</v>
      </c>
      <c r="M9" s="24">
        <v>23908</v>
      </c>
      <c r="N9" s="24">
        <v>38428</v>
      </c>
      <c r="O9" s="81">
        <v>14602640</v>
      </c>
      <c r="P9" s="364">
        <v>14520</v>
      </c>
      <c r="Q9" s="24">
        <v>23908</v>
      </c>
      <c r="R9" s="24">
        <v>38428</v>
      </c>
      <c r="S9" s="81">
        <v>14602640</v>
      </c>
    </row>
    <row r="10" spans="1:19" x14ac:dyDescent="0.45">
      <c r="A10" s="79">
        <v>3</v>
      </c>
      <c r="B10" t="s">
        <v>24</v>
      </c>
      <c r="C10" t="s">
        <v>25</v>
      </c>
      <c r="D10" t="s">
        <v>34</v>
      </c>
      <c r="E10" t="s">
        <v>35</v>
      </c>
      <c r="F10" s="81" t="s">
        <v>3801</v>
      </c>
      <c r="G10" t="s">
        <v>28</v>
      </c>
      <c r="H10" t="s">
        <v>29</v>
      </c>
      <c r="I10" t="s">
        <v>30</v>
      </c>
      <c r="J10" t="s">
        <v>31</v>
      </c>
      <c r="K10" t="s">
        <v>30</v>
      </c>
      <c r="L10" s="24">
        <v>26857</v>
      </c>
      <c r="M10" s="24">
        <v>47777</v>
      </c>
      <c r="N10" s="24">
        <v>74634</v>
      </c>
      <c r="O10" s="81">
        <v>4104870</v>
      </c>
      <c r="P10" s="364">
        <v>26857</v>
      </c>
      <c r="Q10" s="24">
        <v>47777</v>
      </c>
      <c r="R10" s="24">
        <v>74634</v>
      </c>
      <c r="S10" s="81">
        <v>4104870</v>
      </c>
    </row>
    <row r="11" spans="1:19" x14ac:dyDescent="0.45">
      <c r="A11" s="79">
        <v>4</v>
      </c>
      <c r="B11" t="s">
        <v>24</v>
      </c>
      <c r="C11" t="s">
        <v>25</v>
      </c>
      <c r="D11" t="s">
        <v>34</v>
      </c>
      <c r="E11" t="s">
        <v>35</v>
      </c>
      <c r="F11" s="81" t="s">
        <v>3864</v>
      </c>
      <c r="G11" t="s">
        <v>28</v>
      </c>
      <c r="H11" t="s">
        <v>29</v>
      </c>
      <c r="I11" t="s">
        <v>30</v>
      </c>
      <c r="J11" t="s">
        <v>36</v>
      </c>
      <c r="K11" t="s">
        <v>30</v>
      </c>
      <c r="L11" s="24"/>
      <c r="M11" s="24"/>
      <c r="N11" s="24">
        <v>11093</v>
      </c>
      <c r="O11" s="81">
        <v>610129.86155000003</v>
      </c>
      <c r="P11" s="364"/>
      <c r="Q11" s="24"/>
      <c r="R11" s="24">
        <v>11093</v>
      </c>
      <c r="S11" s="81">
        <v>610115</v>
      </c>
    </row>
    <row r="12" spans="1:19" x14ac:dyDescent="0.45">
      <c r="A12" s="79">
        <v>5</v>
      </c>
      <c r="B12" t="s">
        <v>24</v>
      </c>
      <c r="C12" t="s">
        <v>25</v>
      </c>
      <c r="D12" t="s">
        <v>26</v>
      </c>
      <c r="E12" t="s">
        <v>27</v>
      </c>
      <c r="F12" s="81" t="s">
        <v>3924</v>
      </c>
      <c r="G12" t="s">
        <v>28</v>
      </c>
      <c r="H12" t="s">
        <v>29</v>
      </c>
      <c r="I12" t="s">
        <v>30</v>
      </c>
      <c r="J12" t="s">
        <v>37</v>
      </c>
      <c r="K12" t="s">
        <v>30</v>
      </c>
      <c r="L12" s="24"/>
      <c r="M12" s="24"/>
      <c r="N12" s="24">
        <v>141506</v>
      </c>
      <c r="O12" s="81">
        <v>6580011.1076791501</v>
      </c>
      <c r="P12" s="364"/>
      <c r="Q12" s="24"/>
      <c r="R12" s="24">
        <v>82597</v>
      </c>
      <c r="S12" s="81">
        <v>3840781.3937955638</v>
      </c>
    </row>
    <row r="13" spans="1:19" x14ac:dyDescent="0.45">
      <c r="A13" s="79">
        <v>6</v>
      </c>
      <c r="B13" t="s">
        <v>24</v>
      </c>
      <c r="C13" t="s">
        <v>25</v>
      </c>
      <c r="D13" t="s">
        <v>32</v>
      </c>
      <c r="E13" t="s">
        <v>27</v>
      </c>
      <c r="F13" s="81" t="s">
        <v>3925</v>
      </c>
      <c r="G13" t="s">
        <v>28</v>
      </c>
      <c r="H13" t="s">
        <v>29</v>
      </c>
      <c r="I13" t="s">
        <v>30</v>
      </c>
      <c r="J13" t="s">
        <v>37</v>
      </c>
      <c r="K13" t="s">
        <v>30</v>
      </c>
      <c r="L13" s="24"/>
      <c r="M13" s="24"/>
      <c r="N13" s="24">
        <v>3538</v>
      </c>
      <c r="O13" s="81">
        <v>1344303.3445796112</v>
      </c>
      <c r="P13" s="364"/>
      <c r="Q13" s="24"/>
      <c r="R13" s="24">
        <v>2065</v>
      </c>
      <c r="S13" s="81">
        <v>784675.76862490014</v>
      </c>
    </row>
    <row r="14" spans="1:19" x14ac:dyDescent="0.45">
      <c r="A14" s="79">
        <v>7</v>
      </c>
      <c r="B14" t="s">
        <v>24</v>
      </c>
      <c r="C14" t="s">
        <v>25</v>
      </c>
      <c r="D14" t="s">
        <v>34</v>
      </c>
      <c r="E14" t="s">
        <v>35</v>
      </c>
      <c r="F14" s="81" t="s">
        <v>3926</v>
      </c>
      <c r="G14" t="s">
        <v>28</v>
      </c>
      <c r="H14" t="s">
        <v>29</v>
      </c>
      <c r="I14" t="s">
        <v>30</v>
      </c>
      <c r="J14" t="s">
        <v>37</v>
      </c>
      <c r="K14" t="s">
        <v>30</v>
      </c>
      <c r="L14" s="24"/>
      <c r="M14" s="24"/>
      <c r="N14" s="24">
        <v>88441</v>
      </c>
      <c r="O14" s="81">
        <v>4864255.5231499095</v>
      </c>
      <c r="P14" s="364"/>
      <c r="Q14" s="24"/>
      <c r="R14" s="24">
        <v>51623</v>
      </c>
      <c r="S14" s="81">
        <v>2839287.3206822039</v>
      </c>
    </row>
    <row r="15" spans="1:19" x14ac:dyDescent="0.45">
      <c r="A15" s="79">
        <v>8</v>
      </c>
      <c r="B15" t="s">
        <v>24</v>
      </c>
      <c r="C15" t="s">
        <v>25</v>
      </c>
      <c r="D15" t="s">
        <v>26</v>
      </c>
      <c r="E15" t="s">
        <v>27</v>
      </c>
      <c r="F15" s="81" t="s">
        <v>3979</v>
      </c>
      <c r="G15" t="s">
        <v>28</v>
      </c>
      <c r="H15" t="s">
        <v>29</v>
      </c>
      <c r="I15" t="s">
        <v>30</v>
      </c>
      <c r="J15" t="s">
        <v>38</v>
      </c>
      <c r="K15" t="s">
        <v>30</v>
      </c>
      <c r="L15" s="24">
        <v>192725</v>
      </c>
      <c r="M15" s="24"/>
      <c r="N15" s="24">
        <v>192725</v>
      </c>
      <c r="O15" s="81">
        <v>8961712.5</v>
      </c>
      <c r="P15" s="364">
        <v>111817</v>
      </c>
      <c r="Q15" s="24"/>
      <c r="R15" s="24">
        <v>111817</v>
      </c>
      <c r="S15" s="81">
        <v>5199490.5</v>
      </c>
    </row>
    <row r="16" spans="1:19" x14ac:dyDescent="0.45">
      <c r="A16" s="79">
        <v>9</v>
      </c>
      <c r="B16" t="s">
        <v>24</v>
      </c>
      <c r="C16" t="s">
        <v>25</v>
      </c>
      <c r="D16" t="s">
        <v>34</v>
      </c>
      <c r="E16" t="s">
        <v>35</v>
      </c>
      <c r="F16" s="81" t="s">
        <v>3980</v>
      </c>
      <c r="G16" t="s">
        <v>28</v>
      </c>
      <c r="H16" t="s">
        <v>29</v>
      </c>
      <c r="I16" t="s">
        <v>30</v>
      </c>
      <c r="J16" t="s">
        <v>38</v>
      </c>
      <c r="K16" t="s">
        <v>30</v>
      </c>
      <c r="L16" s="24">
        <v>151738</v>
      </c>
      <c r="M16" s="24"/>
      <c r="N16" s="24">
        <v>151738</v>
      </c>
      <c r="O16" s="81">
        <v>8345590</v>
      </c>
      <c r="P16" s="364">
        <v>88037</v>
      </c>
      <c r="Q16" s="24"/>
      <c r="R16" s="24">
        <v>88037</v>
      </c>
      <c r="S16" s="81">
        <v>4842022.7631599428</v>
      </c>
    </row>
    <row r="17" spans="1:19" x14ac:dyDescent="0.45">
      <c r="A17" s="79">
        <v>10</v>
      </c>
      <c r="B17" t="s">
        <v>39</v>
      </c>
      <c r="C17" t="s">
        <v>40</v>
      </c>
      <c r="D17" t="s">
        <v>41</v>
      </c>
      <c r="E17" t="s">
        <v>27</v>
      </c>
      <c r="F17" s="81" t="s">
        <v>3803</v>
      </c>
      <c r="G17" t="s">
        <v>42</v>
      </c>
      <c r="H17" t="s">
        <v>43</v>
      </c>
      <c r="I17" t="s">
        <v>30</v>
      </c>
      <c r="J17" t="s">
        <v>31</v>
      </c>
      <c r="K17" t="s">
        <v>30</v>
      </c>
      <c r="L17" s="24">
        <v>17173</v>
      </c>
      <c r="M17" s="24">
        <v>60118</v>
      </c>
      <c r="N17" s="24">
        <v>77291</v>
      </c>
      <c r="O17" s="81">
        <v>14254273.780148201</v>
      </c>
      <c r="P17" s="364">
        <v>17168</v>
      </c>
      <c r="Q17" s="24">
        <v>58634</v>
      </c>
      <c r="R17" s="24">
        <v>75802</v>
      </c>
      <c r="S17" s="81">
        <v>13979829.738325834</v>
      </c>
    </row>
    <row r="18" spans="1:19" x14ac:dyDescent="0.45">
      <c r="A18" s="79">
        <v>11</v>
      </c>
      <c r="B18" t="s">
        <v>39</v>
      </c>
      <c r="C18" t="s">
        <v>40</v>
      </c>
      <c r="D18" t="s">
        <v>41</v>
      </c>
      <c r="E18" t="s">
        <v>27</v>
      </c>
      <c r="F18" s="81" t="s">
        <v>3802</v>
      </c>
      <c r="G18" t="s">
        <v>28</v>
      </c>
      <c r="H18" t="s">
        <v>43</v>
      </c>
      <c r="I18" t="s">
        <v>30</v>
      </c>
      <c r="J18" t="s">
        <v>31</v>
      </c>
      <c r="K18" t="s">
        <v>30</v>
      </c>
      <c r="L18" s="24">
        <v>154555</v>
      </c>
      <c r="M18" s="24">
        <v>541059</v>
      </c>
      <c r="N18" s="24">
        <v>695614</v>
      </c>
      <c r="O18" s="81">
        <v>111917366.30816814</v>
      </c>
      <c r="P18" s="364">
        <v>154513</v>
      </c>
      <c r="Q18" s="24">
        <v>527707</v>
      </c>
      <c r="R18" s="24">
        <v>682220</v>
      </c>
      <c r="S18" s="81">
        <v>109762570.15134782</v>
      </c>
    </row>
    <row r="19" spans="1:19" x14ac:dyDescent="0.45">
      <c r="A19" s="79">
        <v>12</v>
      </c>
      <c r="B19" t="s">
        <v>39</v>
      </c>
      <c r="C19" t="s">
        <v>40</v>
      </c>
      <c r="D19" t="s">
        <v>44</v>
      </c>
      <c r="E19" t="s">
        <v>27</v>
      </c>
      <c r="F19" s="81" t="s">
        <v>3804</v>
      </c>
      <c r="G19" t="s">
        <v>28</v>
      </c>
      <c r="H19" t="s">
        <v>43</v>
      </c>
      <c r="I19" t="s">
        <v>30</v>
      </c>
      <c r="J19" t="s">
        <v>31</v>
      </c>
      <c r="K19" t="s">
        <v>30</v>
      </c>
      <c r="L19" s="24">
        <v>2348</v>
      </c>
      <c r="M19" s="24">
        <v>14868</v>
      </c>
      <c r="N19" s="24">
        <v>17216</v>
      </c>
      <c r="O19" s="81">
        <v>275457.22717568948</v>
      </c>
      <c r="P19" s="364">
        <v>2348</v>
      </c>
      <c r="Q19" s="24">
        <v>14501</v>
      </c>
      <c r="R19" s="24">
        <v>16849</v>
      </c>
      <c r="S19" s="81">
        <v>269577.07937421952</v>
      </c>
    </row>
    <row r="20" spans="1:19" x14ac:dyDescent="0.45">
      <c r="A20" s="79">
        <v>13</v>
      </c>
      <c r="B20" t="s">
        <v>39</v>
      </c>
      <c r="C20" t="s">
        <v>40</v>
      </c>
      <c r="D20" t="s">
        <v>45</v>
      </c>
      <c r="E20" t="s">
        <v>27</v>
      </c>
      <c r="F20" s="81" t="s">
        <v>3866</v>
      </c>
      <c r="G20" t="s">
        <v>28</v>
      </c>
      <c r="H20" t="s">
        <v>43</v>
      </c>
      <c r="I20" t="s">
        <v>30</v>
      </c>
      <c r="J20" t="s">
        <v>36</v>
      </c>
      <c r="K20" t="s">
        <v>30</v>
      </c>
      <c r="L20" s="24"/>
      <c r="M20" s="24"/>
      <c r="N20" s="24">
        <v>126060</v>
      </c>
      <c r="O20" s="81">
        <v>756359.44374999998</v>
      </c>
      <c r="P20" s="364"/>
      <c r="Q20" s="24"/>
      <c r="R20" s="24">
        <v>126060</v>
      </c>
      <c r="S20" s="81">
        <v>756359.44374999998</v>
      </c>
    </row>
    <row r="21" spans="1:19" x14ac:dyDescent="0.45">
      <c r="A21" s="79">
        <v>14</v>
      </c>
      <c r="B21" t="s">
        <v>39</v>
      </c>
      <c r="C21" t="s">
        <v>40</v>
      </c>
      <c r="D21" t="s">
        <v>46</v>
      </c>
      <c r="E21" t="s">
        <v>27</v>
      </c>
      <c r="F21" s="81" t="s">
        <v>3865</v>
      </c>
      <c r="G21" t="s">
        <v>28</v>
      </c>
      <c r="H21" t="s">
        <v>43</v>
      </c>
      <c r="I21" t="s">
        <v>30</v>
      </c>
      <c r="J21" t="s">
        <v>36</v>
      </c>
      <c r="K21" t="s">
        <v>30</v>
      </c>
      <c r="L21" s="24"/>
      <c r="M21" s="24"/>
      <c r="N21" s="24">
        <v>126060</v>
      </c>
      <c r="O21" s="81">
        <v>1008479.2212499999</v>
      </c>
      <c r="P21" s="364"/>
      <c r="Q21" s="24"/>
      <c r="R21" s="24">
        <v>126060</v>
      </c>
      <c r="S21" s="81">
        <v>1008479.2212499999</v>
      </c>
    </row>
    <row r="22" spans="1:19" x14ac:dyDescent="0.45">
      <c r="A22" s="79">
        <v>15</v>
      </c>
      <c r="B22" t="s">
        <v>39</v>
      </c>
      <c r="C22" t="s">
        <v>40</v>
      </c>
      <c r="D22" t="s">
        <v>45</v>
      </c>
      <c r="E22" t="s">
        <v>27</v>
      </c>
      <c r="F22" s="81" t="s">
        <v>3928</v>
      </c>
      <c r="G22" t="s">
        <v>28</v>
      </c>
      <c r="H22" t="s">
        <v>43</v>
      </c>
      <c r="I22" t="s">
        <v>30</v>
      </c>
      <c r="J22" t="s">
        <v>37</v>
      </c>
      <c r="K22" t="s">
        <v>30</v>
      </c>
      <c r="L22" s="24"/>
      <c r="M22" s="24"/>
      <c r="N22" s="24">
        <v>377501</v>
      </c>
      <c r="O22" s="81">
        <v>2265007.1080309674</v>
      </c>
      <c r="P22" s="364"/>
      <c r="Q22" s="24"/>
      <c r="R22" s="24">
        <v>340124</v>
      </c>
      <c r="S22" s="81">
        <v>2040746.1983235711</v>
      </c>
    </row>
    <row r="23" spans="1:19" x14ac:dyDescent="0.45">
      <c r="A23" s="79">
        <v>16</v>
      </c>
      <c r="B23" t="s">
        <v>39</v>
      </c>
      <c r="C23" t="s">
        <v>40</v>
      </c>
      <c r="D23" t="s">
        <v>46</v>
      </c>
      <c r="E23" t="s">
        <v>27</v>
      </c>
      <c r="F23" s="81" t="s">
        <v>3927</v>
      </c>
      <c r="G23" t="s">
        <v>28</v>
      </c>
      <c r="H23" t="s">
        <v>43</v>
      </c>
      <c r="I23" t="s">
        <v>30</v>
      </c>
      <c r="J23" t="s">
        <v>37</v>
      </c>
      <c r="K23" t="s">
        <v>30</v>
      </c>
      <c r="L23" s="24"/>
      <c r="M23" s="24"/>
      <c r="N23" s="24">
        <v>330780</v>
      </c>
      <c r="O23" s="81">
        <v>2646241.866524999</v>
      </c>
      <c r="P23" s="364"/>
      <c r="Q23" s="24"/>
      <c r="R23" s="24">
        <v>298029</v>
      </c>
      <c r="S23" s="81">
        <v>2384234.473175759</v>
      </c>
    </row>
    <row r="24" spans="1:19" x14ac:dyDescent="0.45">
      <c r="A24" s="79">
        <v>17</v>
      </c>
      <c r="B24" t="s">
        <v>39</v>
      </c>
      <c r="C24" t="s">
        <v>40</v>
      </c>
      <c r="D24" t="s">
        <v>41</v>
      </c>
      <c r="E24" t="s">
        <v>27</v>
      </c>
      <c r="F24" s="81" t="s">
        <v>3982</v>
      </c>
      <c r="G24" t="s">
        <v>42</v>
      </c>
      <c r="H24" t="s">
        <v>43</v>
      </c>
      <c r="I24" t="s">
        <v>30</v>
      </c>
      <c r="J24" t="s">
        <v>38</v>
      </c>
      <c r="K24" t="s">
        <v>30</v>
      </c>
      <c r="L24" s="24">
        <v>46000</v>
      </c>
      <c r="M24" s="24"/>
      <c r="N24" s="24">
        <v>46000</v>
      </c>
      <c r="O24" s="81">
        <v>9691733.6305517741</v>
      </c>
      <c r="P24" s="364">
        <v>34356</v>
      </c>
      <c r="Q24" s="24"/>
      <c r="R24" s="24">
        <v>34356</v>
      </c>
      <c r="S24" s="81">
        <v>7238376.6069083596</v>
      </c>
    </row>
    <row r="25" spans="1:19" x14ac:dyDescent="0.45">
      <c r="A25" s="79">
        <v>18</v>
      </c>
      <c r="B25" t="s">
        <v>39</v>
      </c>
      <c r="C25" t="s">
        <v>40</v>
      </c>
      <c r="D25" t="s">
        <v>41</v>
      </c>
      <c r="E25" t="s">
        <v>27</v>
      </c>
      <c r="F25" s="81" t="s">
        <v>3981</v>
      </c>
      <c r="G25" t="s">
        <v>28</v>
      </c>
      <c r="H25" t="s">
        <v>43</v>
      </c>
      <c r="I25" t="s">
        <v>30</v>
      </c>
      <c r="J25" t="s">
        <v>38</v>
      </c>
      <c r="K25" t="s">
        <v>30</v>
      </c>
      <c r="L25" s="24">
        <v>184001</v>
      </c>
      <c r="M25" s="24"/>
      <c r="N25" s="24">
        <v>184001</v>
      </c>
      <c r="O25" s="81">
        <v>19872152.307284579</v>
      </c>
      <c r="P25" s="364">
        <v>137424</v>
      </c>
      <c r="Q25" s="24"/>
      <c r="R25" s="24">
        <v>137424</v>
      </c>
      <c r="S25" s="81">
        <v>14841732.952351</v>
      </c>
    </row>
    <row r="26" spans="1:19" x14ac:dyDescent="0.45">
      <c r="A26" s="79">
        <v>19</v>
      </c>
      <c r="B26" t="s">
        <v>47</v>
      </c>
      <c r="C26" t="s">
        <v>4216</v>
      </c>
      <c r="D26" t="s">
        <v>48</v>
      </c>
      <c r="E26" t="s">
        <v>27</v>
      </c>
      <c r="F26" s="81" t="s">
        <v>3882</v>
      </c>
      <c r="G26" t="s">
        <v>42</v>
      </c>
      <c r="H26" t="s">
        <v>29</v>
      </c>
      <c r="I26" t="s">
        <v>30</v>
      </c>
      <c r="J26" t="s">
        <v>36</v>
      </c>
      <c r="K26" t="s">
        <v>30</v>
      </c>
      <c r="L26" s="24"/>
      <c r="M26" s="24"/>
      <c r="N26" s="24">
        <v>16473</v>
      </c>
      <c r="O26" s="81">
        <v>13661495.624361414</v>
      </c>
      <c r="P26" s="364"/>
      <c r="Q26" s="24"/>
      <c r="R26" s="24">
        <v>16473</v>
      </c>
      <c r="S26" s="81">
        <v>13661495.624361414</v>
      </c>
    </row>
    <row r="27" spans="1:19" x14ac:dyDescent="0.45">
      <c r="A27" s="79">
        <v>20</v>
      </c>
      <c r="B27" t="s">
        <v>47</v>
      </c>
      <c r="C27" t="s">
        <v>4216</v>
      </c>
      <c r="D27" t="s">
        <v>49</v>
      </c>
      <c r="E27" t="s">
        <v>35</v>
      </c>
      <c r="F27" s="81" t="s">
        <v>3883</v>
      </c>
      <c r="G27" t="s">
        <v>42</v>
      </c>
      <c r="H27" t="s">
        <v>29</v>
      </c>
      <c r="I27" t="s">
        <v>30</v>
      </c>
      <c r="J27" t="s">
        <v>36</v>
      </c>
      <c r="K27" t="s">
        <v>30</v>
      </c>
      <c r="L27" s="24"/>
      <c r="M27" s="24"/>
      <c r="N27" s="24">
        <v>23527</v>
      </c>
      <c r="O27" s="81">
        <v>8306053.9130434794</v>
      </c>
      <c r="P27" s="364"/>
      <c r="Q27" s="24"/>
      <c r="R27" s="24">
        <v>23527</v>
      </c>
      <c r="S27" s="81">
        <v>8306053.9130434794</v>
      </c>
    </row>
    <row r="28" spans="1:19" x14ac:dyDescent="0.45">
      <c r="A28" s="79">
        <v>21</v>
      </c>
      <c r="B28" t="s">
        <v>47</v>
      </c>
      <c r="C28" t="s">
        <v>4216</v>
      </c>
      <c r="D28" t="s">
        <v>49</v>
      </c>
      <c r="E28" t="s">
        <v>35</v>
      </c>
      <c r="F28" s="81" t="s">
        <v>3942</v>
      </c>
      <c r="G28" t="s">
        <v>42</v>
      </c>
      <c r="H28" t="s">
        <v>29</v>
      </c>
      <c r="I28" t="s">
        <v>30</v>
      </c>
      <c r="J28" t="s">
        <v>37</v>
      </c>
      <c r="K28" t="s">
        <v>30</v>
      </c>
      <c r="L28" s="24"/>
      <c r="M28" s="24"/>
      <c r="N28" s="24">
        <v>29992</v>
      </c>
      <c r="O28" s="81">
        <v>10304745.471014496</v>
      </c>
      <c r="P28" s="364"/>
      <c r="Q28" s="24"/>
      <c r="R28" s="24">
        <v>17317</v>
      </c>
      <c r="S28" s="81">
        <v>5949821.1486831279</v>
      </c>
    </row>
    <row r="29" spans="1:19" x14ac:dyDescent="0.45">
      <c r="A29" s="79">
        <v>22</v>
      </c>
      <c r="B29" t="s">
        <v>47</v>
      </c>
      <c r="C29" t="s">
        <v>4216</v>
      </c>
      <c r="D29" t="s">
        <v>50</v>
      </c>
      <c r="E29" t="s">
        <v>35</v>
      </c>
      <c r="F29" s="81" t="s">
        <v>4000</v>
      </c>
      <c r="G29" t="s">
        <v>42</v>
      </c>
      <c r="H29" t="s">
        <v>29</v>
      </c>
      <c r="I29" t="s">
        <v>30</v>
      </c>
      <c r="J29" t="s">
        <v>38</v>
      </c>
      <c r="K29" t="s">
        <v>30</v>
      </c>
      <c r="L29" s="24">
        <v>20242</v>
      </c>
      <c r="M29" s="24">
        <v>11462</v>
      </c>
      <c r="N29" s="24">
        <v>31704</v>
      </c>
      <c r="O29" s="81">
        <v>5634352.173913043</v>
      </c>
      <c r="P29" s="364">
        <v>13546</v>
      </c>
      <c r="Q29" s="24">
        <v>11012</v>
      </c>
      <c r="R29" s="24">
        <v>24558</v>
      </c>
      <c r="S29" s="81">
        <v>4364309.8869476253</v>
      </c>
    </row>
    <row r="30" spans="1:19" x14ac:dyDescent="0.45">
      <c r="A30" s="79">
        <v>23</v>
      </c>
      <c r="B30" t="s">
        <v>47</v>
      </c>
      <c r="C30" t="s">
        <v>4216</v>
      </c>
      <c r="D30" t="s">
        <v>50</v>
      </c>
      <c r="E30" t="s">
        <v>35</v>
      </c>
      <c r="F30" s="81" t="s">
        <v>4001</v>
      </c>
      <c r="G30" t="s">
        <v>28</v>
      </c>
      <c r="H30" t="s">
        <v>29</v>
      </c>
      <c r="I30" t="s">
        <v>30</v>
      </c>
      <c r="J30" t="s">
        <v>38</v>
      </c>
      <c r="K30" t="s">
        <v>30</v>
      </c>
      <c r="L30" s="24">
        <v>50616</v>
      </c>
      <c r="M30" s="24">
        <v>45838</v>
      </c>
      <c r="N30" s="24">
        <v>96454</v>
      </c>
      <c r="O30" s="81">
        <v>17389157.608695652</v>
      </c>
      <c r="P30" s="364">
        <v>33872</v>
      </c>
      <c r="Q30" s="24">
        <v>44037</v>
      </c>
      <c r="R30" s="24">
        <v>77909</v>
      </c>
      <c r="S30" s="81">
        <v>14045797.874530254</v>
      </c>
    </row>
    <row r="31" spans="1:19" x14ac:dyDescent="0.45">
      <c r="A31" s="79">
        <v>24</v>
      </c>
      <c r="B31" t="s">
        <v>47</v>
      </c>
      <c r="C31" t="s">
        <v>4216</v>
      </c>
      <c r="D31" t="s">
        <v>51</v>
      </c>
      <c r="E31" t="s">
        <v>35</v>
      </c>
      <c r="F31" s="81" t="s">
        <v>4003</v>
      </c>
      <c r="G31" t="s">
        <v>28</v>
      </c>
      <c r="H31" t="s">
        <v>29</v>
      </c>
      <c r="I31" t="s">
        <v>30</v>
      </c>
      <c r="J31" t="s">
        <v>38</v>
      </c>
      <c r="K31" t="s">
        <v>30</v>
      </c>
      <c r="L31" s="24">
        <v>12097</v>
      </c>
      <c r="M31" s="24">
        <v>13416</v>
      </c>
      <c r="N31" s="24">
        <v>25513</v>
      </c>
      <c r="O31" s="81">
        <v>3190819.4782608701</v>
      </c>
      <c r="P31" s="364">
        <v>8095</v>
      </c>
      <c r="Q31" s="24">
        <v>12889</v>
      </c>
      <c r="R31" s="24">
        <v>20984</v>
      </c>
      <c r="S31" s="81">
        <v>2624411.3861206979</v>
      </c>
    </row>
    <row r="32" spans="1:19" x14ac:dyDescent="0.45">
      <c r="A32" s="79">
        <v>25</v>
      </c>
      <c r="B32" t="s">
        <v>47</v>
      </c>
      <c r="C32" t="s">
        <v>4216</v>
      </c>
      <c r="D32" t="s">
        <v>51</v>
      </c>
      <c r="E32" t="s">
        <v>35</v>
      </c>
      <c r="F32" s="81" t="s">
        <v>4002</v>
      </c>
      <c r="G32" t="s">
        <v>42</v>
      </c>
      <c r="H32" t="s">
        <v>29</v>
      </c>
      <c r="I32" t="s">
        <v>30</v>
      </c>
      <c r="J32" t="s">
        <v>38</v>
      </c>
      <c r="K32" t="s">
        <v>30</v>
      </c>
      <c r="L32" s="24">
        <v>50123</v>
      </c>
      <c r="M32" s="24">
        <v>63520</v>
      </c>
      <c r="N32" s="24">
        <v>113643</v>
      </c>
      <c r="O32" s="81">
        <v>13988483.826086957</v>
      </c>
      <c r="P32" s="364">
        <v>33542</v>
      </c>
      <c r="Q32" s="24">
        <v>61024</v>
      </c>
      <c r="R32" s="24">
        <v>94566</v>
      </c>
      <c r="S32" s="81">
        <v>11639692.852599805</v>
      </c>
    </row>
    <row r="33" spans="1:19" x14ac:dyDescent="0.45">
      <c r="A33" s="79">
        <v>26</v>
      </c>
      <c r="B33" t="s">
        <v>47</v>
      </c>
      <c r="C33" t="s">
        <v>4216</v>
      </c>
      <c r="D33" t="s">
        <v>52</v>
      </c>
      <c r="E33" t="s">
        <v>35</v>
      </c>
      <c r="F33" s="81" t="s">
        <v>4005</v>
      </c>
      <c r="G33" t="s">
        <v>28</v>
      </c>
      <c r="H33" t="s">
        <v>29</v>
      </c>
      <c r="I33" t="s">
        <v>30</v>
      </c>
      <c r="J33" t="s">
        <v>38</v>
      </c>
      <c r="K33" t="s">
        <v>30</v>
      </c>
      <c r="L33" s="24">
        <v>18865</v>
      </c>
      <c r="M33" s="24">
        <v>24220</v>
      </c>
      <c r="N33" s="24">
        <v>43085</v>
      </c>
      <c r="O33" s="81">
        <v>10262916.782608699</v>
      </c>
      <c r="P33" s="364">
        <v>12625</v>
      </c>
      <c r="Q33" s="24">
        <v>23268</v>
      </c>
      <c r="R33" s="24">
        <v>35893</v>
      </c>
      <c r="S33" s="81">
        <v>8549709.8254712597</v>
      </c>
    </row>
    <row r="34" spans="1:19" x14ac:dyDescent="0.45">
      <c r="A34" s="79">
        <v>27</v>
      </c>
      <c r="B34" t="s">
        <v>47</v>
      </c>
      <c r="C34" t="s">
        <v>4216</v>
      </c>
      <c r="D34" t="s">
        <v>52</v>
      </c>
      <c r="E34" t="s">
        <v>35</v>
      </c>
      <c r="F34" s="81" t="s">
        <v>4004</v>
      </c>
      <c r="G34" t="s">
        <v>42</v>
      </c>
      <c r="H34" t="s">
        <v>29</v>
      </c>
      <c r="I34" t="s">
        <v>30</v>
      </c>
      <c r="J34" t="s">
        <v>38</v>
      </c>
      <c r="K34" t="s">
        <v>30</v>
      </c>
      <c r="L34" s="24">
        <v>66183</v>
      </c>
      <c r="M34" s="24">
        <v>44654</v>
      </c>
      <c r="N34" s="24">
        <v>110837</v>
      </c>
      <c r="O34" s="81">
        <v>25970941.173913047</v>
      </c>
      <c r="P34" s="364">
        <v>44289</v>
      </c>
      <c r="Q34" s="24">
        <v>42899</v>
      </c>
      <c r="R34" s="24">
        <v>87188</v>
      </c>
      <c r="S34" s="81">
        <v>20428741.818671718</v>
      </c>
    </row>
    <row r="35" spans="1:19" x14ac:dyDescent="0.45">
      <c r="A35" s="79">
        <v>28</v>
      </c>
      <c r="B35" t="s">
        <v>47</v>
      </c>
      <c r="C35" t="s">
        <v>4216</v>
      </c>
      <c r="D35" t="s">
        <v>49</v>
      </c>
      <c r="E35" t="s">
        <v>35</v>
      </c>
      <c r="F35" s="81" t="s">
        <v>3999</v>
      </c>
      <c r="G35" t="s">
        <v>42</v>
      </c>
      <c r="H35" t="s">
        <v>29</v>
      </c>
      <c r="I35" t="s">
        <v>30</v>
      </c>
      <c r="J35" t="s">
        <v>38</v>
      </c>
      <c r="K35" t="s">
        <v>30</v>
      </c>
      <c r="L35" s="24">
        <v>50256</v>
      </c>
      <c r="M35" s="24">
        <v>35841</v>
      </c>
      <c r="N35" s="24">
        <v>86097</v>
      </c>
      <c r="O35" s="81">
        <v>29581806.195652179</v>
      </c>
      <c r="P35" s="364">
        <v>33631</v>
      </c>
      <c r="Q35" s="24">
        <v>34433</v>
      </c>
      <c r="R35" s="24">
        <v>68064</v>
      </c>
      <c r="S35" s="81">
        <v>23385910.649471585</v>
      </c>
    </row>
    <row r="36" spans="1:19" x14ac:dyDescent="0.45">
      <c r="A36" s="79">
        <v>29</v>
      </c>
      <c r="B36" t="s">
        <v>53</v>
      </c>
      <c r="C36" t="s">
        <v>54</v>
      </c>
      <c r="D36" t="s">
        <v>55</v>
      </c>
      <c r="E36" t="s">
        <v>27</v>
      </c>
      <c r="F36" s="81" t="s">
        <v>3814</v>
      </c>
      <c r="G36" t="s">
        <v>28</v>
      </c>
      <c r="H36" t="s">
        <v>29</v>
      </c>
      <c r="I36" t="s">
        <v>30</v>
      </c>
      <c r="J36" t="s">
        <v>31</v>
      </c>
      <c r="K36" t="s">
        <v>30</v>
      </c>
      <c r="L36" s="24">
        <v>137605</v>
      </c>
      <c r="M36" s="24">
        <v>237037</v>
      </c>
      <c r="N36" s="24">
        <v>374642</v>
      </c>
      <c r="O36" s="81">
        <v>26457257.268590368</v>
      </c>
      <c r="P36" s="364">
        <v>137605</v>
      </c>
      <c r="Q36" s="24">
        <v>191363</v>
      </c>
      <c r="R36" s="24">
        <v>328968</v>
      </c>
      <c r="S36" s="81">
        <v>23231811.560666233</v>
      </c>
    </row>
    <row r="37" spans="1:19" x14ac:dyDescent="0.45">
      <c r="A37" s="79">
        <v>30</v>
      </c>
      <c r="B37" t="s">
        <v>53</v>
      </c>
      <c r="C37" t="s">
        <v>54</v>
      </c>
      <c r="D37" t="s">
        <v>56</v>
      </c>
      <c r="E37" t="s">
        <v>27</v>
      </c>
      <c r="F37" s="81" t="s">
        <v>3815</v>
      </c>
      <c r="G37" t="s">
        <v>42</v>
      </c>
      <c r="H37" t="s">
        <v>29</v>
      </c>
      <c r="I37" t="s">
        <v>30</v>
      </c>
      <c r="J37" t="s">
        <v>31</v>
      </c>
      <c r="K37" t="s">
        <v>30</v>
      </c>
      <c r="L37" s="24">
        <v>3023</v>
      </c>
      <c r="M37" s="24">
        <v>5970</v>
      </c>
      <c r="N37" s="24">
        <v>8993</v>
      </c>
      <c r="O37" s="81">
        <v>962241.14736662898</v>
      </c>
      <c r="P37" s="364">
        <v>3023</v>
      </c>
      <c r="Q37" s="24">
        <v>4819</v>
      </c>
      <c r="R37" s="24">
        <v>7842</v>
      </c>
      <c r="S37" s="81">
        <v>839163.92922868638</v>
      </c>
    </row>
    <row r="38" spans="1:19" x14ac:dyDescent="0.45">
      <c r="A38" s="79">
        <v>31</v>
      </c>
      <c r="B38" t="s">
        <v>53</v>
      </c>
      <c r="C38" t="s">
        <v>54</v>
      </c>
      <c r="D38" t="s">
        <v>57</v>
      </c>
      <c r="E38" t="s">
        <v>27</v>
      </c>
      <c r="F38" s="81" t="s">
        <v>3816</v>
      </c>
      <c r="G38" t="s">
        <v>28</v>
      </c>
      <c r="H38" t="s">
        <v>29</v>
      </c>
      <c r="I38" t="s">
        <v>30</v>
      </c>
      <c r="J38" t="s">
        <v>31</v>
      </c>
      <c r="K38" t="s">
        <v>30</v>
      </c>
      <c r="L38" s="24">
        <v>6372</v>
      </c>
      <c r="M38" s="24">
        <v>10440</v>
      </c>
      <c r="N38" s="24">
        <v>16812</v>
      </c>
      <c r="O38" s="81">
        <v>28592.701628170693</v>
      </c>
      <c r="P38" s="364">
        <v>6372</v>
      </c>
      <c r="Q38" s="24">
        <v>8428</v>
      </c>
      <c r="R38" s="24">
        <v>14800</v>
      </c>
      <c r="S38" s="81">
        <v>25171.557045168556</v>
      </c>
    </row>
    <row r="39" spans="1:19" x14ac:dyDescent="0.45">
      <c r="A39" s="79">
        <v>32</v>
      </c>
      <c r="B39" t="s">
        <v>53</v>
      </c>
      <c r="C39" t="s">
        <v>54</v>
      </c>
      <c r="D39" t="s">
        <v>58</v>
      </c>
      <c r="E39" t="s">
        <v>27</v>
      </c>
      <c r="F39" s="81" t="s">
        <v>3817</v>
      </c>
      <c r="G39" t="s">
        <v>28</v>
      </c>
      <c r="H39" t="s">
        <v>29</v>
      </c>
      <c r="I39" t="s">
        <v>30</v>
      </c>
      <c r="J39" t="s">
        <v>31</v>
      </c>
      <c r="K39" t="s">
        <v>30</v>
      </c>
      <c r="L39" s="24">
        <v>213399</v>
      </c>
      <c r="M39" s="24">
        <v>481515</v>
      </c>
      <c r="N39" s="24">
        <v>694914</v>
      </c>
      <c r="O39" s="81">
        <v>20819623.010594573</v>
      </c>
      <c r="P39" s="364">
        <v>213399</v>
      </c>
      <c r="Q39" s="24">
        <v>388733</v>
      </c>
      <c r="R39" s="24">
        <v>602132</v>
      </c>
      <c r="S39" s="81">
        <v>18039917.873816833</v>
      </c>
    </row>
    <row r="40" spans="1:19" x14ac:dyDescent="0.45">
      <c r="A40" s="79">
        <v>33</v>
      </c>
      <c r="B40" t="s">
        <v>53</v>
      </c>
      <c r="C40" t="s">
        <v>54</v>
      </c>
      <c r="D40" t="s">
        <v>59</v>
      </c>
      <c r="E40" t="s">
        <v>27</v>
      </c>
      <c r="F40" s="81" t="s">
        <v>3818</v>
      </c>
      <c r="G40" t="s">
        <v>28</v>
      </c>
      <c r="H40" t="s">
        <v>29</v>
      </c>
      <c r="I40" t="s">
        <v>30</v>
      </c>
      <c r="J40" t="s">
        <v>31</v>
      </c>
      <c r="K40" t="s">
        <v>30</v>
      </c>
      <c r="L40" s="24">
        <v>1501</v>
      </c>
      <c r="M40" s="24">
        <v>470</v>
      </c>
      <c r="N40" s="24">
        <v>1971</v>
      </c>
      <c r="O40" s="81">
        <v>843874.46766327508</v>
      </c>
      <c r="P40" s="364">
        <v>1501</v>
      </c>
      <c r="Q40" s="24">
        <v>380</v>
      </c>
      <c r="R40" s="24">
        <v>1881</v>
      </c>
      <c r="S40" s="81">
        <v>805102.39145567606</v>
      </c>
    </row>
    <row r="41" spans="1:19" x14ac:dyDescent="0.45">
      <c r="A41" s="79">
        <v>34</v>
      </c>
      <c r="B41" t="s">
        <v>53</v>
      </c>
      <c r="C41" t="s">
        <v>54</v>
      </c>
      <c r="D41" t="s">
        <v>60</v>
      </c>
      <c r="E41" t="s">
        <v>35</v>
      </c>
      <c r="F41" s="81" t="s">
        <v>3819</v>
      </c>
      <c r="G41" t="s">
        <v>28</v>
      </c>
      <c r="H41" t="s">
        <v>43</v>
      </c>
      <c r="I41" t="s">
        <v>61</v>
      </c>
      <c r="J41" t="s">
        <v>31</v>
      </c>
      <c r="K41" t="s">
        <v>30</v>
      </c>
      <c r="L41" s="24">
        <v>46651</v>
      </c>
      <c r="M41" s="24">
        <v>46659</v>
      </c>
      <c r="N41" s="24">
        <v>93310</v>
      </c>
      <c r="O41" s="81">
        <v>2595892.4801641074</v>
      </c>
      <c r="P41" s="364">
        <v>46651</v>
      </c>
      <c r="Q41" s="24">
        <v>37669</v>
      </c>
      <c r="R41" s="24">
        <v>84320</v>
      </c>
      <c r="S41" s="81">
        <v>2345780.8553546937</v>
      </c>
    </row>
    <row r="42" spans="1:19" x14ac:dyDescent="0.45">
      <c r="A42" s="79">
        <v>35</v>
      </c>
      <c r="B42" t="s">
        <v>53</v>
      </c>
      <c r="C42" t="s">
        <v>54</v>
      </c>
      <c r="D42" t="s">
        <v>55</v>
      </c>
      <c r="E42" t="s">
        <v>27</v>
      </c>
      <c r="F42" s="81" t="s">
        <v>3879</v>
      </c>
      <c r="G42" t="s">
        <v>28</v>
      </c>
      <c r="H42" t="s">
        <v>29</v>
      </c>
      <c r="I42" t="s">
        <v>30</v>
      </c>
      <c r="J42" t="s">
        <v>36</v>
      </c>
      <c r="K42" t="s">
        <v>30</v>
      </c>
      <c r="L42" s="24"/>
      <c r="M42" s="24"/>
      <c r="N42" s="24">
        <v>149643</v>
      </c>
      <c r="O42" s="81">
        <v>10567760.412</v>
      </c>
      <c r="P42" s="364"/>
      <c r="Q42" s="24"/>
      <c r="R42" s="24">
        <v>149642</v>
      </c>
      <c r="S42" s="81">
        <v>10567750.517287806</v>
      </c>
    </row>
    <row r="43" spans="1:19" x14ac:dyDescent="0.45">
      <c r="A43" s="79">
        <v>36</v>
      </c>
      <c r="B43" t="s">
        <v>53</v>
      </c>
      <c r="C43" t="s">
        <v>54</v>
      </c>
      <c r="D43" t="s">
        <v>57</v>
      </c>
      <c r="E43" t="s">
        <v>27</v>
      </c>
      <c r="F43" s="81" t="s">
        <v>3880</v>
      </c>
      <c r="G43" t="s">
        <v>28</v>
      </c>
      <c r="H43" t="s">
        <v>29</v>
      </c>
      <c r="I43" t="s">
        <v>30</v>
      </c>
      <c r="J43" t="s">
        <v>36</v>
      </c>
      <c r="K43" t="s">
        <v>30</v>
      </c>
      <c r="L43" s="24"/>
      <c r="M43" s="24"/>
      <c r="N43" s="24">
        <v>6513</v>
      </c>
      <c r="O43" s="81">
        <v>11077.592674500002</v>
      </c>
      <c r="P43" s="364"/>
      <c r="Q43" s="24"/>
      <c r="R43" s="24">
        <v>6513</v>
      </c>
      <c r="S43" s="81">
        <v>11077.582302426161</v>
      </c>
    </row>
    <row r="44" spans="1:19" x14ac:dyDescent="0.45">
      <c r="A44" s="79">
        <v>37</v>
      </c>
      <c r="B44" t="s">
        <v>53</v>
      </c>
      <c r="C44" t="s">
        <v>54</v>
      </c>
      <c r="D44" t="s">
        <v>60</v>
      </c>
      <c r="E44" t="s">
        <v>35</v>
      </c>
      <c r="F44" s="81" t="s">
        <v>3881</v>
      </c>
      <c r="G44" t="s">
        <v>28</v>
      </c>
      <c r="H44" t="s">
        <v>43</v>
      </c>
      <c r="I44" t="s">
        <v>61</v>
      </c>
      <c r="J44" t="s">
        <v>36</v>
      </c>
      <c r="K44" t="s">
        <v>30</v>
      </c>
      <c r="L44" s="24"/>
      <c r="M44" s="24"/>
      <c r="N44" s="24">
        <v>57448</v>
      </c>
      <c r="O44" s="81">
        <v>1598211.706</v>
      </c>
      <c r="P44" s="364"/>
      <c r="Q44" s="24"/>
      <c r="R44" s="24">
        <v>57448</v>
      </c>
      <c r="S44" s="81">
        <v>1598210.2095765157</v>
      </c>
    </row>
    <row r="45" spans="1:19" x14ac:dyDescent="0.45">
      <c r="A45" s="79">
        <v>38</v>
      </c>
      <c r="B45" t="s">
        <v>53</v>
      </c>
      <c r="C45" t="s">
        <v>54</v>
      </c>
      <c r="D45" t="s">
        <v>55</v>
      </c>
      <c r="E45" t="s">
        <v>27</v>
      </c>
      <c r="F45" s="81" t="s">
        <v>3937</v>
      </c>
      <c r="G45" t="s">
        <v>28</v>
      </c>
      <c r="H45" t="s">
        <v>29</v>
      </c>
      <c r="I45" t="s">
        <v>30</v>
      </c>
      <c r="J45" t="s">
        <v>37</v>
      </c>
      <c r="K45" t="s">
        <v>30</v>
      </c>
      <c r="L45" s="24"/>
      <c r="M45" s="24"/>
      <c r="N45" s="24">
        <v>123408</v>
      </c>
      <c r="O45" s="81">
        <v>8715056.1594191957</v>
      </c>
      <c r="P45" s="364"/>
      <c r="Q45" s="24"/>
      <c r="R45" s="24">
        <v>123408</v>
      </c>
      <c r="S45" s="81">
        <v>8715056.1594191957</v>
      </c>
    </row>
    <row r="46" spans="1:19" x14ac:dyDescent="0.45">
      <c r="A46" s="79">
        <v>39</v>
      </c>
      <c r="B46" t="s">
        <v>53</v>
      </c>
      <c r="C46" t="s">
        <v>54</v>
      </c>
      <c r="D46" t="s">
        <v>57</v>
      </c>
      <c r="E46" t="s">
        <v>27</v>
      </c>
      <c r="F46" s="81" t="s">
        <v>3938</v>
      </c>
      <c r="G46" t="s">
        <v>28</v>
      </c>
      <c r="H46" t="s">
        <v>29</v>
      </c>
      <c r="I46" t="s">
        <v>30</v>
      </c>
      <c r="J46" t="s">
        <v>37</v>
      </c>
      <c r="K46" t="s">
        <v>30</v>
      </c>
      <c r="L46" s="24"/>
      <c r="M46" s="24"/>
      <c r="N46" s="24">
        <v>5311</v>
      </c>
      <c r="O46" s="81">
        <v>9032.2208454079282</v>
      </c>
      <c r="P46" s="364"/>
      <c r="Q46" s="24"/>
      <c r="R46" s="24">
        <v>5311</v>
      </c>
      <c r="S46" s="81">
        <v>9032.2208454079282</v>
      </c>
    </row>
    <row r="47" spans="1:19" x14ac:dyDescent="0.45">
      <c r="A47" s="79">
        <v>40</v>
      </c>
      <c r="B47" t="s">
        <v>53</v>
      </c>
      <c r="C47" t="s">
        <v>54</v>
      </c>
      <c r="D47" t="s">
        <v>58</v>
      </c>
      <c r="E47" t="s">
        <v>27</v>
      </c>
      <c r="F47" s="81" t="s">
        <v>3939</v>
      </c>
      <c r="G47" t="s">
        <v>28</v>
      </c>
      <c r="H47" t="s">
        <v>29</v>
      </c>
      <c r="I47" t="s">
        <v>30</v>
      </c>
      <c r="J47" t="s">
        <v>37</v>
      </c>
      <c r="K47" t="s">
        <v>30</v>
      </c>
      <c r="L47" s="24"/>
      <c r="M47" s="24"/>
      <c r="N47" s="24">
        <v>237542</v>
      </c>
      <c r="O47" s="81">
        <v>7116769.6688127881</v>
      </c>
      <c r="P47" s="364"/>
      <c r="Q47" s="24"/>
      <c r="R47" s="24">
        <v>237542</v>
      </c>
      <c r="S47" s="81">
        <v>7116769.6688127881</v>
      </c>
    </row>
    <row r="48" spans="1:19" x14ac:dyDescent="0.45">
      <c r="A48" s="79">
        <v>41</v>
      </c>
      <c r="B48" t="s">
        <v>53</v>
      </c>
      <c r="C48" t="s">
        <v>54</v>
      </c>
      <c r="D48" t="s">
        <v>59</v>
      </c>
      <c r="E48" t="s">
        <v>27</v>
      </c>
      <c r="F48" s="81" t="s">
        <v>3940</v>
      </c>
      <c r="G48" t="s">
        <v>28</v>
      </c>
      <c r="H48" t="s">
        <v>29</v>
      </c>
      <c r="I48" t="s">
        <v>30</v>
      </c>
      <c r="J48" t="s">
        <v>37</v>
      </c>
      <c r="K48" t="s">
        <v>30</v>
      </c>
      <c r="L48" s="24"/>
      <c r="M48" s="24"/>
      <c r="N48" s="24">
        <v>310</v>
      </c>
      <c r="O48" s="81">
        <v>132677.27314765099</v>
      </c>
      <c r="P48" s="364"/>
      <c r="Q48" s="24"/>
      <c r="R48" s="24">
        <v>310</v>
      </c>
      <c r="S48" s="81">
        <v>132677.27314765099</v>
      </c>
    </row>
    <row r="49" spans="1:19" x14ac:dyDescent="0.45">
      <c r="A49" s="79">
        <v>42</v>
      </c>
      <c r="B49" t="s">
        <v>53</v>
      </c>
      <c r="C49" t="s">
        <v>54</v>
      </c>
      <c r="D49" t="s">
        <v>60</v>
      </c>
      <c r="E49" t="s">
        <v>35</v>
      </c>
      <c r="F49" s="81" t="s">
        <v>3941</v>
      </c>
      <c r="G49" t="s">
        <v>28</v>
      </c>
      <c r="H49" t="s">
        <v>43</v>
      </c>
      <c r="I49" t="s">
        <v>61</v>
      </c>
      <c r="J49" t="s">
        <v>37</v>
      </c>
      <c r="K49" t="s">
        <v>30</v>
      </c>
      <c r="L49" s="24"/>
      <c r="M49" s="24"/>
      <c r="N49" s="24">
        <v>11309</v>
      </c>
      <c r="O49" s="81">
        <v>314617.47704074124</v>
      </c>
      <c r="P49" s="364"/>
      <c r="Q49" s="24"/>
      <c r="R49" s="24">
        <v>11309</v>
      </c>
      <c r="S49" s="81">
        <v>314617.47704074124</v>
      </c>
    </row>
    <row r="50" spans="1:19" x14ac:dyDescent="0.45">
      <c r="A50" s="79">
        <v>43</v>
      </c>
      <c r="B50" t="s">
        <v>53</v>
      </c>
      <c r="C50" t="s">
        <v>54</v>
      </c>
      <c r="D50" t="s">
        <v>55</v>
      </c>
      <c r="E50" t="s">
        <v>27</v>
      </c>
      <c r="F50" s="81" t="s">
        <v>3996</v>
      </c>
      <c r="G50" t="s">
        <v>28</v>
      </c>
      <c r="H50" t="s">
        <v>29</v>
      </c>
      <c r="I50" t="s">
        <v>30</v>
      </c>
      <c r="J50" t="s">
        <v>38</v>
      </c>
      <c r="K50" t="s">
        <v>30</v>
      </c>
      <c r="L50" s="24">
        <v>59966</v>
      </c>
      <c r="M50" s="24"/>
      <c r="N50" s="24">
        <v>59966</v>
      </c>
      <c r="O50" s="81">
        <v>4234766.7194569428</v>
      </c>
      <c r="P50" s="364">
        <v>47004</v>
      </c>
      <c r="Q50" s="24"/>
      <c r="R50" s="24">
        <v>47004</v>
      </c>
      <c r="S50" s="81">
        <v>3319402.9949943805</v>
      </c>
    </row>
    <row r="51" spans="1:19" x14ac:dyDescent="0.45">
      <c r="A51" s="79">
        <v>44</v>
      </c>
      <c r="B51" t="s">
        <v>53</v>
      </c>
      <c r="C51" t="s">
        <v>54</v>
      </c>
      <c r="D51" t="s">
        <v>56</v>
      </c>
      <c r="E51" t="s">
        <v>27</v>
      </c>
      <c r="F51" s="81" t="s">
        <v>3997</v>
      </c>
      <c r="G51" t="s">
        <v>42</v>
      </c>
      <c r="H51" t="s">
        <v>29</v>
      </c>
      <c r="I51" t="s">
        <v>30</v>
      </c>
      <c r="J51" t="s">
        <v>38</v>
      </c>
      <c r="K51" t="s">
        <v>30</v>
      </c>
      <c r="L51" s="24">
        <v>1492</v>
      </c>
      <c r="M51" s="24"/>
      <c r="N51" s="24">
        <v>1492</v>
      </c>
      <c r="O51" s="81">
        <v>159633.24672027837</v>
      </c>
      <c r="P51" s="364">
        <v>1169</v>
      </c>
      <c r="Q51" s="24"/>
      <c r="R51" s="24">
        <v>1169</v>
      </c>
      <c r="S51" s="81">
        <v>125127.80806304258</v>
      </c>
    </row>
    <row r="52" spans="1:19" x14ac:dyDescent="0.45">
      <c r="A52" s="79">
        <v>45</v>
      </c>
      <c r="B52" t="s">
        <v>53</v>
      </c>
      <c r="C52" t="s">
        <v>54</v>
      </c>
      <c r="D52" t="s">
        <v>58</v>
      </c>
      <c r="E52" t="s">
        <v>27</v>
      </c>
      <c r="F52" s="81" t="s">
        <v>3998</v>
      </c>
      <c r="G52" t="s">
        <v>28</v>
      </c>
      <c r="H52" t="s">
        <v>29</v>
      </c>
      <c r="I52" t="s">
        <v>30</v>
      </c>
      <c r="J52" t="s">
        <v>38</v>
      </c>
      <c r="K52" t="s">
        <v>30</v>
      </c>
      <c r="L52" s="24">
        <v>105306</v>
      </c>
      <c r="M52" s="24"/>
      <c r="N52" s="24">
        <v>105306</v>
      </c>
      <c r="O52" s="81">
        <v>3154976.9098008871</v>
      </c>
      <c r="P52" s="364">
        <v>82544</v>
      </c>
      <c r="Q52" s="24"/>
      <c r="R52" s="24">
        <v>82544</v>
      </c>
      <c r="S52" s="81">
        <v>2473014.5713608908</v>
      </c>
    </row>
    <row r="53" spans="1:19" x14ac:dyDescent="0.45">
      <c r="A53" s="79">
        <v>46</v>
      </c>
      <c r="B53" t="s">
        <v>62</v>
      </c>
      <c r="C53" t="s">
        <v>63</v>
      </c>
      <c r="D53" t="s">
        <v>64</v>
      </c>
      <c r="E53" t="s">
        <v>27</v>
      </c>
      <c r="F53" s="81" t="s">
        <v>3825</v>
      </c>
      <c r="G53" t="s">
        <v>28</v>
      </c>
      <c r="H53" t="s">
        <v>29</v>
      </c>
      <c r="I53" t="s">
        <v>30</v>
      </c>
      <c r="J53" t="s">
        <v>31</v>
      </c>
      <c r="K53" t="s">
        <v>30</v>
      </c>
      <c r="L53" s="24">
        <v>100462</v>
      </c>
      <c r="M53" s="24">
        <v>187885</v>
      </c>
      <c r="N53" s="24">
        <v>288347</v>
      </c>
      <c r="O53" s="81">
        <v>2883470.3</v>
      </c>
      <c r="P53" s="364">
        <v>100462</v>
      </c>
      <c r="Q53" s="24">
        <v>187885</v>
      </c>
      <c r="R53" s="24">
        <v>288347</v>
      </c>
      <c r="S53" s="81">
        <v>2883470.3</v>
      </c>
    </row>
    <row r="54" spans="1:19" x14ac:dyDescent="0.45">
      <c r="A54" s="79">
        <v>47</v>
      </c>
      <c r="B54" t="s">
        <v>62</v>
      </c>
      <c r="C54" t="s">
        <v>63</v>
      </c>
      <c r="D54" t="s">
        <v>65</v>
      </c>
      <c r="E54" t="s">
        <v>27</v>
      </c>
      <c r="F54" s="81" t="s">
        <v>3820</v>
      </c>
      <c r="G54" t="s">
        <v>28</v>
      </c>
      <c r="H54" t="s">
        <v>29</v>
      </c>
      <c r="I54" t="s">
        <v>30</v>
      </c>
      <c r="J54" t="s">
        <v>31</v>
      </c>
      <c r="K54" t="s">
        <v>30</v>
      </c>
      <c r="L54" s="24">
        <v>15456</v>
      </c>
      <c r="M54" s="24">
        <v>18182</v>
      </c>
      <c r="N54" s="24">
        <v>33638</v>
      </c>
      <c r="O54" s="81">
        <v>13455372</v>
      </c>
      <c r="P54" s="364">
        <v>15456</v>
      </c>
      <c r="Q54" s="24">
        <v>18182</v>
      </c>
      <c r="R54" s="24">
        <v>33638</v>
      </c>
      <c r="S54" s="81">
        <v>13455372</v>
      </c>
    </row>
    <row r="55" spans="1:19" x14ac:dyDescent="0.45">
      <c r="A55" s="79">
        <v>48</v>
      </c>
      <c r="B55" t="s">
        <v>62</v>
      </c>
      <c r="C55" t="s">
        <v>63</v>
      </c>
      <c r="D55" t="s">
        <v>66</v>
      </c>
      <c r="E55" t="s">
        <v>27</v>
      </c>
      <c r="F55" s="81" t="s">
        <v>3827</v>
      </c>
      <c r="G55" t="s">
        <v>28</v>
      </c>
      <c r="H55" t="s">
        <v>29</v>
      </c>
      <c r="I55" t="s">
        <v>30</v>
      </c>
      <c r="J55" t="s">
        <v>31</v>
      </c>
      <c r="K55" t="s">
        <v>30</v>
      </c>
      <c r="L55" s="24">
        <v>3864</v>
      </c>
      <c r="M55" s="24">
        <v>6061</v>
      </c>
      <c r="N55" s="24">
        <v>9925</v>
      </c>
      <c r="O55" s="81">
        <v>297741.90000000002</v>
      </c>
      <c r="P55" s="364">
        <v>3864</v>
      </c>
      <c r="Q55" s="24">
        <v>6061</v>
      </c>
      <c r="R55" s="24">
        <v>9925</v>
      </c>
      <c r="S55" s="81">
        <v>297741.90000000002</v>
      </c>
    </row>
    <row r="56" spans="1:19" x14ac:dyDescent="0.45">
      <c r="A56" s="79">
        <v>49</v>
      </c>
      <c r="B56" t="s">
        <v>62</v>
      </c>
      <c r="C56" t="s">
        <v>63</v>
      </c>
      <c r="D56" t="s">
        <v>67</v>
      </c>
      <c r="E56" t="s">
        <v>27</v>
      </c>
      <c r="F56" s="81" t="s">
        <v>3829</v>
      </c>
      <c r="G56" t="s">
        <v>28</v>
      </c>
      <c r="H56" t="s">
        <v>29</v>
      </c>
      <c r="I56" t="s">
        <v>30</v>
      </c>
      <c r="J56" t="s">
        <v>31</v>
      </c>
      <c r="K56" t="s">
        <v>30</v>
      </c>
      <c r="L56" s="24">
        <v>5796</v>
      </c>
      <c r="M56" s="24">
        <v>9091</v>
      </c>
      <c r="N56" s="24">
        <v>14887</v>
      </c>
      <c r="O56" s="81">
        <v>238193.52000000002</v>
      </c>
      <c r="P56" s="364">
        <v>5796</v>
      </c>
      <c r="Q56" s="24">
        <v>9091</v>
      </c>
      <c r="R56" s="24">
        <v>14887</v>
      </c>
      <c r="S56" s="81">
        <v>238193.52000000002</v>
      </c>
    </row>
    <row r="57" spans="1:19" x14ac:dyDescent="0.45">
      <c r="A57" s="79">
        <v>50</v>
      </c>
      <c r="B57" t="s">
        <v>62</v>
      </c>
      <c r="C57" t="s">
        <v>63</v>
      </c>
      <c r="D57" t="s">
        <v>68</v>
      </c>
      <c r="E57" t="s">
        <v>27</v>
      </c>
      <c r="F57" s="81" t="s">
        <v>3826</v>
      </c>
      <c r="G57" t="s">
        <v>28</v>
      </c>
      <c r="H57" t="s">
        <v>29</v>
      </c>
      <c r="I57" t="s">
        <v>30</v>
      </c>
      <c r="J57" t="s">
        <v>31</v>
      </c>
      <c r="K57" t="s">
        <v>30</v>
      </c>
      <c r="L57" s="24">
        <v>92734</v>
      </c>
      <c r="M57" s="24">
        <v>139399</v>
      </c>
      <c r="N57" s="24">
        <v>232133</v>
      </c>
      <c r="O57" s="81">
        <v>17409953.25</v>
      </c>
      <c r="P57" s="364">
        <v>92734</v>
      </c>
      <c r="Q57" s="24">
        <v>139399</v>
      </c>
      <c r="R57" s="24">
        <v>232133</v>
      </c>
      <c r="S57" s="81">
        <v>17409953.25</v>
      </c>
    </row>
    <row r="58" spans="1:19" x14ac:dyDescent="0.45">
      <c r="A58" s="79">
        <v>51</v>
      </c>
      <c r="B58" t="s">
        <v>62</v>
      </c>
      <c r="C58" t="s">
        <v>63</v>
      </c>
      <c r="D58" t="s">
        <v>69</v>
      </c>
      <c r="E58" t="s">
        <v>27</v>
      </c>
      <c r="F58" s="81" t="s">
        <v>3823</v>
      </c>
      <c r="G58" t="s">
        <v>28</v>
      </c>
      <c r="H58" t="s">
        <v>29</v>
      </c>
      <c r="I58" t="s">
        <v>30</v>
      </c>
      <c r="J58" t="s">
        <v>31</v>
      </c>
      <c r="K58" t="s">
        <v>30</v>
      </c>
      <c r="L58" s="24">
        <v>112054</v>
      </c>
      <c r="M58" s="24">
        <v>163642</v>
      </c>
      <c r="N58" s="24">
        <v>275696</v>
      </c>
      <c r="O58" s="81">
        <v>19298688.5</v>
      </c>
      <c r="P58" s="364">
        <v>112054</v>
      </c>
      <c r="Q58" s="24">
        <v>163642</v>
      </c>
      <c r="R58" s="24">
        <v>275696</v>
      </c>
      <c r="S58" s="81">
        <v>19298688.5</v>
      </c>
    </row>
    <row r="59" spans="1:19" x14ac:dyDescent="0.45">
      <c r="A59" s="79">
        <v>52</v>
      </c>
      <c r="B59" t="s">
        <v>62</v>
      </c>
      <c r="C59" t="s">
        <v>63</v>
      </c>
      <c r="D59" t="s">
        <v>70</v>
      </c>
      <c r="E59" t="s">
        <v>27</v>
      </c>
      <c r="F59" s="81" t="s">
        <v>3822</v>
      </c>
      <c r="G59" t="s">
        <v>42</v>
      </c>
      <c r="H59" t="s">
        <v>29</v>
      </c>
      <c r="I59" t="s">
        <v>30</v>
      </c>
      <c r="J59" t="s">
        <v>31</v>
      </c>
      <c r="K59" t="s">
        <v>30</v>
      </c>
      <c r="L59" s="24">
        <v>1932</v>
      </c>
      <c r="M59" s="24">
        <v>3030</v>
      </c>
      <c r="N59" s="24">
        <v>4962</v>
      </c>
      <c r="O59" s="81">
        <v>1984946.0000000002</v>
      </c>
      <c r="P59" s="364">
        <v>1932</v>
      </c>
      <c r="Q59" s="24">
        <v>3030</v>
      </c>
      <c r="R59" s="24">
        <v>4962</v>
      </c>
      <c r="S59" s="81">
        <v>1984946.0000000002</v>
      </c>
    </row>
    <row r="60" spans="1:19" x14ac:dyDescent="0.45">
      <c r="A60" s="79">
        <v>53</v>
      </c>
      <c r="B60" t="s">
        <v>62</v>
      </c>
      <c r="C60" t="s">
        <v>63</v>
      </c>
      <c r="D60" t="s">
        <v>71</v>
      </c>
      <c r="E60" t="s">
        <v>27</v>
      </c>
      <c r="F60" s="81" t="s">
        <v>3824</v>
      </c>
      <c r="G60" t="s">
        <v>28</v>
      </c>
      <c r="H60" t="s">
        <v>29</v>
      </c>
      <c r="I60" t="s">
        <v>30</v>
      </c>
      <c r="J60" t="s">
        <v>31</v>
      </c>
      <c r="K60" t="s">
        <v>30</v>
      </c>
      <c r="L60" s="24">
        <v>30911</v>
      </c>
      <c r="M60" s="24">
        <v>39395</v>
      </c>
      <c r="N60" s="24">
        <v>70306</v>
      </c>
      <c r="O60" s="81">
        <v>8788328.125</v>
      </c>
      <c r="P60" s="364">
        <v>30911</v>
      </c>
      <c r="Q60" s="24">
        <v>39395</v>
      </c>
      <c r="R60" s="24">
        <v>70306</v>
      </c>
      <c r="S60" s="81">
        <v>8788328.125</v>
      </c>
    </row>
    <row r="61" spans="1:19" x14ac:dyDescent="0.45">
      <c r="A61" s="79">
        <v>54</v>
      </c>
      <c r="B61" t="s">
        <v>62</v>
      </c>
      <c r="C61" t="s">
        <v>63</v>
      </c>
      <c r="D61" t="s">
        <v>72</v>
      </c>
      <c r="E61" t="s">
        <v>27</v>
      </c>
      <c r="F61" s="81" t="s">
        <v>3821</v>
      </c>
      <c r="G61" t="s">
        <v>28</v>
      </c>
      <c r="H61" t="s">
        <v>29</v>
      </c>
      <c r="I61" t="s">
        <v>30</v>
      </c>
      <c r="J61" t="s">
        <v>31</v>
      </c>
      <c r="K61" t="s">
        <v>30</v>
      </c>
      <c r="L61" s="24">
        <v>15456</v>
      </c>
      <c r="M61" s="24">
        <v>24243</v>
      </c>
      <c r="N61" s="24">
        <v>39699</v>
      </c>
      <c r="O61" s="81">
        <v>6351827.2000000011</v>
      </c>
      <c r="P61" s="364">
        <v>15456</v>
      </c>
      <c r="Q61" s="24">
        <v>24243</v>
      </c>
      <c r="R61" s="24">
        <v>39699</v>
      </c>
      <c r="S61" s="81">
        <v>6351827.2000000011</v>
      </c>
    </row>
    <row r="62" spans="1:19" x14ac:dyDescent="0.45">
      <c r="A62" s="79">
        <v>55</v>
      </c>
      <c r="B62" t="s">
        <v>62</v>
      </c>
      <c r="C62" t="s">
        <v>63</v>
      </c>
      <c r="D62" t="s">
        <v>73</v>
      </c>
      <c r="E62" t="s">
        <v>27</v>
      </c>
      <c r="F62" s="81" t="s">
        <v>3828</v>
      </c>
      <c r="G62" t="s">
        <v>28</v>
      </c>
      <c r="H62" t="s">
        <v>29</v>
      </c>
      <c r="I62" t="s">
        <v>30</v>
      </c>
      <c r="J62" t="s">
        <v>31</v>
      </c>
      <c r="K62" t="s">
        <v>30</v>
      </c>
      <c r="L62" s="24">
        <v>7728</v>
      </c>
      <c r="M62" s="24">
        <v>15152</v>
      </c>
      <c r="N62" s="24">
        <v>22880</v>
      </c>
      <c r="O62" s="81">
        <v>4575973</v>
      </c>
      <c r="P62" s="364">
        <v>7728</v>
      </c>
      <c r="Q62" s="24">
        <v>15152</v>
      </c>
      <c r="R62" s="24">
        <v>22880</v>
      </c>
      <c r="S62" s="81">
        <v>4575973</v>
      </c>
    </row>
    <row r="63" spans="1:19" x14ac:dyDescent="0.45">
      <c r="A63" s="79">
        <v>56</v>
      </c>
      <c r="B63" t="s">
        <v>62</v>
      </c>
      <c r="C63" t="s">
        <v>63</v>
      </c>
      <c r="D63" t="s">
        <v>74</v>
      </c>
      <c r="E63" t="s">
        <v>35</v>
      </c>
      <c r="F63" s="81" t="s">
        <v>3830</v>
      </c>
      <c r="G63" t="s">
        <v>28</v>
      </c>
      <c r="H63" t="s">
        <v>29</v>
      </c>
      <c r="I63" t="s">
        <v>61</v>
      </c>
      <c r="J63" t="s">
        <v>31</v>
      </c>
      <c r="K63" t="s">
        <v>75</v>
      </c>
      <c r="L63" s="24">
        <v>1</v>
      </c>
      <c r="M63" s="24">
        <v>1</v>
      </c>
      <c r="N63" s="24">
        <v>2</v>
      </c>
      <c r="O63" s="81">
        <v>2000000</v>
      </c>
      <c r="P63" s="364">
        <v>1</v>
      </c>
      <c r="Q63" s="24">
        <v>1</v>
      </c>
      <c r="R63" s="24">
        <v>2</v>
      </c>
      <c r="S63" s="81">
        <v>2000000</v>
      </c>
    </row>
    <row r="64" spans="1:19" x14ac:dyDescent="0.45">
      <c r="A64" s="79">
        <v>57</v>
      </c>
      <c r="B64" t="s">
        <v>62</v>
      </c>
      <c r="C64" t="s">
        <v>63</v>
      </c>
      <c r="D64" t="s">
        <v>64</v>
      </c>
      <c r="E64" t="s">
        <v>27</v>
      </c>
      <c r="F64" s="81" t="s">
        <v>3889</v>
      </c>
      <c r="G64" t="s">
        <v>28</v>
      </c>
      <c r="H64" t="s">
        <v>29</v>
      </c>
      <c r="I64" t="s">
        <v>30</v>
      </c>
      <c r="J64" t="s">
        <v>36</v>
      </c>
      <c r="K64" t="s">
        <v>30</v>
      </c>
      <c r="L64" s="24"/>
      <c r="M64" s="24"/>
      <c r="N64" s="24">
        <v>138667</v>
      </c>
      <c r="O64" s="81">
        <v>1386670</v>
      </c>
      <c r="P64" s="364"/>
      <c r="Q64" s="24"/>
      <c r="R64" s="24">
        <v>138667</v>
      </c>
      <c r="S64" s="81">
        <v>1386670</v>
      </c>
    </row>
    <row r="65" spans="1:19" x14ac:dyDescent="0.45">
      <c r="A65" s="79">
        <v>58</v>
      </c>
      <c r="B65" t="s">
        <v>62</v>
      </c>
      <c r="C65" t="s">
        <v>63</v>
      </c>
      <c r="D65" t="s">
        <v>65</v>
      </c>
      <c r="E65" t="s">
        <v>27</v>
      </c>
      <c r="F65" s="81" t="s">
        <v>3884</v>
      </c>
      <c r="G65" t="s">
        <v>28</v>
      </c>
      <c r="H65" t="s">
        <v>29</v>
      </c>
      <c r="I65" t="s">
        <v>30</v>
      </c>
      <c r="J65" t="s">
        <v>36</v>
      </c>
      <c r="K65" t="s">
        <v>30</v>
      </c>
      <c r="L65" s="24"/>
      <c r="M65" s="24"/>
      <c r="N65" s="24">
        <v>15127</v>
      </c>
      <c r="O65" s="81">
        <v>6050800</v>
      </c>
      <c r="P65" s="364"/>
      <c r="Q65" s="24"/>
      <c r="R65" s="24">
        <v>15127</v>
      </c>
      <c r="S65" s="81">
        <v>6050800</v>
      </c>
    </row>
    <row r="66" spans="1:19" x14ac:dyDescent="0.45">
      <c r="A66" s="79">
        <v>59</v>
      </c>
      <c r="B66" t="s">
        <v>62</v>
      </c>
      <c r="C66" t="s">
        <v>63</v>
      </c>
      <c r="D66" t="s">
        <v>66</v>
      </c>
      <c r="E66" t="s">
        <v>27</v>
      </c>
      <c r="F66" s="81" t="s">
        <v>3891</v>
      </c>
      <c r="G66" t="s">
        <v>28</v>
      </c>
      <c r="H66" t="s">
        <v>29</v>
      </c>
      <c r="I66" t="s">
        <v>30</v>
      </c>
      <c r="J66" t="s">
        <v>36</v>
      </c>
      <c r="K66" t="s">
        <v>30</v>
      </c>
      <c r="L66" s="24"/>
      <c r="M66" s="24"/>
      <c r="N66" s="24">
        <v>5042</v>
      </c>
      <c r="O66" s="81">
        <v>151260</v>
      </c>
      <c r="P66" s="364"/>
      <c r="Q66" s="24"/>
      <c r="R66" s="24">
        <v>5042</v>
      </c>
      <c r="S66" s="81">
        <v>151260</v>
      </c>
    </row>
    <row r="67" spans="1:19" x14ac:dyDescent="0.45">
      <c r="A67" s="79">
        <v>60</v>
      </c>
      <c r="B67" t="s">
        <v>62</v>
      </c>
      <c r="C67" t="s">
        <v>63</v>
      </c>
      <c r="D67" t="s">
        <v>67</v>
      </c>
      <c r="E67" t="s">
        <v>27</v>
      </c>
      <c r="F67" s="81" t="s">
        <v>3894</v>
      </c>
      <c r="G67" t="s">
        <v>28</v>
      </c>
      <c r="H67" t="s">
        <v>29</v>
      </c>
      <c r="I67" t="s">
        <v>30</v>
      </c>
      <c r="J67" t="s">
        <v>36</v>
      </c>
      <c r="K67" t="s">
        <v>30</v>
      </c>
      <c r="L67" s="24"/>
      <c r="M67" s="24"/>
      <c r="N67" s="24">
        <v>5042</v>
      </c>
      <c r="O67" s="81">
        <v>80672</v>
      </c>
      <c r="P67" s="364"/>
      <c r="Q67" s="24"/>
      <c r="R67" s="24">
        <v>5042</v>
      </c>
      <c r="S67" s="81">
        <v>80672</v>
      </c>
    </row>
    <row r="68" spans="1:19" x14ac:dyDescent="0.45">
      <c r="A68" s="79">
        <v>61</v>
      </c>
      <c r="B68" t="s">
        <v>62</v>
      </c>
      <c r="C68" t="s">
        <v>63</v>
      </c>
      <c r="D68" t="s">
        <v>68</v>
      </c>
      <c r="E68" t="s">
        <v>27</v>
      </c>
      <c r="F68" s="81" t="s">
        <v>3890</v>
      </c>
      <c r="G68" t="s">
        <v>28</v>
      </c>
      <c r="H68" t="s">
        <v>29</v>
      </c>
      <c r="I68" t="s">
        <v>30</v>
      </c>
      <c r="J68" t="s">
        <v>36</v>
      </c>
      <c r="K68" t="s">
        <v>30</v>
      </c>
      <c r="L68" s="24"/>
      <c r="M68" s="24"/>
      <c r="N68" s="24">
        <v>70594</v>
      </c>
      <c r="O68" s="81">
        <v>5294550</v>
      </c>
      <c r="P68" s="364"/>
      <c r="Q68" s="24"/>
      <c r="R68" s="24">
        <v>70594</v>
      </c>
      <c r="S68" s="81">
        <v>5294550</v>
      </c>
    </row>
    <row r="69" spans="1:19" x14ac:dyDescent="0.45">
      <c r="A69" s="79">
        <v>62</v>
      </c>
      <c r="B69" t="s">
        <v>62</v>
      </c>
      <c r="C69" t="s">
        <v>63</v>
      </c>
      <c r="D69" t="s">
        <v>69</v>
      </c>
      <c r="E69" t="s">
        <v>27</v>
      </c>
      <c r="F69" s="81" t="s">
        <v>3887</v>
      </c>
      <c r="G69" t="s">
        <v>28</v>
      </c>
      <c r="H69" t="s">
        <v>29</v>
      </c>
      <c r="I69" t="s">
        <v>30</v>
      </c>
      <c r="J69" t="s">
        <v>36</v>
      </c>
      <c r="K69" t="s">
        <v>30</v>
      </c>
      <c r="L69" s="24"/>
      <c r="M69" s="24"/>
      <c r="N69" s="24">
        <v>141187</v>
      </c>
      <c r="O69" s="81">
        <v>9883090</v>
      </c>
      <c r="P69" s="364"/>
      <c r="Q69" s="24"/>
      <c r="R69" s="24">
        <v>141187</v>
      </c>
      <c r="S69" s="81">
        <v>9883090</v>
      </c>
    </row>
    <row r="70" spans="1:19" x14ac:dyDescent="0.45">
      <c r="A70" s="79">
        <v>63</v>
      </c>
      <c r="B70" t="s">
        <v>62</v>
      </c>
      <c r="C70" t="s">
        <v>63</v>
      </c>
      <c r="D70" t="s">
        <v>70</v>
      </c>
      <c r="E70" t="s">
        <v>27</v>
      </c>
      <c r="F70" s="81" t="s">
        <v>3886</v>
      </c>
      <c r="G70" t="s">
        <v>42</v>
      </c>
      <c r="H70" t="s">
        <v>29</v>
      </c>
      <c r="I70" t="s">
        <v>30</v>
      </c>
      <c r="J70" t="s">
        <v>36</v>
      </c>
      <c r="K70" t="s">
        <v>30</v>
      </c>
      <c r="L70" s="24"/>
      <c r="M70" s="24"/>
      <c r="N70" s="24">
        <v>2521</v>
      </c>
      <c r="O70" s="81">
        <v>1008400</v>
      </c>
      <c r="P70" s="364"/>
      <c r="Q70" s="24"/>
      <c r="R70" s="24">
        <v>2521</v>
      </c>
      <c r="S70" s="81">
        <v>1008400</v>
      </c>
    </row>
    <row r="71" spans="1:19" x14ac:dyDescent="0.45">
      <c r="A71" s="79">
        <v>64</v>
      </c>
      <c r="B71" t="s">
        <v>62</v>
      </c>
      <c r="C71" t="s">
        <v>63</v>
      </c>
      <c r="D71" t="s">
        <v>71</v>
      </c>
      <c r="E71" t="s">
        <v>27</v>
      </c>
      <c r="F71" s="81" t="s">
        <v>3888</v>
      </c>
      <c r="G71" t="s">
        <v>28</v>
      </c>
      <c r="H71" t="s">
        <v>29</v>
      </c>
      <c r="I71" t="s">
        <v>30</v>
      </c>
      <c r="J71" t="s">
        <v>36</v>
      </c>
      <c r="K71" t="s">
        <v>30</v>
      </c>
      <c r="L71" s="24"/>
      <c r="M71" s="24"/>
      <c r="N71" s="24">
        <v>15127</v>
      </c>
      <c r="O71" s="81">
        <v>1890875</v>
      </c>
      <c r="P71" s="364"/>
      <c r="Q71" s="24"/>
      <c r="R71" s="24">
        <v>15127</v>
      </c>
      <c r="S71" s="81">
        <v>1890875</v>
      </c>
    </row>
    <row r="72" spans="1:19" x14ac:dyDescent="0.45">
      <c r="A72" s="79">
        <v>65</v>
      </c>
      <c r="B72" t="s">
        <v>62</v>
      </c>
      <c r="C72" t="s">
        <v>63</v>
      </c>
      <c r="D72" t="s">
        <v>76</v>
      </c>
      <c r="E72" t="s">
        <v>27</v>
      </c>
      <c r="F72" s="81" t="s">
        <v>3892</v>
      </c>
      <c r="G72" t="s">
        <v>28</v>
      </c>
      <c r="H72" t="s">
        <v>29</v>
      </c>
      <c r="I72" t="s">
        <v>30</v>
      </c>
      <c r="J72" t="s">
        <v>36</v>
      </c>
      <c r="K72" t="s">
        <v>30</v>
      </c>
      <c r="L72" s="24"/>
      <c r="M72" s="24"/>
      <c r="N72" s="24">
        <v>85721</v>
      </c>
      <c r="O72" s="81">
        <v>1714420</v>
      </c>
      <c r="P72" s="364"/>
      <c r="Q72" s="24"/>
      <c r="R72" s="24">
        <v>85721</v>
      </c>
      <c r="S72" s="81">
        <v>1714420</v>
      </c>
    </row>
    <row r="73" spans="1:19" x14ac:dyDescent="0.45">
      <c r="A73" s="79">
        <v>66</v>
      </c>
      <c r="B73" t="s">
        <v>62</v>
      </c>
      <c r="C73" t="s">
        <v>63</v>
      </c>
      <c r="D73" t="s">
        <v>72</v>
      </c>
      <c r="E73" t="s">
        <v>27</v>
      </c>
      <c r="F73" s="81" t="s">
        <v>3885</v>
      </c>
      <c r="G73" t="s">
        <v>28</v>
      </c>
      <c r="H73" t="s">
        <v>29</v>
      </c>
      <c r="I73" t="s">
        <v>30</v>
      </c>
      <c r="J73" t="s">
        <v>36</v>
      </c>
      <c r="K73" t="s">
        <v>30</v>
      </c>
      <c r="L73" s="24"/>
      <c r="M73" s="24"/>
      <c r="N73" s="24">
        <v>10085</v>
      </c>
      <c r="O73" s="81">
        <v>1613600</v>
      </c>
      <c r="P73" s="364"/>
      <c r="Q73" s="24"/>
      <c r="R73" s="24">
        <v>10085</v>
      </c>
      <c r="S73" s="81">
        <v>1613600</v>
      </c>
    </row>
    <row r="74" spans="1:19" x14ac:dyDescent="0.45">
      <c r="A74" s="79">
        <v>67</v>
      </c>
      <c r="B74" t="s">
        <v>62</v>
      </c>
      <c r="C74" t="s">
        <v>63</v>
      </c>
      <c r="D74" t="s">
        <v>73</v>
      </c>
      <c r="E74" t="s">
        <v>27</v>
      </c>
      <c r="F74" s="81" t="s">
        <v>3893</v>
      </c>
      <c r="G74" t="s">
        <v>28</v>
      </c>
      <c r="H74" t="s">
        <v>29</v>
      </c>
      <c r="I74" t="s">
        <v>30</v>
      </c>
      <c r="J74" t="s">
        <v>36</v>
      </c>
      <c r="K74" t="s">
        <v>30</v>
      </c>
      <c r="L74" s="24"/>
      <c r="M74" s="24"/>
      <c r="N74" s="24">
        <v>5042</v>
      </c>
      <c r="O74" s="81">
        <v>1008400</v>
      </c>
      <c r="P74" s="364"/>
      <c r="Q74" s="24"/>
      <c r="R74" s="24">
        <v>5042</v>
      </c>
      <c r="S74" s="81">
        <v>1008400</v>
      </c>
    </row>
    <row r="75" spans="1:19" x14ac:dyDescent="0.45">
      <c r="A75" s="79">
        <v>68</v>
      </c>
      <c r="B75" t="s">
        <v>62</v>
      </c>
      <c r="C75" t="s">
        <v>63</v>
      </c>
      <c r="D75" t="s">
        <v>74</v>
      </c>
      <c r="E75" t="s">
        <v>35</v>
      </c>
      <c r="F75" s="81" t="s">
        <v>3895</v>
      </c>
      <c r="G75" t="s">
        <v>28</v>
      </c>
      <c r="H75" t="s">
        <v>29</v>
      </c>
      <c r="I75" t="s">
        <v>61</v>
      </c>
      <c r="J75" t="s">
        <v>36</v>
      </c>
      <c r="K75" t="s">
        <v>75</v>
      </c>
      <c r="L75" s="24"/>
      <c r="M75" s="24"/>
      <c r="N75" s="24">
        <v>1</v>
      </c>
      <c r="O75" s="81">
        <v>1000000</v>
      </c>
      <c r="P75" s="364"/>
      <c r="Q75" s="24"/>
      <c r="R75" s="24">
        <v>1</v>
      </c>
      <c r="S75" s="81">
        <v>1000000</v>
      </c>
    </row>
    <row r="76" spans="1:19" x14ac:dyDescent="0.45">
      <c r="A76" s="79">
        <v>69</v>
      </c>
      <c r="B76" t="s">
        <v>62</v>
      </c>
      <c r="C76" t="s">
        <v>63</v>
      </c>
      <c r="D76" t="s">
        <v>77</v>
      </c>
      <c r="E76" t="s">
        <v>35</v>
      </c>
      <c r="F76" s="81" t="s">
        <v>3896</v>
      </c>
      <c r="G76" t="s">
        <v>28</v>
      </c>
      <c r="H76" t="s">
        <v>29</v>
      </c>
      <c r="I76" t="s">
        <v>30</v>
      </c>
      <c r="J76" t="s">
        <v>36</v>
      </c>
      <c r="K76" t="s">
        <v>30</v>
      </c>
      <c r="L76" s="24"/>
      <c r="M76" s="24"/>
      <c r="N76" s="24">
        <v>10085</v>
      </c>
      <c r="O76" s="81">
        <v>1008500</v>
      </c>
      <c r="P76" s="364"/>
      <c r="Q76" s="24"/>
      <c r="R76" s="24">
        <v>10085</v>
      </c>
      <c r="S76" s="81">
        <v>1008500</v>
      </c>
    </row>
    <row r="77" spans="1:19" x14ac:dyDescent="0.45">
      <c r="A77" s="79">
        <v>70</v>
      </c>
      <c r="B77" t="s">
        <v>62</v>
      </c>
      <c r="C77" t="s">
        <v>63</v>
      </c>
      <c r="D77" t="s">
        <v>64</v>
      </c>
      <c r="E77" t="s">
        <v>27</v>
      </c>
      <c r="F77" s="81" t="s">
        <v>3948</v>
      </c>
      <c r="G77" t="s">
        <v>28</v>
      </c>
      <c r="H77" t="s">
        <v>29</v>
      </c>
      <c r="I77" t="s">
        <v>30</v>
      </c>
      <c r="J77" t="s">
        <v>37</v>
      </c>
      <c r="K77" t="s">
        <v>30</v>
      </c>
      <c r="L77" s="24"/>
      <c r="M77" s="24"/>
      <c r="N77" s="24">
        <v>99053</v>
      </c>
      <c r="O77" s="81">
        <v>990530</v>
      </c>
      <c r="P77" s="364"/>
      <c r="Q77" s="24"/>
      <c r="R77" s="24">
        <v>57339</v>
      </c>
      <c r="S77" s="81">
        <v>573393.82147142838</v>
      </c>
    </row>
    <row r="78" spans="1:19" x14ac:dyDescent="0.45">
      <c r="A78" s="79">
        <v>71</v>
      </c>
      <c r="B78" t="s">
        <v>62</v>
      </c>
      <c r="C78" t="s">
        <v>63</v>
      </c>
      <c r="D78" t="s">
        <v>65</v>
      </c>
      <c r="E78" t="s">
        <v>27</v>
      </c>
      <c r="F78" s="81" t="s">
        <v>3943</v>
      </c>
      <c r="G78" t="s">
        <v>28</v>
      </c>
      <c r="H78" t="s">
        <v>29</v>
      </c>
      <c r="I78" t="s">
        <v>30</v>
      </c>
      <c r="J78" t="s">
        <v>37</v>
      </c>
      <c r="K78" t="s">
        <v>30</v>
      </c>
      <c r="L78" s="24"/>
      <c r="M78" s="24"/>
      <c r="N78" s="24">
        <v>7076</v>
      </c>
      <c r="O78" s="81">
        <v>2830400</v>
      </c>
      <c r="P78" s="364"/>
      <c r="Q78" s="24"/>
      <c r="R78" s="24">
        <v>4096</v>
      </c>
      <c r="S78" s="81">
        <v>1638449.993733386</v>
      </c>
    </row>
    <row r="79" spans="1:19" x14ac:dyDescent="0.45">
      <c r="A79" s="79">
        <v>72</v>
      </c>
      <c r="B79" t="s">
        <v>62</v>
      </c>
      <c r="C79" t="s">
        <v>63</v>
      </c>
      <c r="D79" t="s">
        <v>66</v>
      </c>
      <c r="E79" t="s">
        <v>27</v>
      </c>
      <c r="F79" s="81" t="s">
        <v>3950</v>
      </c>
      <c r="G79" t="s">
        <v>28</v>
      </c>
      <c r="H79" t="s">
        <v>29</v>
      </c>
      <c r="I79" t="s">
        <v>30</v>
      </c>
      <c r="J79" t="s">
        <v>37</v>
      </c>
      <c r="K79" t="s">
        <v>30</v>
      </c>
      <c r="L79" s="24"/>
      <c r="M79" s="24"/>
      <c r="N79" s="24">
        <v>3537</v>
      </c>
      <c r="O79" s="81">
        <v>106110</v>
      </c>
      <c r="P79" s="364"/>
      <c r="Q79" s="24"/>
      <c r="R79" s="24">
        <v>2047</v>
      </c>
      <c r="S79" s="81">
        <v>61424.508491750144</v>
      </c>
    </row>
    <row r="80" spans="1:19" x14ac:dyDescent="0.45">
      <c r="A80" s="79">
        <v>73</v>
      </c>
      <c r="B80" t="s">
        <v>62</v>
      </c>
      <c r="C80" t="s">
        <v>63</v>
      </c>
      <c r="D80" t="s">
        <v>67</v>
      </c>
      <c r="E80" t="s">
        <v>27</v>
      </c>
      <c r="F80" s="81" t="s">
        <v>3952</v>
      </c>
      <c r="G80" t="s">
        <v>28</v>
      </c>
      <c r="H80" t="s">
        <v>29</v>
      </c>
      <c r="I80" t="s">
        <v>30</v>
      </c>
      <c r="J80" t="s">
        <v>37</v>
      </c>
      <c r="K80" t="s">
        <v>30</v>
      </c>
      <c r="L80" s="24"/>
      <c r="M80" s="24"/>
      <c r="N80" s="24">
        <v>3537</v>
      </c>
      <c r="O80" s="81">
        <v>56592</v>
      </c>
      <c r="P80" s="364"/>
      <c r="Q80" s="24"/>
      <c r="R80" s="24">
        <v>2047</v>
      </c>
      <c r="S80" s="81">
        <v>32759.737862266742</v>
      </c>
    </row>
    <row r="81" spans="1:19" x14ac:dyDescent="0.45">
      <c r="A81" s="79">
        <v>74</v>
      </c>
      <c r="B81" t="s">
        <v>62</v>
      </c>
      <c r="C81" t="s">
        <v>63</v>
      </c>
      <c r="D81" t="s">
        <v>68</v>
      </c>
      <c r="E81" t="s">
        <v>27</v>
      </c>
      <c r="F81" s="81" t="s">
        <v>3949</v>
      </c>
      <c r="G81" t="s">
        <v>28</v>
      </c>
      <c r="H81" t="s">
        <v>29</v>
      </c>
      <c r="I81" t="s">
        <v>30</v>
      </c>
      <c r="J81" t="s">
        <v>37</v>
      </c>
      <c r="K81" t="s">
        <v>30</v>
      </c>
      <c r="L81" s="24"/>
      <c r="M81" s="24"/>
      <c r="N81" s="24">
        <v>84904</v>
      </c>
      <c r="O81" s="81">
        <v>6367800</v>
      </c>
      <c r="P81" s="364"/>
      <c r="Q81" s="24"/>
      <c r="R81" s="24">
        <v>49149</v>
      </c>
      <c r="S81" s="81">
        <v>3686165.1604350824</v>
      </c>
    </row>
    <row r="82" spans="1:19" x14ac:dyDescent="0.45">
      <c r="A82" s="79">
        <v>75</v>
      </c>
      <c r="B82" t="s">
        <v>62</v>
      </c>
      <c r="C82" t="s">
        <v>63</v>
      </c>
      <c r="D82" t="s">
        <v>69</v>
      </c>
      <c r="E82" t="s">
        <v>27</v>
      </c>
      <c r="F82" s="81" t="s">
        <v>3946</v>
      </c>
      <c r="G82" t="s">
        <v>28</v>
      </c>
      <c r="H82" t="s">
        <v>29</v>
      </c>
      <c r="I82" t="s">
        <v>30</v>
      </c>
      <c r="J82" t="s">
        <v>37</v>
      </c>
      <c r="K82" t="s">
        <v>30</v>
      </c>
      <c r="L82" s="24"/>
      <c r="M82" s="24"/>
      <c r="N82" s="24">
        <v>88441</v>
      </c>
      <c r="O82" s="81">
        <v>6190870</v>
      </c>
      <c r="P82" s="364"/>
      <c r="Q82" s="24"/>
      <c r="R82" s="24">
        <v>51196</v>
      </c>
      <c r="S82" s="81">
        <v>3583744.6695534936</v>
      </c>
    </row>
    <row r="83" spans="1:19" x14ac:dyDescent="0.45">
      <c r="A83" s="79">
        <v>76</v>
      </c>
      <c r="B83" t="s">
        <v>62</v>
      </c>
      <c r="C83" t="s">
        <v>63</v>
      </c>
      <c r="D83" t="s">
        <v>70</v>
      </c>
      <c r="E83" t="s">
        <v>27</v>
      </c>
      <c r="F83" s="81" t="s">
        <v>3945</v>
      </c>
      <c r="G83" t="s">
        <v>42</v>
      </c>
      <c r="H83" t="s">
        <v>29</v>
      </c>
      <c r="I83" t="s">
        <v>30</v>
      </c>
      <c r="J83" t="s">
        <v>37</v>
      </c>
      <c r="K83" t="s">
        <v>30</v>
      </c>
      <c r="L83" s="24"/>
      <c r="M83" s="24"/>
      <c r="N83" s="24">
        <v>1769</v>
      </c>
      <c r="O83" s="81">
        <v>707600</v>
      </c>
      <c r="P83" s="364"/>
      <c r="Q83" s="24"/>
      <c r="R83" s="24">
        <v>1024</v>
      </c>
      <c r="S83" s="81">
        <v>409612.49843334651</v>
      </c>
    </row>
    <row r="84" spans="1:19" x14ac:dyDescent="0.45">
      <c r="A84" s="79">
        <v>77</v>
      </c>
      <c r="B84" t="s">
        <v>62</v>
      </c>
      <c r="C84" t="s">
        <v>63</v>
      </c>
      <c r="D84" t="s">
        <v>71</v>
      </c>
      <c r="E84" t="s">
        <v>27</v>
      </c>
      <c r="F84" s="81" t="s">
        <v>3947</v>
      </c>
      <c r="G84" t="s">
        <v>28</v>
      </c>
      <c r="H84" t="s">
        <v>29</v>
      </c>
      <c r="I84" t="s">
        <v>30</v>
      </c>
      <c r="J84" t="s">
        <v>37</v>
      </c>
      <c r="K84" t="s">
        <v>30</v>
      </c>
      <c r="L84" s="24"/>
      <c r="M84" s="24"/>
      <c r="N84" s="24">
        <v>33608</v>
      </c>
      <c r="O84" s="81">
        <v>4201000</v>
      </c>
      <c r="P84" s="364"/>
      <c r="Q84" s="24"/>
      <c r="R84" s="24">
        <v>19455</v>
      </c>
      <c r="S84" s="81">
        <v>2431857.1310323472</v>
      </c>
    </row>
    <row r="85" spans="1:19" x14ac:dyDescent="0.45">
      <c r="A85" s="79">
        <v>78</v>
      </c>
      <c r="B85" t="s">
        <v>62</v>
      </c>
      <c r="C85" t="s">
        <v>63</v>
      </c>
      <c r="D85" t="s">
        <v>72</v>
      </c>
      <c r="E85" t="s">
        <v>27</v>
      </c>
      <c r="F85" s="81" t="s">
        <v>3944</v>
      </c>
      <c r="G85" t="s">
        <v>28</v>
      </c>
      <c r="H85" t="s">
        <v>29</v>
      </c>
      <c r="I85" t="s">
        <v>30</v>
      </c>
      <c r="J85" t="s">
        <v>37</v>
      </c>
      <c r="K85" t="s">
        <v>30</v>
      </c>
      <c r="L85" s="24"/>
      <c r="M85" s="24"/>
      <c r="N85" s="24">
        <v>14150</v>
      </c>
      <c r="O85" s="81">
        <v>2264000</v>
      </c>
      <c r="P85" s="364"/>
      <c r="Q85" s="24"/>
      <c r="R85" s="24">
        <v>8191</v>
      </c>
      <c r="S85" s="81">
        <v>1310574.7547386894</v>
      </c>
    </row>
    <row r="86" spans="1:19" x14ac:dyDescent="0.45">
      <c r="A86" s="79">
        <v>79</v>
      </c>
      <c r="B86" t="s">
        <v>62</v>
      </c>
      <c r="C86" t="s">
        <v>63</v>
      </c>
      <c r="D86" t="s">
        <v>73</v>
      </c>
      <c r="E86" t="s">
        <v>27</v>
      </c>
      <c r="F86" s="81" t="s">
        <v>3951</v>
      </c>
      <c r="G86" t="s">
        <v>28</v>
      </c>
      <c r="H86" t="s">
        <v>29</v>
      </c>
      <c r="I86" t="s">
        <v>30</v>
      </c>
      <c r="J86" t="s">
        <v>37</v>
      </c>
      <c r="K86" t="s">
        <v>30</v>
      </c>
      <c r="L86" s="24"/>
      <c r="M86" s="24"/>
      <c r="N86" s="24">
        <v>17688</v>
      </c>
      <c r="O86" s="81">
        <v>3537600</v>
      </c>
      <c r="P86" s="364"/>
      <c r="Q86" s="24"/>
      <c r="R86" s="24">
        <v>10239</v>
      </c>
      <c r="S86" s="81">
        <v>2047830.9418567081</v>
      </c>
    </row>
    <row r="87" spans="1:19" x14ac:dyDescent="0.45">
      <c r="A87" s="79">
        <v>80</v>
      </c>
      <c r="B87" t="s">
        <v>62</v>
      </c>
      <c r="C87" t="s">
        <v>63</v>
      </c>
      <c r="D87" t="s">
        <v>74</v>
      </c>
      <c r="E87" t="s">
        <v>27</v>
      </c>
      <c r="F87" s="81" t="s">
        <v>4015</v>
      </c>
      <c r="G87" t="s">
        <v>28</v>
      </c>
      <c r="H87" t="s">
        <v>29</v>
      </c>
      <c r="I87" t="s">
        <v>61</v>
      </c>
      <c r="J87" t="s">
        <v>38</v>
      </c>
      <c r="K87" t="s">
        <v>75</v>
      </c>
      <c r="L87" s="24">
        <v>1</v>
      </c>
      <c r="M87" s="24"/>
      <c r="N87" s="24">
        <v>1</v>
      </c>
      <c r="O87" s="81">
        <v>1000000</v>
      </c>
      <c r="P87" s="364">
        <v>1</v>
      </c>
      <c r="Q87" s="24"/>
      <c r="R87" s="24">
        <v>1</v>
      </c>
      <c r="S87" s="81">
        <v>879462.3012715329</v>
      </c>
    </row>
    <row r="88" spans="1:19" x14ac:dyDescent="0.45">
      <c r="A88" s="79">
        <v>81</v>
      </c>
      <c r="B88" t="s">
        <v>62</v>
      </c>
      <c r="C88" t="s">
        <v>63</v>
      </c>
      <c r="D88" t="s">
        <v>64</v>
      </c>
      <c r="E88" t="s">
        <v>27</v>
      </c>
      <c r="F88" s="81" t="s">
        <v>4011</v>
      </c>
      <c r="G88" t="s">
        <v>28</v>
      </c>
      <c r="H88" t="s">
        <v>29</v>
      </c>
      <c r="I88" t="s">
        <v>30</v>
      </c>
      <c r="J88" t="s">
        <v>38</v>
      </c>
      <c r="K88" t="s">
        <v>30</v>
      </c>
      <c r="L88" s="24">
        <v>214754</v>
      </c>
      <c r="M88" s="24"/>
      <c r="N88" s="24">
        <v>214754</v>
      </c>
      <c r="O88" s="81">
        <v>2147540</v>
      </c>
      <c r="P88" s="364">
        <v>188868</v>
      </c>
      <c r="Q88" s="24"/>
      <c r="R88" s="24">
        <v>188868</v>
      </c>
      <c r="S88" s="81">
        <v>1888680.4704726676</v>
      </c>
    </row>
    <row r="89" spans="1:19" x14ac:dyDescent="0.45">
      <c r="A89" s="79">
        <v>82</v>
      </c>
      <c r="B89" t="s">
        <v>62</v>
      </c>
      <c r="C89" t="s">
        <v>63</v>
      </c>
      <c r="D89" t="s">
        <v>65</v>
      </c>
      <c r="E89" t="s">
        <v>27</v>
      </c>
      <c r="F89" s="81" t="s">
        <v>4006</v>
      </c>
      <c r="G89" t="s">
        <v>28</v>
      </c>
      <c r="H89" t="s">
        <v>29</v>
      </c>
      <c r="I89" t="s">
        <v>30</v>
      </c>
      <c r="J89" t="s">
        <v>38</v>
      </c>
      <c r="K89" t="s">
        <v>30</v>
      </c>
      <c r="L89" s="24">
        <v>65518</v>
      </c>
      <c r="M89" s="24"/>
      <c r="N89" s="24">
        <v>65518</v>
      </c>
      <c r="O89" s="81">
        <v>26207200</v>
      </c>
      <c r="P89" s="364">
        <v>57621</v>
      </c>
      <c r="Q89" s="24"/>
      <c r="R89" s="24">
        <v>57621</v>
      </c>
      <c r="S89" s="81">
        <v>23048244.421883319</v>
      </c>
    </row>
    <row r="90" spans="1:19" x14ac:dyDescent="0.45">
      <c r="A90" s="79">
        <v>83</v>
      </c>
      <c r="B90" t="s">
        <v>62</v>
      </c>
      <c r="C90" t="s">
        <v>63</v>
      </c>
      <c r="D90" t="s">
        <v>66</v>
      </c>
      <c r="E90" t="s">
        <v>27</v>
      </c>
      <c r="F90" s="81" t="s">
        <v>4013</v>
      </c>
      <c r="G90" t="s">
        <v>28</v>
      </c>
      <c r="H90" t="s">
        <v>29</v>
      </c>
      <c r="I90" t="s">
        <v>30</v>
      </c>
      <c r="J90" t="s">
        <v>38</v>
      </c>
      <c r="K90" t="s">
        <v>30</v>
      </c>
      <c r="L90" s="24">
        <v>7280</v>
      </c>
      <c r="M90" s="24"/>
      <c r="N90" s="24">
        <v>7280</v>
      </c>
      <c r="O90" s="81">
        <v>218400</v>
      </c>
      <c r="P90" s="364">
        <v>6402</v>
      </c>
      <c r="Q90" s="24"/>
      <c r="R90" s="24">
        <v>6402</v>
      </c>
      <c r="S90" s="81">
        <v>192074.5665977028</v>
      </c>
    </row>
    <row r="91" spans="1:19" x14ac:dyDescent="0.45">
      <c r="A91" s="79">
        <v>84</v>
      </c>
      <c r="B91" t="s">
        <v>62</v>
      </c>
      <c r="C91" t="s">
        <v>63</v>
      </c>
      <c r="D91" t="s">
        <v>67</v>
      </c>
      <c r="E91" t="s">
        <v>27</v>
      </c>
      <c r="F91" s="81" t="s">
        <v>4017</v>
      </c>
      <c r="G91" t="s">
        <v>28</v>
      </c>
      <c r="H91" t="s">
        <v>29</v>
      </c>
      <c r="I91" t="s">
        <v>30</v>
      </c>
      <c r="J91" t="s">
        <v>38</v>
      </c>
      <c r="K91" t="s">
        <v>30</v>
      </c>
      <c r="L91" s="24">
        <v>7280</v>
      </c>
      <c r="M91" s="24"/>
      <c r="N91" s="24">
        <v>7280</v>
      </c>
      <c r="O91" s="81">
        <v>116480</v>
      </c>
      <c r="P91" s="364">
        <v>6402</v>
      </c>
      <c r="Q91" s="24"/>
      <c r="R91" s="24">
        <v>6402</v>
      </c>
      <c r="S91" s="81">
        <v>102439.76885210816</v>
      </c>
    </row>
    <row r="92" spans="1:19" x14ac:dyDescent="0.45">
      <c r="A92" s="79">
        <v>85</v>
      </c>
      <c r="B92" t="s">
        <v>62</v>
      </c>
      <c r="C92" t="s">
        <v>63</v>
      </c>
      <c r="D92" t="s">
        <v>68</v>
      </c>
      <c r="E92" t="s">
        <v>27</v>
      </c>
      <c r="F92" s="81" t="s">
        <v>4012</v>
      </c>
      <c r="G92" t="s">
        <v>28</v>
      </c>
      <c r="H92" t="s">
        <v>29</v>
      </c>
      <c r="I92" t="s">
        <v>30</v>
      </c>
      <c r="J92" t="s">
        <v>38</v>
      </c>
      <c r="K92" t="s">
        <v>30</v>
      </c>
      <c r="L92" s="24">
        <v>163800</v>
      </c>
      <c r="M92" s="24"/>
      <c r="N92" s="24">
        <v>163800</v>
      </c>
      <c r="O92" s="81">
        <v>12285000</v>
      </c>
      <c r="P92" s="364">
        <v>144056</v>
      </c>
      <c r="Q92" s="24"/>
      <c r="R92" s="24">
        <v>144056</v>
      </c>
      <c r="S92" s="81">
        <v>10804194.371120783</v>
      </c>
    </row>
    <row r="93" spans="1:19" x14ac:dyDescent="0.45">
      <c r="A93" s="79">
        <v>86</v>
      </c>
      <c r="B93" t="s">
        <v>62</v>
      </c>
      <c r="C93" t="s">
        <v>63</v>
      </c>
      <c r="D93" t="s">
        <v>69</v>
      </c>
      <c r="E93" t="s">
        <v>27</v>
      </c>
      <c r="F93" s="81" t="s">
        <v>4009</v>
      </c>
      <c r="G93" t="s">
        <v>28</v>
      </c>
      <c r="H93" t="s">
        <v>29</v>
      </c>
      <c r="I93" t="s">
        <v>30</v>
      </c>
      <c r="J93" t="s">
        <v>38</v>
      </c>
      <c r="K93" t="s">
        <v>30</v>
      </c>
      <c r="L93" s="24">
        <v>54598</v>
      </c>
      <c r="M93" s="24"/>
      <c r="N93" s="24">
        <v>54598</v>
      </c>
      <c r="O93" s="81">
        <v>3821860</v>
      </c>
      <c r="P93" s="364">
        <v>48017</v>
      </c>
      <c r="Q93" s="24"/>
      <c r="R93" s="24">
        <v>48017</v>
      </c>
      <c r="S93" s="81">
        <v>3361181.7907376206</v>
      </c>
    </row>
    <row r="94" spans="1:19" x14ac:dyDescent="0.45">
      <c r="A94" s="79">
        <v>87</v>
      </c>
      <c r="B94" t="s">
        <v>62</v>
      </c>
      <c r="C94" t="s">
        <v>63</v>
      </c>
      <c r="D94" t="s">
        <v>70</v>
      </c>
      <c r="E94" t="s">
        <v>27</v>
      </c>
      <c r="F94" s="81" t="s">
        <v>4008</v>
      </c>
      <c r="G94" t="s">
        <v>42</v>
      </c>
      <c r="H94" t="s">
        <v>29</v>
      </c>
      <c r="I94" t="s">
        <v>30</v>
      </c>
      <c r="J94" t="s">
        <v>38</v>
      </c>
      <c r="K94" t="s">
        <v>30</v>
      </c>
      <c r="L94" s="24">
        <v>3641</v>
      </c>
      <c r="M94" s="24"/>
      <c r="N94" s="24">
        <v>3641</v>
      </c>
      <c r="O94" s="81">
        <v>1456400</v>
      </c>
      <c r="P94" s="364">
        <v>3202</v>
      </c>
      <c r="Q94" s="24"/>
      <c r="R94" s="24">
        <v>3202</v>
      </c>
      <c r="S94" s="81">
        <v>1280848.8955718605</v>
      </c>
    </row>
    <row r="95" spans="1:19" x14ac:dyDescent="0.45">
      <c r="A95" s="79">
        <v>88</v>
      </c>
      <c r="B95" t="s">
        <v>62</v>
      </c>
      <c r="C95" t="s">
        <v>63</v>
      </c>
      <c r="D95" t="s">
        <v>71</v>
      </c>
      <c r="E95" t="s">
        <v>27</v>
      </c>
      <c r="F95" s="81" t="s">
        <v>4010</v>
      </c>
      <c r="G95" t="s">
        <v>28</v>
      </c>
      <c r="H95" t="s">
        <v>29</v>
      </c>
      <c r="I95" t="s">
        <v>30</v>
      </c>
      <c r="J95" t="s">
        <v>38</v>
      </c>
      <c r="K95" t="s">
        <v>30</v>
      </c>
      <c r="L95" s="24">
        <v>87360</v>
      </c>
      <c r="M95" s="24"/>
      <c r="N95" s="24">
        <v>87360</v>
      </c>
      <c r="O95" s="81">
        <v>10920000</v>
      </c>
      <c r="P95" s="364">
        <v>76830</v>
      </c>
      <c r="Q95" s="24"/>
      <c r="R95" s="24">
        <v>76830</v>
      </c>
      <c r="S95" s="81">
        <v>9603728.3298851401</v>
      </c>
    </row>
    <row r="96" spans="1:19" x14ac:dyDescent="0.45">
      <c r="A96" s="79">
        <v>89</v>
      </c>
      <c r="B96" t="s">
        <v>62</v>
      </c>
      <c r="C96" t="s">
        <v>63</v>
      </c>
      <c r="D96" t="s">
        <v>76</v>
      </c>
      <c r="E96" t="s">
        <v>27</v>
      </c>
      <c r="F96" s="81" t="s">
        <v>4014</v>
      </c>
      <c r="G96" t="s">
        <v>28</v>
      </c>
      <c r="H96" t="s">
        <v>29</v>
      </c>
      <c r="I96" t="s">
        <v>30</v>
      </c>
      <c r="J96" t="s">
        <v>38</v>
      </c>
      <c r="K96" t="s">
        <v>30</v>
      </c>
      <c r="L96" s="24">
        <v>65518</v>
      </c>
      <c r="M96" s="24"/>
      <c r="N96" s="24">
        <v>65518</v>
      </c>
      <c r="O96" s="81">
        <v>1310360</v>
      </c>
      <c r="P96" s="364">
        <v>57621</v>
      </c>
      <c r="Q96" s="24"/>
      <c r="R96" s="24">
        <v>57621</v>
      </c>
      <c r="S96" s="81">
        <v>1152412.2210941659</v>
      </c>
    </row>
    <row r="97" spans="1:19" x14ac:dyDescent="0.45">
      <c r="A97" s="79">
        <v>90</v>
      </c>
      <c r="B97" t="s">
        <v>62</v>
      </c>
      <c r="C97" t="s">
        <v>63</v>
      </c>
      <c r="D97" t="s">
        <v>72</v>
      </c>
      <c r="E97" t="s">
        <v>27</v>
      </c>
      <c r="F97" s="81" t="s">
        <v>4007</v>
      </c>
      <c r="G97" t="s">
        <v>28</v>
      </c>
      <c r="H97" t="s">
        <v>29</v>
      </c>
      <c r="I97" t="s">
        <v>30</v>
      </c>
      <c r="J97" t="s">
        <v>38</v>
      </c>
      <c r="K97" t="s">
        <v>30</v>
      </c>
      <c r="L97" s="24">
        <v>36401</v>
      </c>
      <c r="M97" s="24"/>
      <c r="N97" s="24">
        <v>36401</v>
      </c>
      <c r="O97" s="81">
        <v>5824160</v>
      </c>
      <c r="P97" s="364">
        <v>32013</v>
      </c>
      <c r="Q97" s="24"/>
      <c r="R97" s="24">
        <v>32013</v>
      </c>
      <c r="S97" s="81">
        <v>5122129.1565736113</v>
      </c>
    </row>
    <row r="98" spans="1:19" x14ac:dyDescent="0.45">
      <c r="A98" s="79">
        <v>91</v>
      </c>
      <c r="B98" t="s">
        <v>62</v>
      </c>
      <c r="C98" t="s">
        <v>63</v>
      </c>
      <c r="D98" t="s">
        <v>73</v>
      </c>
      <c r="E98" t="s">
        <v>27</v>
      </c>
      <c r="F98" s="81" t="s">
        <v>4016</v>
      </c>
      <c r="G98" t="s">
        <v>28</v>
      </c>
      <c r="H98" t="s">
        <v>29</v>
      </c>
      <c r="I98" t="s">
        <v>30</v>
      </c>
      <c r="J98" t="s">
        <v>38</v>
      </c>
      <c r="K98" t="s">
        <v>30</v>
      </c>
      <c r="L98" s="24">
        <v>14560</v>
      </c>
      <c r="M98" s="24"/>
      <c r="N98" s="24">
        <v>14560</v>
      </c>
      <c r="O98" s="81">
        <v>2912000</v>
      </c>
      <c r="P98" s="364">
        <v>12805</v>
      </c>
      <c r="Q98" s="24"/>
      <c r="R98" s="24">
        <v>12805</v>
      </c>
      <c r="S98" s="81">
        <v>2560994.221302704</v>
      </c>
    </row>
    <row r="99" spans="1:19" x14ac:dyDescent="0.45">
      <c r="A99" s="79">
        <v>92</v>
      </c>
      <c r="B99" t="s">
        <v>62</v>
      </c>
      <c r="C99" t="s">
        <v>63</v>
      </c>
      <c r="D99" t="s">
        <v>77</v>
      </c>
      <c r="E99" t="s">
        <v>35</v>
      </c>
      <c r="F99" s="81" t="s">
        <v>4018</v>
      </c>
      <c r="G99" t="s">
        <v>28</v>
      </c>
      <c r="H99" t="s">
        <v>29</v>
      </c>
      <c r="I99" t="s">
        <v>30</v>
      </c>
      <c r="J99" t="s">
        <v>38</v>
      </c>
      <c r="K99" t="s">
        <v>30</v>
      </c>
      <c r="L99" s="24">
        <v>7280</v>
      </c>
      <c r="M99" s="24"/>
      <c r="N99" s="24">
        <v>7280</v>
      </c>
      <c r="O99" s="81">
        <v>728000</v>
      </c>
      <c r="P99" s="364">
        <v>6402</v>
      </c>
      <c r="Q99" s="24"/>
      <c r="R99" s="24">
        <v>6402</v>
      </c>
      <c r="S99" s="81">
        <v>640248.55532567599</v>
      </c>
    </row>
    <row r="100" spans="1:19" x14ac:dyDescent="0.45">
      <c r="A100" s="79">
        <v>93</v>
      </c>
      <c r="B100" t="s">
        <v>78</v>
      </c>
      <c r="C100" t="s">
        <v>79</v>
      </c>
      <c r="D100" t="s">
        <v>64</v>
      </c>
      <c r="E100" t="s">
        <v>27</v>
      </c>
      <c r="F100" s="81" t="s">
        <v>3793</v>
      </c>
      <c r="G100" t="s">
        <v>28</v>
      </c>
      <c r="H100" t="s">
        <v>29</v>
      </c>
      <c r="I100" t="s">
        <v>30</v>
      </c>
      <c r="J100" t="s">
        <v>31</v>
      </c>
      <c r="K100" t="s">
        <v>30</v>
      </c>
      <c r="L100" s="24">
        <v>54279</v>
      </c>
      <c r="M100" s="24">
        <v>162820</v>
      </c>
      <c r="N100" s="24">
        <v>217099</v>
      </c>
      <c r="O100" s="81">
        <v>1736792</v>
      </c>
      <c r="P100" s="364">
        <v>54279</v>
      </c>
      <c r="Q100" s="24">
        <v>156552</v>
      </c>
      <c r="R100" s="24">
        <v>210831</v>
      </c>
      <c r="S100" s="81">
        <v>1686653.4167117602</v>
      </c>
    </row>
    <row r="101" spans="1:19" x14ac:dyDescent="0.45">
      <c r="A101" s="79">
        <v>94</v>
      </c>
      <c r="B101" t="s">
        <v>78</v>
      </c>
      <c r="C101" t="s">
        <v>79</v>
      </c>
      <c r="D101" t="s">
        <v>65</v>
      </c>
      <c r="E101" t="s">
        <v>27</v>
      </c>
      <c r="F101" s="81" t="s">
        <v>3788</v>
      </c>
      <c r="G101" t="s">
        <v>28</v>
      </c>
      <c r="H101" t="s">
        <v>29</v>
      </c>
      <c r="I101" t="s">
        <v>30</v>
      </c>
      <c r="J101" t="s">
        <v>31</v>
      </c>
      <c r="K101" t="s">
        <v>30</v>
      </c>
      <c r="L101" s="24">
        <v>7416</v>
      </c>
      <c r="M101" s="24">
        <v>22200</v>
      </c>
      <c r="N101" s="24">
        <v>29616</v>
      </c>
      <c r="O101" s="81">
        <v>11846400</v>
      </c>
      <c r="P101" s="364">
        <v>7416</v>
      </c>
      <c r="Q101" s="24">
        <v>21346</v>
      </c>
      <c r="R101" s="24">
        <v>28762</v>
      </c>
      <c r="S101" s="81">
        <v>11504588.014679115</v>
      </c>
    </row>
    <row r="102" spans="1:19" x14ac:dyDescent="0.45">
      <c r="A102" s="79">
        <v>95</v>
      </c>
      <c r="B102" t="s">
        <v>78</v>
      </c>
      <c r="C102" t="s">
        <v>79</v>
      </c>
      <c r="D102" t="s">
        <v>66</v>
      </c>
      <c r="E102" t="s">
        <v>27</v>
      </c>
      <c r="F102" s="81" t="s">
        <v>3787</v>
      </c>
      <c r="G102" t="s">
        <v>28</v>
      </c>
      <c r="H102" t="s">
        <v>29</v>
      </c>
      <c r="I102" t="s">
        <v>30</v>
      </c>
      <c r="J102" t="s">
        <v>31</v>
      </c>
      <c r="K102" t="s">
        <v>30</v>
      </c>
      <c r="L102" s="24">
        <v>368</v>
      </c>
      <c r="M102" s="24">
        <v>1110</v>
      </c>
      <c r="N102" s="24">
        <v>1478</v>
      </c>
      <c r="O102" s="81">
        <v>44340</v>
      </c>
      <c r="P102" s="364">
        <v>368</v>
      </c>
      <c r="Q102" s="24">
        <v>1068</v>
      </c>
      <c r="R102" s="24">
        <v>1436</v>
      </c>
      <c r="S102" s="81">
        <v>43058.205055046681</v>
      </c>
    </row>
    <row r="103" spans="1:19" x14ac:dyDescent="0.45">
      <c r="A103" s="79">
        <v>96</v>
      </c>
      <c r="B103" t="s">
        <v>78</v>
      </c>
      <c r="C103" t="s">
        <v>79</v>
      </c>
      <c r="D103" t="s">
        <v>80</v>
      </c>
      <c r="E103" t="s">
        <v>27</v>
      </c>
      <c r="F103" s="81" t="s">
        <v>3789</v>
      </c>
      <c r="G103" t="s">
        <v>28</v>
      </c>
      <c r="H103" t="s">
        <v>29</v>
      </c>
      <c r="I103" t="s">
        <v>30</v>
      </c>
      <c r="J103" t="s">
        <v>31</v>
      </c>
      <c r="K103" t="s">
        <v>30</v>
      </c>
      <c r="L103" s="24">
        <v>88830</v>
      </c>
      <c r="M103" s="24">
        <v>265600</v>
      </c>
      <c r="N103" s="24">
        <v>354430</v>
      </c>
      <c r="O103" s="81">
        <v>26582250</v>
      </c>
      <c r="P103" s="364">
        <v>88830</v>
      </c>
      <c r="Q103" s="24">
        <v>255376</v>
      </c>
      <c r="R103" s="24">
        <v>344206</v>
      </c>
      <c r="S103" s="81">
        <v>25815482.573469371</v>
      </c>
    </row>
    <row r="104" spans="1:19" x14ac:dyDescent="0.45">
      <c r="A104" s="79">
        <v>97</v>
      </c>
      <c r="B104" t="s">
        <v>78</v>
      </c>
      <c r="C104" t="s">
        <v>79</v>
      </c>
      <c r="D104" t="s">
        <v>81</v>
      </c>
      <c r="E104" t="s">
        <v>27</v>
      </c>
      <c r="F104" s="81" t="s">
        <v>3792</v>
      </c>
      <c r="G104" t="s">
        <v>28</v>
      </c>
      <c r="H104" t="s">
        <v>43</v>
      </c>
      <c r="I104" t="s">
        <v>30</v>
      </c>
      <c r="J104" t="s">
        <v>31</v>
      </c>
      <c r="K104" t="s">
        <v>30</v>
      </c>
      <c r="L104" s="24">
        <v>8854</v>
      </c>
      <c r="M104" s="24">
        <v>26570</v>
      </c>
      <c r="N104" s="24">
        <v>35424</v>
      </c>
      <c r="O104" s="81">
        <v>2302560</v>
      </c>
      <c r="P104" s="364">
        <v>8854</v>
      </c>
      <c r="Q104" s="24">
        <v>25547</v>
      </c>
      <c r="R104" s="24">
        <v>34401</v>
      </c>
      <c r="S104" s="81">
        <v>2236081.8030125638</v>
      </c>
    </row>
    <row r="105" spans="1:19" x14ac:dyDescent="0.45">
      <c r="A105" s="79">
        <v>98</v>
      </c>
      <c r="B105" t="s">
        <v>78</v>
      </c>
      <c r="C105" t="s">
        <v>79</v>
      </c>
      <c r="D105" t="s">
        <v>70</v>
      </c>
      <c r="E105" t="s">
        <v>27</v>
      </c>
      <c r="F105" s="81" t="s">
        <v>3791</v>
      </c>
      <c r="G105" t="s">
        <v>42</v>
      </c>
      <c r="H105" t="s">
        <v>29</v>
      </c>
      <c r="I105" t="s">
        <v>30</v>
      </c>
      <c r="J105" t="s">
        <v>31</v>
      </c>
      <c r="K105" t="s">
        <v>30</v>
      </c>
      <c r="L105" s="24">
        <v>1169</v>
      </c>
      <c r="M105" s="24">
        <v>3512</v>
      </c>
      <c r="N105" s="24">
        <v>4681</v>
      </c>
      <c r="O105" s="81">
        <v>1872400</v>
      </c>
      <c r="P105" s="364">
        <v>1169</v>
      </c>
      <c r="Q105" s="24">
        <v>3377</v>
      </c>
      <c r="R105" s="24">
        <v>4546</v>
      </c>
      <c r="S105" s="81">
        <v>1818325.9597996871</v>
      </c>
    </row>
    <row r="106" spans="1:19" x14ac:dyDescent="0.45">
      <c r="A106" s="79">
        <v>99</v>
      </c>
      <c r="B106" t="s">
        <v>78</v>
      </c>
      <c r="C106" t="s">
        <v>79</v>
      </c>
      <c r="D106" t="s">
        <v>71</v>
      </c>
      <c r="E106" t="s">
        <v>27</v>
      </c>
      <c r="F106" s="81" t="s">
        <v>3786</v>
      </c>
      <c r="G106" t="s">
        <v>28</v>
      </c>
      <c r="H106" t="s">
        <v>29</v>
      </c>
      <c r="I106" t="s">
        <v>30</v>
      </c>
      <c r="J106" t="s">
        <v>31</v>
      </c>
      <c r="K106" t="s">
        <v>30</v>
      </c>
      <c r="L106" s="24">
        <v>252</v>
      </c>
      <c r="M106" s="24">
        <v>770</v>
      </c>
      <c r="N106" s="24">
        <v>1022</v>
      </c>
      <c r="O106" s="81">
        <v>127750</v>
      </c>
      <c r="P106" s="364">
        <v>252</v>
      </c>
      <c r="Q106" s="24">
        <v>740</v>
      </c>
      <c r="R106" s="24">
        <v>992</v>
      </c>
      <c r="S106" s="81">
        <v>124045.11220865595</v>
      </c>
    </row>
    <row r="107" spans="1:19" x14ac:dyDescent="0.45">
      <c r="A107" s="79">
        <v>100</v>
      </c>
      <c r="B107" t="s">
        <v>78</v>
      </c>
      <c r="C107" t="s">
        <v>79</v>
      </c>
      <c r="D107" t="s">
        <v>82</v>
      </c>
      <c r="E107" t="s">
        <v>27</v>
      </c>
      <c r="F107" s="81" t="s">
        <v>3784</v>
      </c>
      <c r="G107" t="s">
        <v>28</v>
      </c>
      <c r="H107" t="s">
        <v>29</v>
      </c>
      <c r="I107" t="s">
        <v>30</v>
      </c>
      <c r="J107" t="s">
        <v>31</v>
      </c>
      <c r="K107" t="s">
        <v>30</v>
      </c>
      <c r="L107" s="24">
        <v>1203</v>
      </c>
      <c r="M107" s="24">
        <v>3620</v>
      </c>
      <c r="N107" s="24">
        <v>4823</v>
      </c>
      <c r="O107" s="81">
        <v>2773225</v>
      </c>
      <c r="P107" s="364">
        <v>1203</v>
      </c>
      <c r="Q107" s="24">
        <v>3481</v>
      </c>
      <c r="R107" s="24">
        <v>4684</v>
      </c>
      <c r="S107" s="81">
        <v>2693103.1928552454</v>
      </c>
    </row>
    <row r="108" spans="1:19" x14ac:dyDescent="0.45">
      <c r="A108" s="79">
        <v>101</v>
      </c>
      <c r="B108" t="s">
        <v>78</v>
      </c>
      <c r="C108" t="s">
        <v>79</v>
      </c>
      <c r="D108" t="s">
        <v>83</v>
      </c>
      <c r="E108" t="s">
        <v>27</v>
      </c>
      <c r="F108" s="81" t="s">
        <v>3790</v>
      </c>
      <c r="G108" t="s">
        <v>28</v>
      </c>
      <c r="H108" t="s">
        <v>29</v>
      </c>
      <c r="I108" t="s">
        <v>30</v>
      </c>
      <c r="J108" t="s">
        <v>31</v>
      </c>
      <c r="K108" t="s">
        <v>30</v>
      </c>
      <c r="L108" s="24">
        <v>43</v>
      </c>
      <c r="M108" s="24">
        <v>126</v>
      </c>
      <c r="N108" s="24">
        <v>169</v>
      </c>
      <c r="O108" s="81">
        <v>19435</v>
      </c>
      <c r="P108" s="364">
        <v>43</v>
      </c>
      <c r="Q108" s="24">
        <v>121</v>
      </c>
      <c r="R108" s="24">
        <v>164</v>
      </c>
      <c r="S108" s="81">
        <v>18877.245983412206</v>
      </c>
    </row>
    <row r="109" spans="1:19" x14ac:dyDescent="0.45">
      <c r="A109" s="79">
        <v>102</v>
      </c>
      <c r="B109" t="s">
        <v>78</v>
      </c>
      <c r="C109" t="s">
        <v>79</v>
      </c>
      <c r="D109" t="s">
        <v>84</v>
      </c>
      <c r="E109" t="s">
        <v>27</v>
      </c>
      <c r="F109" s="81" t="s">
        <v>3785</v>
      </c>
      <c r="G109" t="s">
        <v>28</v>
      </c>
      <c r="H109" t="s">
        <v>29</v>
      </c>
      <c r="I109" t="s">
        <v>30</v>
      </c>
      <c r="J109" t="s">
        <v>31</v>
      </c>
      <c r="K109" t="s">
        <v>30</v>
      </c>
      <c r="L109" s="24">
        <v>88</v>
      </c>
      <c r="M109" s="24">
        <v>267</v>
      </c>
      <c r="N109" s="24">
        <v>355</v>
      </c>
      <c r="O109" s="81">
        <v>106500</v>
      </c>
      <c r="P109" s="364">
        <v>88</v>
      </c>
      <c r="Q109" s="24">
        <v>257</v>
      </c>
      <c r="R109" s="24">
        <v>345</v>
      </c>
      <c r="S109" s="81">
        <v>103416.76351078798</v>
      </c>
    </row>
    <row r="110" spans="1:19" x14ac:dyDescent="0.45">
      <c r="A110" s="79">
        <v>103</v>
      </c>
      <c r="B110" t="s">
        <v>78</v>
      </c>
      <c r="C110" t="s">
        <v>79</v>
      </c>
      <c r="D110" t="s">
        <v>85</v>
      </c>
      <c r="E110" t="s">
        <v>35</v>
      </c>
      <c r="F110" s="81" t="s">
        <v>3796</v>
      </c>
      <c r="G110" t="s">
        <v>28</v>
      </c>
      <c r="H110" t="s">
        <v>29</v>
      </c>
      <c r="I110" t="s">
        <v>30</v>
      </c>
      <c r="J110" t="s">
        <v>31</v>
      </c>
      <c r="K110" t="s">
        <v>30</v>
      </c>
      <c r="L110" s="24">
        <v>1695</v>
      </c>
      <c r="M110" s="24">
        <v>5070</v>
      </c>
      <c r="N110" s="24">
        <v>6765</v>
      </c>
      <c r="O110" s="81">
        <v>405900</v>
      </c>
      <c r="P110" s="364">
        <v>1695</v>
      </c>
      <c r="Q110" s="24">
        <v>4875</v>
      </c>
      <c r="R110" s="24">
        <v>6570</v>
      </c>
      <c r="S110" s="81">
        <v>394190.62996231834</v>
      </c>
    </row>
    <row r="111" spans="1:19" x14ac:dyDescent="0.45">
      <c r="A111" s="79">
        <v>104</v>
      </c>
      <c r="B111" t="s">
        <v>78</v>
      </c>
      <c r="C111" t="s">
        <v>79</v>
      </c>
      <c r="D111" t="s">
        <v>72</v>
      </c>
      <c r="E111" t="s">
        <v>35</v>
      </c>
      <c r="F111" s="81" t="s">
        <v>3794</v>
      </c>
      <c r="G111" t="s">
        <v>28</v>
      </c>
      <c r="H111" t="s">
        <v>29</v>
      </c>
      <c r="I111" t="s">
        <v>30</v>
      </c>
      <c r="J111" t="s">
        <v>31</v>
      </c>
      <c r="K111" t="s">
        <v>30</v>
      </c>
      <c r="L111" s="24">
        <v>2250</v>
      </c>
      <c r="M111" s="24">
        <v>6750</v>
      </c>
      <c r="N111" s="24">
        <v>9000</v>
      </c>
      <c r="O111" s="81">
        <v>1440000</v>
      </c>
      <c r="P111" s="364">
        <v>2250</v>
      </c>
      <c r="Q111" s="24">
        <v>6490</v>
      </c>
      <c r="R111" s="24">
        <v>8740</v>
      </c>
      <c r="S111" s="81">
        <v>1398428.2720555679</v>
      </c>
    </row>
    <row r="112" spans="1:19" x14ac:dyDescent="0.45">
      <c r="A112" s="79">
        <v>105</v>
      </c>
      <c r="B112" t="s">
        <v>78</v>
      </c>
      <c r="C112" t="s">
        <v>79</v>
      </c>
      <c r="D112" t="s">
        <v>86</v>
      </c>
      <c r="E112" t="s">
        <v>35</v>
      </c>
      <c r="F112" s="81" t="s">
        <v>3795</v>
      </c>
      <c r="G112" t="s">
        <v>28</v>
      </c>
      <c r="H112" t="s">
        <v>29</v>
      </c>
      <c r="I112" t="s">
        <v>30</v>
      </c>
      <c r="J112" t="s">
        <v>31</v>
      </c>
      <c r="K112" t="s">
        <v>30</v>
      </c>
      <c r="L112" s="24">
        <v>1164</v>
      </c>
      <c r="M112" s="24">
        <v>3490</v>
      </c>
      <c r="N112" s="24">
        <v>4654</v>
      </c>
      <c r="O112" s="81">
        <v>698100</v>
      </c>
      <c r="P112" s="364">
        <v>1164</v>
      </c>
      <c r="Q112" s="24">
        <v>3356</v>
      </c>
      <c r="R112" s="24">
        <v>4520</v>
      </c>
      <c r="S112" s="81">
        <v>677949.25964915741</v>
      </c>
    </row>
    <row r="113" spans="1:19" x14ac:dyDescent="0.45">
      <c r="A113" s="79">
        <v>106</v>
      </c>
      <c r="B113" t="s">
        <v>78</v>
      </c>
      <c r="C113" t="s">
        <v>79</v>
      </c>
      <c r="D113" t="s">
        <v>64</v>
      </c>
      <c r="E113" t="s">
        <v>27</v>
      </c>
      <c r="F113" s="81" t="s">
        <v>3859</v>
      </c>
      <c r="G113" t="s">
        <v>28</v>
      </c>
      <c r="H113" t="s">
        <v>29</v>
      </c>
      <c r="I113" t="s">
        <v>30</v>
      </c>
      <c r="J113" t="s">
        <v>36</v>
      </c>
      <c r="K113" t="s">
        <v>30</v>
      </c>
      <c r="L113" s="24"/>
      <c r="M113" s="24"/>
      <c r="N113" s="24">
        <v>30742</v>
      </c>
      <c r="O113" s="81">
        <v>245936</v>
      </c>
      <c r="P113" s="364"/>
      <c r="Q113" s="24"/>
      <c r="R113" s="24">
        <v>30742</v>
      </c>
      <c r="S113" s="81">
        <v>245936</v>
      </c>
    </row>
    <row r="114" spans="1:19" x14ac:dyDescent="0.45">
      <c r="A114" s="79">
        <v>107</v>
      </c>
      <c r="B114" t="s">
        <v>78</v>
      </c>
      <c r="C114" t="s">
        <v>79</v>
      </c>
      <c r="D114" t="s">
        <v>65</v>
      </c>
      <c r="E114" t="s">
        <v>27</v>
      </c>
      <c r="F114" s="81" t="s">
        <v>3854</v>
      </c>
      <c r="G114" t="s">
        <v>28</v>
      </c>
      <c r="H114" t="s">
        <v>29</v>
      </c>
      <c r="I114" t="s">
        <v>30</v>
      </c>
      <c r="J114" t="s">
        <v>36</v>
      </c>
      <c r="K114" t="s">
        <v>30</v>
      </c>
      <c r="L114" s="24"/>
      <c r="M114" s="24"/>
      <c r="N114" s="24">
        <v>4201</v>
      </c>
      <c r="O114" s="81">
        <v>1680400</v>
      </c>
      <c r="P114" s="364"/>
      <c r="Q114" s="24"/>
      <c r="R114" s="24">
        <v>4201</v>
      </c>
      <c r="S114" s="81">
        <v>1680400</v>
      </c>
    </row>
    <row r="115" spans="1:19" x14ac:dyDescent="0.45">
      <c r="A115" s="79">
        <v>108</v>
      </c>
      <c r="B115" t="s">
        <v>78</v>
      </c>
      <c r="C115" t="s">
        <v>79</v>
      </c>
      <c r="D115" t="s">
        <v>66</v>
      </c>
      <c r="E115" t="s">
        <v>27</v>
      </c>
      <c r="F115" s="81" t="s">
        <v>3853</v>
      </c>
      <c r="G115" t="s">
        <v>28</v>
      </c>
      <c r="H115" t="s">
        <v>29</v>
      </c>
      <c r="I115" t="s">
        <v>30</v>
      </c>
      <c r="J115" t="s">
        <v>36</v>
      </c>
      <c r="K115" t="s">
        <v>30</v>
      </c>
      <c r="L115" s="24"/>
      <c r="M115" s="24"/>
      <c r="N115" s="24">
        <v>210</v>
      </c>
      <c r="O115" s="81">
        <v>6300</v>
      </c>
      <c r="P115" s="364"/>
      <c r="Q115" s="24"/>
      <c r="R115" s="24">
        <v>210</v>
      </c>
      <c r="S115" s="81">
        <v>6300</v>
      </c>
    </row>
    <row r="116" spans="1:19" x14ac:dyDescent="0.45">
      <c r="A116" s="79">
        <v>109</v>
      </c>
      <c r="B116" t="s">
        <v>78</v>
      </c>
      <c r="C116" t="s">
        <v>79</v>
      </c>
      <c r="D116" t="s">
        <v>80</v>
      </c>
      <c r="E116" t="s">
        <v>27</v>
      </c>
      <c r="F116" s="81" t="s">
        <v>3855</v>
      </c>
      <c r="G116" t="s">
        <v>28</v>
      </c>
      <c r="H116" t="s">
        <v>29</v>
      </c>
      <c r="I116" t="s">
        <v>30</v>
      </c>
      <c r="J116" t="s">
        <v>36</v>
      </c>
      <c r="K116" t="s">
        <v>30</v>
      </c>
      <c r="L116" s="24"/>
      <c r="M116" s="24"/>
      <c r="N116" s="24">
        <v>37615</v>
      </c>
      <c r="O116" s="81">
        <v>2821125</v>
      </c>
      <c r="P116" s="364"/>
      <c r="Q116" s="24"/>
      <c r="R116" s="24">
        <v>37615</v>
      </c>
      <c r="S116" s="81">
        <v>2821125</v>
      </c>
    </row>
    <row r="117" spans="1:19" x14ac:dyDescent="0.45">
      <c r="A117" s="79">
        <v>110</v>
      </c>
      <c r="B117" t="s">
        <v>78</v>
      </c>
      <c r="C117" t="s">
        <v>79</v>
      </c>
      <c r="D117" t="s">
        <v>81</v>
      </c>
      <c r="E117" t="s">
        <v>27</v>
      </c>
      <c r="F117" s="81" t="s">
        <v>3858</v>
      </c>
      <c r="G117" t="s">
        <v>28</v>
      </c>
      <c r="H117" t="s">
        <v>29</v>
      </c>
      <c r="I117" t="s">
        <v>30</v>
      </c>
      <c r="J117" t="s">
        <v>36</v>
      </c>
      <c r="K117" t="s">
        <v>30</v>
      </c>
      <c r="L117" s="24"/>
      <c r="M117" s="24"/>
      <c r="N117" s="24">
        <v>5016</v>
      </c>
      <c r="O117" s="81">
        <v>326040</v>
      </c>
      <c r="P117" s="364"/>
      <c r="Q117" s="24"/>
      <c r="R117" s="24">
        <v>5016</v>
      </c>
      <c r="S117" s="81">
        <v>326040</v>
      </c>
    </row>
    <row r="118" spans="1:19" x14ac:dyDescent="0.45">
      <c r="A118" s="79">
        <v>111</v>
      </c>
      <c r="B118" t="s">
        <v>78</v>
      </c>
      <c r="C118" t="s">
        <v>79</v>
      </c>
      <c r="D118" t="s">
        <v>70</v>
      </c>
      <c r="E118" t="s">
        <v>27</v>
      </c>
      <c r="F118" s="81" t="s">
        <v>3857</v>
      </c>
      <c r="G118" t="s">
        <v>42</v>
      </c>
      <c r="H118" t="s">
        <v>29</v>
      </c>
      <c r="I118" t="s">
        <v>30</v>
      </c>
      <c r="J118" t="s">
        <v>36</v>
      </c>
      <c r="K118" t="s">
        <v>30</v>
      </c>
      <c r="L118" s="24"/>
      <c r="M118" s="24"/>
      <c r="N118" s="24">
        <v>663</v>
      </c>
      <c r="O118" s="81">
        <v>265200</v>
      </c>
      <c r="P118" s="364"/>
      <c r="Q118" s="24"/>
      <c r="R118" s="24">
        <v>663</v>
      </c>
      <c r="S118" s="81">
        <v>265200</v>
      </c>
    </row>
    <row r="119" spans="1:19" x14ac:dyDescent="0.45">
      <c r="A119" s="79">
        <v>112</v>
      </c>
      <c r="B119" t="s">
        <v>78</v>
      </c>
      <c r="C119" t="s">
        <v>79</v>
      </c>
      <c r="D119" t="s">
        <v>71</v>
      </c>
      <c r="E119" t="s">
        <v>27</v>
      </c>
      <c r="F119" s="81" t="s">
        <v>3852</v>
      </c>
      <c r="G119" t="s">
        <v>28</v>
      </c>
      <c r="H119" t="s">
        <v>29</v>
      </c>
      <c r="I119" t="s">
        <v>30</v>
      </c>
      <c r="J119" t="s">
        <v>36</v>
      </c>
      <c r="K119" t="s">
        <v>30</v>
      </c>
      <c r="L119" s="24"/>
      <c r="M119" s="24"/>
      <c r="N119" s="24">
        <v>144</v>
      </c>
      <c r="O119" s="81">
        <v>18000</v>
      </c>
      <c r="P119" s="364"/>
      <c r="Q119" s="24"/>
      <c r="R119" s="24">
        <v>144</v>
      </c>
      <c r="S119" s="81">
        <v>18000</v>
      </c>
    </row>
    <row r="120" spans="1:19" x14ac:dyDescent="0.45">
      <c r="A120" s="79">
        <v>113</v>
      </c>
      <c r="B120" t="s">
        <v>78</v>
      </c>
      <c r="C120" t="s">
        <v>79</v>
      </c>
      <c r="D120" t="s">
        <v>82</v>
      </c>
      <c r="E120" t="s">
        <v>27</v>
      </c>
      <c r="F120" s="81" t="s">
        <v>3850</v>
      </c>
      <c r="G120" t="s">
        <v>28</v>
      </c>
      <c r="H120" t="s">
        <v>29</v>
      </c>
      <c r="I120" t="s">
        <v>30</v>
      </c>
      <c r="J120" t="s">
        <v>36</v>
      </c>
      <c r="K120" t="s">
        <v>30</v>
      </c>
      <c r="L120" s="24"/>
      <c r="M120" s="24"/>
      <c r="N120" s="24">
        <v>683</v>
      </c>
      <c r="O120" s="81">
        <v>392725</v>
      </c>
      <c r="P120" s="364"/>
      <c r="Q120" s="24"/>
      <c r="R120" s="24">
        <v>683</v>
      </c>
      <c r="S120" s="81">
        <v>392725</v>
      </c>
    </row>
    <row r="121" spans="1:19" x14ac:dyDescent="0.45">
      <c r="A121" s="79">
        <v>114</v>
      </c>
      <c r="B121" t="s">
        <v>78</v>
      </c>
      <c r="C121" t="s">
        <v>79</v>
      </c>
      <c r="D121" t="s">
        <v>83</v>
      </c>
      <c r="E121" t="s">
        <v>27</v>
      </c>
      <c r="F121" s="81" t="s">
        <v>3856</v>
      </c>
      <c r="G121" t="s">
        <v>28</v>
      </c>
      <c r="H121" t="s">
        <v>29</v>
      </c>
      <c r="I121" t="s">
        <v>30</v>
      </c>
      <c r="J121" t="s">
        <v>36</v>
      </c>
      <c r="K121" t="s">
        <v>30</v>
      </c>
      <c r="L121" s="24"/>
      <c r="M121" s="24"/>
      <c r="N121" s="24">
        <v>24</v>
      </c>
      <c r="O121" s="81">
        <v>2760</v>
      </c>
      <c r="P121" s="364"/>
      <c r="Q121" s="24"/>
      <c r="R121" s="24">
        <v>24</v>
      </c>
      <c r="S121" s="81">
        <v>2760</v>
      </c>
    </row>
    <row r="122" spans="1:19" x14ac:dyDescent="0.45">
      <c r="A122" s="79">
        <v>115</v>
      </c>
      <c r="B122" t="s">
        <v>78</v>
      </c>
      <c r="C122" t="s">
        <v>79</v>
      </c>
      <c r="D122" t="s">
        <v>84</v>
      </c>
      <c r="E122" t="s">
        <v>27</v>
      </c>
      <c r="F122" s="81" t="s">
        <v>3851</v>
      </c>
      <c r="G122" t="s">
        <v>28</v>
      </c>
      <c r="H122" t="s">
        <v>29</v>
      </c>
      <c r="I122" t="s">
        <v>30</v>
      </c>
      <c r="J122" t="s">
        <v>36</v>
      </c>
      <c r="K122" t="s">
        <v>30</v>
      </c>
      <c r="L122" s="24"/>
      <c r="M122" s="24"/>
      <c r="N122" s="24">
        <v>50</v>
      </c>
      <c r="O122" s="81">
        <v>15000</v>
      </c>
      <c r="P122" s="364"/>
      <c r="Q122" s="24"/>
      <c r="R122" s="24">
        <v>50</v>
      </c>
      <c r="S122" s="81">
        <v>15000</v>
      </c>
    </row>
    <row r="123" spans="1:19" x14ac:dyDescent="0.45">
      <c r="A123" s="79">
        <v>116</v>
      </c>
      <c r="B123" t="s">
        <v>78</v>
      </c>
      <c r="C123" t="s">
        <v>79</v>
      </c>
      <c r="D123" t="s">
        <v>87</v>
      </c>
      <c r="E123" t="s">
        <v>35</v>
      </c>
      <c r="F123" s="81" t="s">
        <v>3861</v>
      </c>
      <c r="G123" t="s">
        <v>28</v>
      </c>
      <c r="H123" t="s">
        <v>29</v>
      </c>
      <c r="I123" t="s">
        <v>30</v>
      </c>
      <c r="J123" t="s">
        <v>36</v>
      </c>
      <c r="K123" t="s">
        <v>30</v>
      </c>
      <c r="L123" s="24"/>
      <c r="M123" s="24"/>
      <c r="N123" s="24">
        <v>1460</v>
      </c>
      <c r="O123" s="81">
        <v>3942000</v>
      </c>
      <c r="P123" s="364"/>
      <c r="Q123" s="24"/>
      <c r="R123" s="24">
        <v>1460</v>
      </c>
      <c r="S123" s="81">
        <v>3942000</v>
      </c>
    </row>
    <row r="124" spans="1:19" x14ac:dyDescent="0.45">
      <c r="A124" s="79">
        <v>117</v>
      </c>
      <c r="B124" t="s">
        <v>78</v>
      </c>
      <c r="C124" t="s">
        <v>79</v>
      </c>
      <c r="D124" t="s">
        <v>87</v>
      </c>
      <c r="E124" t="s">
        <v>35</v>
      </c>
      <c r="F124" s="81" t="s">
        <v>3860</v>
      </c>
      <c r="G124" t="s">
        <v>42</v>
      </c>
      <c r="H124" t="s">
        <v>29</v>
      </c>
      <c r="I124" t="s">
        <v>30</v>
      </c>
      <c r="J124" t="s">
        <v>36</v>
      </c>
      <c r="K124" t="s">
        <v>30</v>
      </c>
      <c r="L124" s="24"/>
      <c r="M124" s="24"/>
      <c r="N124" s="24">
        <v>540</v>
      </c>
      <c r="O124" s="81">
        <v>1458000</v>
      </c>
      <c r="P124" s="364"/>
      <c r="Q124" s="24"/>
      <c r="R124" s="24">
        <v>540</v>
      </c>
      <c r="S124" s="81">
        <v>1458000</v>
      </c>
    </row>
    <row r="125" spans="1:19" x14ac:dyDescent="0.45">
      <c r="A125" s="79">
        <v>118</v>
      </c>
      <c r="B125" t="s">
        <v>78</v>
      </c>
      <c r="C125" t="s">
        <v>79</v>
      </c>
      <c r="D125" t="s">
        <v>85</v>
      </c>
      <c r="E125" t="s">
        <v>35</v>
      </c>
      <c r="F125" s="81" t="s">
        <v>3862</v>
      </c>
      <c r="G125" t="s">
        <v>28</v>
      </c>
      <c r="H125" t="s">
        <v>29</v>
      </c>
      <c r="I125" t="s">
        <v>30</v>
      </c>
      <c r="J125" t="s">
        <v>36</v>
      </c>
      <c r="K125" t="s">
        <v>30</v>
      </c>
      <c r="L125" s="24"/>
      <c r="M125" s="24"/>
      <c r="N125" s="24">
        <v>959</v>
      </c>
      <c r="O125" s="81">
        <v>57540</v>
      </c>
      <c r="P125" s="364"/>
      <c r="Q125" s="24"/>
      <c r="R125" s="24">
        <v>959</v>
      </c>
      <c r="S125" s="81">
        <v>57540</v>
      </c>
    </row>
    <row r="126" spans="1:19" x14ac:dyDescent="0.45">
      <c r="A126" s="79">
        <v>119</v>
      </c>
      <c r="B126" t="s">
        <v>78</v>
      </c>
      <c r="C126" t="s">
        <v>79</v>
      </c>
      <c r="D126" t="s">
        <v>64</v>
      </c>
      <c r="E126" t="s">
        <v>27</v>
      </c>
      <c r="F126" s="81" t="s">
        <v>3920</v>
      </c>
      <c r="G126" t="s">
        <v>28</v>
      </c>
      <c r="H126" t="s">
        <v>29</v>
      </c>
      <c r="I126" t="s">
        <v>30</v>
      </c>
      <c r="J126" t="s">
        <v>37</v>
      </c>
      <c r="K126" t="s">
        <v>30</v>
      </c>
      <c r="L126" s="24"/>
      <c r="M126" s="24"/>
      <c r="N126" s="24">
        <v>146867</v>
      </c>
      <c r="O126" s="81">
        <v>881202</v>
      </c>
      <c r="P126" s="364"/>
      <c r="Q126" s="24"/>
      <c r="R126" s="24">
        <v>71397</v>
      </c>
      <c r="S126" s="81">
        <v>428380.7370205826</v>
      </c>
    </row>
    <row r="127" spans="1:19" x14ac:dyDescent="0.45">
      <c r="A127" s="79">
        <v>120</v>
      </c>
      <c r="B127" t="s">
        <v>78</v>
      </c>
      <c r="C127" t="s">
        <v>79</v>
      </c>
      <c r="D127" t="s">
        <v>65</v>
      </c>
      <c r="E127" t="s">
        <v>27</v>
      </c>
      <c r="F127" s="81" t="s">
        <v>3916</v>
      </c>
      <c r="G127" t="s">
        <v>42</v>
      </c>
      <c r="H127" t="s">
        <v>29</v>
      </c>
      <c r="I127" t="s">
        <v>30</v>
      </c>
      <c r="J127" t="s">
        <v>37</v>
      </c>
      <c r="K127" t="s">
        <v>30</v>
      </c>
      <c r="L127" s="24"/>
      <c r="M127" s="24"/>
      <c r="N127" s="24">
        <v>4632</v>
      </c>
      <c r="O127" s="81">
        <v>1389600</v>
      </c>
      <c r="P127" s="364"/>
      <c r="Q127" s="24"/>
      <c r="R127" s="24">
        <v>2252</v>
      </c>
      <c r="S127" s="81">
        <v>675529.41568879958</v>
      </c>
    </row>
    <row r="128" spans="1:19" x14ac:dyDescent="0.45">
      <c r="A128" s="79">
        <v>121</v>
      </c>
      <c r="B128" t="s">
        <v>78</v>
      </c>
      <c r="C128" t="s">
        <v>79</v>
      </c>
      <c r="D128" t="s">
        <v>65</v>
      </c>
      <c r="E128" t="s">
        <v>27</v>
      </c>
      <c r="F128" s="81" t="s">
        <v>3917</v>
      </c>
      <c r="G128" t="s">
        <v>28</v>
      </c>
      <c r="H128" t="s">
        <v>29</v>
      </c>
      <c r="I128" t="s">
        <v>30</v>
      </c>
      <c r="J128" t="s">
        <v>37</v>
      </c>
      <c r="K128" t="s">
        <v>30</v>
      </c>
      <c r="L128" s="24"/>
      <c r="M128" s="24"/>
      <c r="N128" s="24">
        <v>15438</v>
      </c>
      <c r="O128" s="81">
        <v>4631400</v>
      </c>
      <c r="P128" s="364"/>
      <c r="Q128" s="24"/>
      <c r="R128" s="24">
        <v>7505</v>
      </c>
      <c r="S128" s="81">
        <v>2251473.0395949245</v>
      </c>
    </row>
    <row r="129" spans="1:19" x14ac:dyDescent="0.45">
      <c r="A129" s="79">
        <v>122</v>
      </c>
      <c r="B129" t="s">
        <v>78</v>
      </c>
      <c r="C129" t="s">
        <v>79</v>
      </c>
      <c r="D129" t="s">
        <v>66</v>
      </c>
      <c r="E129" t="s">
        <v>27</v>
      </c>
      <c r="F129" s="81" t="s">
        <v>3915</v>
      </c>
      <c r="G129" t="s">
        <v>28</v>
      </c>
      <c r="H129" t="s">
        <v>29</v>
      </c>
      <c r="I129" t="s">
        <v>30</v>
      </c>
      <c r="J129" t="s">
        <v>37</v>
      </c>
      <c r="K129" t="s">
        <v>30</v>
      </c>
      <c r="L129" s="24"/>
      <c r="M129" s="24"/>
      <c r="N129" s="24">
        <v>1000</v>
      </c>
      <c r="O129" s="81">
        <v>15000</v>
      </c>
      <c r="P129" s="364"/>
      <c r="Q129" s="24"/>
      <c r="R129" s="24">
        <v>486</v>
      </c>
      <c r="S129" s="81">
        <v>7291.9841935319491</v>
      </c>
    </row>
    <row r="130" spans="1:19" x14ac:dyDescent="0.45">
      <c r="A130" s="79">
        <v>123</v>
      </c>
      <c r="B130" t="s">
        <v>78</v>
      </c>
      <c r="C130" t="s">
        <v>79</v>
      </c>
      <c r="D130" t="s">
        <v>80</v>
      </c>
      <c r="E130" t="s">
        <v>27</v>
      </c>
      <c r="F130" s="81" t="s">
        <v>3918</v>
      </c>
      <c r="G130" t="s">
        <v>28</v>
      </c>
      <c r="H130" t="s">
        <v>29</v>
      </c>
      <c r="I130" t="s">
        <v>30</v>
      </c>
      <c r="J130" t="s">
        <v>37</v>
      </c>
      <c r="K130" t="s">
        <v>30</v>
      </c>
      <c r="L130" s="24"/>
      <c r="M130" s="24"/>
      <c r="N130" s="24">
        <v>216200</v>
      </c>
      <c r="O130" s="81">
        <v>10810000</v>
      </c>
      <c r="P130" s="364"/>
      <c r="Q130" s="24"/>
      <c r="R130" s="24">
        <v>105102</v>
      </c>
      <c r="S130" s="81">
        <v>5255089.9421386905</v>
      </c>
    </row>
    <row r="131" spans="1:19" x14ac:dyDescent="0.45">
      <c r="A131" s="79">
        <v>124</v>
      </c>
      <c r="B131" t="s">
        <v>78</v>
      </c>
      <c r="C131" t="s">
        <v>79</v>
      </c>
      <c r="D131" t="s">
        <v>85</v>
      </c>
      <c r="E131" t="s">
        <v>27</v>
      </c>
      <c r="F131" s="81" t="s">
        <v>3921</v>
      </c>
      <c r="G131" t="s">
        <v>28</v>
      </c>
      <c r="H131" t="s">
        <v>29</v>
      </c>
      <c r="I131" t="s">
        <v>30</v>
      </c>
      <c r="J131" t="s">
        <v>37</v>
      </c>
      <c r="K131" t="s">
        <v>30</v>
      </c>
      <c r="L131" s="24"/>
      <c r="M131" s="24"/>
      <c r="N131" s="24">
        <v>6358</v>
      </c>
      <c r="O131" s="81">
        <v>254320</v>
      </c>
      <c r="P131" s="364"/>
      <c r="Q131" s="24"/>
      <c r="R131" s="24">
        <v>3091</v>
      </c>
      <c r="S131" s="81">
        <v>123633.16133993634</v>
      </c>
    </row>
    <row r="132" spans="1:19" x14ac:dyDescent="0.45">
      <c r="A132" s="79">
        <v>125</v>
      </c>
      <c r="B132" t="s">
        <v>78</v>
      </c>
      <c r="C132" t="s">
        <v>79</v>
      </c>
      <c r="D132" t="s">
        <v>71</v>
      </c>
      <c r="E132" t="s">
        <v>27</v>
      </c>
      <c r="F132" s="81" t="s">
        <v>3914</v>
      </c>
      <c r="G132" t="s">
        <v>28</v>
      </c>
      <c r="H132" t="s">
        <v>29</v>
      </c>
      <c r="I132" t="s">
        <v>30</v>
      </c>
      <c r="J132" t="s">
        <v>37</v>
      </c>
      <c r="K132" t="s">
        <v>30</v>
      </c>
      <c r="L132" s="24"/>
      <c r="M132" s="24"/>
      <c r="N132" s="24">
        <v>687</v>
      </c>
      <c r="O132" s="81">
        <v>68700</v>
      </c>
      <c r="P132" s="364"/>
      <c r="Q132" s="24"/>
      <c r="R132" s="24">
        <v>334</v>
      </c>
      <c r="S132" s="81">
        <v>33397.287606376325</v>
      </c>
    </row>
    <row r="133" spans="1:19" x14ac:dyDescent="0.45">
      <c r="A133" s="79">
        <v>126</v>
      </c>
      <c r="B133" t="s">
        <v>78</v>
      </c>
      <c r="C133" t="s">
        <v>79</v>
      </c>
      <c r="D133" t="s">
        <v>82</v>
      </c>
      <c r="E133" t="s">
        <v>27</v>
      </c>
      <c r="F133" s="81" t="s">
        <v>3912</v>
      </c>
      <c r="G133" t="s">
        <v>42</v>
      </c>
      <c r="H133" t="s">
        <v>29</v>
      </c>
      <c r="I133" t="s">
        <v>30</v>
      </c>
      <c r="J133" t="s">
        <v>37</v>
      </c>
      <c r="K133" t="s">
        <v>30</v>
      </c>
      <c r="L133" s="24"/>
      <c r="M133" s="24"/>
      <c r="N133" s="24">
        <v>755</v>
      </c>
      <c r="O133" s="81">
        <v>339750</v>
      </c>
      <c r="P133" s="364"/>
      <c r="Q133" s="24"/>
      <c r="R133" s="24">
        <v>367</v>
      </c>
      <c r="S133" s="81">
        <v>165163.44198349863</v>
      </c>
    </row>
    <row r="134" spans="1:19" x14ac:dyDescent="0.45">
      <c r="A134" s="79">
        <v>127</v>
      </c>
      <c r="B134" t="s">
        <v>78</v>
      </c>
      <c r="C134" t="s">
        <v>79</v>
      </c>
      <c r="D134" t="s">
        <v>82</v>
      </c>
      <c r="E134" t="s">
        <v>27</v>
      </c>
      <c r="F134" s="81" t="s">
        <v>3913</v>
      </c>
      <c r="G134" t="s">
        <v>28</v>
      </c>
      <c r="H134" t="s">
        <v>29</v>
      </c>
      <c r="I134" t="s">
        <v>30</v>
      </c>
      <c r="J134" t="s">
        <v>37</v>
      </c>
      <c r="K134" t="s">
        <v>30</v>
      </c>
      <c r="L134" s="24"/>
      <c r="M134" s="24"/>
      <c r="N134" s="24">
        <v>2515</v>
      </c>
      <c r="O134" s="81">
        <v>1131750</v>
      </c>
      <c r="P134" s="364"/>
      <c r="Q134" s="24"/>
      <c r="R134" s="24">
        <v>1223</v>
      </c>
      <c r="S134" s="81">
        <v>550180.20740198554</v>
      </c>
    </row>
    <row r="135" spans="1:19" x14ac:dyDescent="0.45">
      <c r="A135" s="79">
        <v>128</v>
      </c>
      <c r="B135" t="s">
        <v>78</v>
      </c>
      <c r="C135" t="s">
        <v>79</v>
      </c>
      <c r="D135" t="s">
        <v>83</v>
      </c>
      <c r="E135" t="s">
        <v>27</v>
      </c>
      <c r="F135" s="81" t="s">
        <v>3919</v>
      </c>
      <c r="G135" t="s">
        <v>28</v>
      </c>
      <c r="H135" t="s">
        <v>29</v>
      </c>
      <c r="I135" t="s">
        <v>30</v>
      </c>
      <c r="J135" t="s">
        <v>37</v>
      </c>
      <c r="K135" t="s">
        <v>30</v>
      </c>
      <c r="L135" s="24"/>
      <c r="M135" s="24"/>
      <c r="N135" s="24">
        <v>115</v>
      </c>
      <c r="O135" s="81">
        <v>9200</v>
      </c>
      <c r="P135" s="364"/>
      <c r="Q135" s="24"/>
      <c r="R135" s="24">
        <v>56</v>
      </c>
      <c r="S135" s="81">
        <v>4472.4169720329282</v>
      </c>
    </row>
    <row r="136" spans="1:19" x14ac:dyDescent="0.45">
      <c r="A136" s="79">
        <v>129</v>
      </c>
      <c r="B136" t="s">
        <v>78</v>
      </c>
      <c r="C136" t="s">
        <v>79</v>
      </c>
      <c r="D136" t="s">
        <v>81</v>
      </c>
      <c r="E136" t="s">
        <v>35</v>
      </c>
      <c r="F136" s="81" t="s">
        <v>3922</v>
      </c>
      <c r="G136" t="s">
        <v>28</v>
      </c>
      <c r="H136" t="s">
        <v>43</v>
      </c>
      <c r="I136" t="s">
        <v>30</v>
      </c>
      <c r="J136" t="s">
        <v>37</v>
      </c>
      <c r="K136" t="s">
        <v>30</v>
      </c>
      <c r="L136" s="24"/>
      <c r="M136" s="24"/>
      <c r="N136" s="24">
        <v>33256</v>
      </c>
      <c r="O136" s="81">
        <v>665120</v>
      </c>
      <c r="P136" s="364"/>
      <c r="Q136" s="24"/>
      <c r="R136" s="24">
        <v>16167</v>
      </c>
      <c r="S136" s="81">
        <v>323336.30178679794</v>
      </c>
    </row>
    <row r="137" spans="1:19" x14ac:dyDescent="0.45">
      <c r="A137" s="79">
        <v>130</v>
      </c>
      <c r="B137" t="s">
        <v>78</v>
      </c>
      <c r="C137" t="s">
        <v>79</v>
      </c>
      <c r="D137" t="s">
        <v>64</v>
      </c>
      <c r="E137" t="s">
        <v>27</v>
      </c>
      <c r="F137" s="81" t="s">
        <v>3975</v>
      </c>
      <c r="G137" t="s">
        <v>28</v>
      </c>
      <c r="H137" t="s">
        <v>29</v>
      </c>
      <c r="I137" t="s">
        <v>30</v>
      </c>
      <c r="J137" t="s">
        <v>38</v>
      </c>
      <c r="K137" t="s">
        <v>30</v>
      </c>
      <c r="L137" s="24">
        <v>120700</v>
      </c>
      <c r="M137" s="24"/>
      <c r="N137" s="24">
        <v>120700</v>
      </c>
      <c r="O137" s="81">
        <v>965600</v>
      </c>
      <c r="P137" s="364">
        <v>85260</v>
      </c>
      <c r="Q137" s="24"/>
      <c r="R137" s="24">
        <v>85260</v>
      </c>
      <c r="S137" s="81">
        <v>682080.54565048357</v>
      </c>
    </row>
    <row r="138" spans="1:19" x14ac:dyDescent="0.45">
      <c r="A138" s="79">
        <v>131</v>
      </c>
      <c r="B138" t="s">
        <v>78</v>
      </c>
      <c r="C138" t="s">
        <v>79</v>
      </c>
      <c r="D138" t="s">
        <v>65</v>
      </c>
      <c r="E138" t="s">
        <v>27</v>
      </c>
      <c r="F138" s="81" t="s">
        <v>3970</v>
      </c>
      <c r="G138" t="s">
        <v>28</v>
      </c>
      <c r="H138" t="s">
        <v>29</v>
      </c>
      <c r="I138" t="s">
        <v>30</v>
      </c>
      <c r="J138" t="s">
        <v>38</v>
      </c>
      <c r="K138" t="s">
        <v>30</v>
      </c>
      <c r="L138" s="24">
        <v>16200</v>
      </c>
      <c r="M138" s="24"/>
      <c r="N138" s="24">
        <v>16200</v>
      </c>
      <c r="O138" s="81">
        <v>6480000</v>
      </c>
      <c r="P138" s="364">
        <v>11443</v>
      </c>
      <c r="Q138" s="24"/>
      <c r="R138" s="24">
        <v>11443</v>
      </c>
      <c r="S138" s="81">
        <v>4577342.5184498075</v>
      </c>
    </row>
    <row r="139" spans="1:19" x14ac:dyDescent="0.45">
      <c r="A139" s="79">
        <v>132</v>
      </c>
      <c r="B139" t="s">
        <v>78</v>
      </c>
      <c r="C139" t="s">
        <v>79</v>
      </c>
      <c r="D139" t="s">
        <v>80</v>
      </c>
      <c r="E139" t="s">
        <v>27</v>
      </c>
      <c r="F139" s="81" t="s">
        <v>3971</v>
      </c>
      <c r="G139" t="s">
        <v>28</v>
      </c>
      <c r="H139" t="s">
        <v>29</v>
      </c>
      <c r="I139" t="s">
        <v>30</v>
      </c>
      <c r="J139" t="s">
        <v>38</v>
      </c>
      <c r="K139" t="s">
        <v>30</v>
      </c>
      <c r="L139" s="24">
        <v>197200</v>
      </c>
      <c r="M139" s="24"/>
      <c r="N139" s="24">
        <v>197200</v>
      </c>
      <c r="O139" s="81">
        <v>14790000</v>
      </c>
      <c r="P139" s="364">
        <v>139298</v>
      </c>
      <c r="Q139" s="24"/>
      <c r="R139" s="24">
        <v>139298</v>
      </c>
      <c r="S139" s="81">
        <v>10447360.470350716</v>
      </c>
    </row>
    <row r="140" spans="1:19" x14ac:dyDescent="0.45">
      <c r="A140" s="79">
        <v>133</v>
      </c>
      <c r="B140" t="s">
        <v>78</v>
      </c>
      <c r="C140" t="s">
        <v>79</v>
      </c>
      <c r="D140" t="s">
        <v>81</v>
      </c>
      <c r="E140" t="s">
        <v>27</v>
      </c>
      <c r="F140" s="81" t="s">
        <v>3974</v>
      </c>
      <c r="G140" t="s">
        <v>28</v>
      </c>
      <c r="H140" t="s">
        <v>29</v>
      </c>
      <c r="I140" t="s">
        <v>30</v>
      </c>
      <c r="J140" t="s">
        <v>38</v>
      </c>
      <c r="K140" t="s">
        <v>30</v>
      </c>
      <c r="L140" s="24">
        <v>19730</v>
      </c>
      <c r="M140" s="24"/>
      <c r="N140" s="24">
        <v>19730</v>
      </c>
      <c r="O140" s="81">
        <v>1282450</v>
      </c>
      <c r="P140" s="364">
        <v>13937</v>
      </c>
      <c r="Q140" s="24"/>
      <c r="R140" s="24">
        <v>13937</v>
      </c>
      <c r="S140" s="81">
        <v>905897.05444227695</v>
      </c>
    </row>
    <row r="141" spans="1:19" x14ac:dyDescent="0.45">
      <c r="A141" s="79">
        <v>134</v>
      </c>
      <c r="B141" t="s">
        <v>78</v>
      </c>
      <c r="C141" t="s">
        <v>79</v>
      </c>
      <c r="D141" t="s">
        <v>85</v>
      </c>
      <c r="E141" t="s">
        <v>27</v>
      </c>
      <c r="F141" s="81" t="s">
        <v>3976</v>
      </c>
      <c r="G141" t="s">
        <v>28</v>
      </c>
      <c r="H141" t="s">
        <v>43</v>
      </c>
      <c r="I141" t="s">
        <v>30</v>
      </c>
      <c r="J141" t="s">
        <v>38</v>
      </c>
      <c r="K141" t="s">
        <v>30</v>
      </c>
      <c r="L141" s="24">
        <v>3760</v>
      </c>
      <c r="M141" s="24"/>
      <c r="N141" s="24">
        <v>3760</v>
      </c>
      <c r="O141" s="81">
        <v>225600</v>
      </c>
      <c r="P141" s="364">
        <v>2656</v>
      </c>
      <c r="Q141" s="24"/>
      <c r="R141" s="24">
        <v>2656</v>
      </c>
      <c r="S141" s="81">
        <v>159359.3321238081</v>
      </c>
    </row>
    <row r="142" spans="1:19" x14ac:dyDescent="0.45">
      <c r="A142" s="79">
        <v>135</v>
      </c>
      <c r="B142" t="s">
        <v>78</v>
      </c>
      <c r="C142" t="s">
        <v>79</v>
      </c>
      <c r="D142" t="s">
        <v>70</v>
      </c>
      <c r="E142" t="s">
        <v>27</v>
      </c>
      <c r="F142" s="81" t="s">
        <v>3973</v>
      </c>
      <c r="G142" t="s">
        <v>42</v>
      </c>
      <c r="H142" t="s">
        <v>29</v>
      </c>
      <c r="I142" t="s">
        <v>30</v>
      </c>
      <c r="J142" t="s">
        <v>38</v>
      </c>
      <c r="K142" t="s">
        <v>30</v>
      </c>
      <c r="L142" s="24">
        <v>2570</v>
      </c>
      <c r="M142" s="24"/>
      <c r="N142" s="24">
        <v>2570</v>
      </c>
      <c r="O142" s="81">
        <v>1028000</v>
      </c>
      <c r="P142" s="364">
        <v>1815</v>
      </c>
      <c r="Q142" s="24"/>
      <c r="R142" s="24">
        <v>1815</v>
      </c>
      <c r="S142" s="81">
        <v>726158.65879111143</v>
      </c>
    </row>
    <row r="143" spans="1:19" x14ac:dyDescent="0.45">
      <c r="A143" s="79">
        <v>136</v>
      </c>
      <c r="B143" t="s">
        <v>78</v>
      </c>
      <c r="C143" t="s">
        <v>79</v>
      </c>
      <c r="D143" t="s">
        <v>71</v>
      </c>
      <c r="E143" t="s">
        <v>27</v>
      </c>
      <c r="F143" s="81" t="s">
        <v>3969</v>
      </c>
      <c r="G143" t="s">
        <v>28</v>
      </c>
      <c r="H143" t="s">
        <v>29</v>
      </c>
      <c r="I143" t="s">
        <v>30</v>
      </c>
      <c r="J143" t="s">
        <v>38</v>
      </c>
      <c r="K143" t="s">
        <v>30</v>
      </c>
      <c r="L143" s="24">
        <v>550</v>
      </c>
      <c r="M143" s="24"/>
      <c r="N143" s="24">
        <v>550</v>
      </c>
      <c r="O143" s="81">
        <v>68750</v>
      </c>
      <c r="P143" s="364">
        <v>389</v>
      </c>
      <c r="Q143" s="24"/>
      <c r="R143" s="24">
        <v>389</v>
      </c>
      <c r="S143" s="81">
        <v>48563.626256701267</v>
      </c>
    </row>
    <row r="144" spans="1:19" x14ac:dyDescent="0.45">
      <c r="A144" s="79">
        <v>137</v>
      </c>
      <c r="B144" t="s">
        <v>78</v>
      </c>
      <c r="C144" t="s">
        <v>79</v>
      </c>
      <c r="D144" t="s">
        <v>82</v>
      </c>
      <c r="E144" t="s">
        <v>27</v>
      </c>
      <c r="F144" s="81" t="s">
        <v>3967</v>
      </c>
      <c r="G144" t="s">
        <v>28</v>
      </c>
      <c r="H144" t="s">
        <v>29</v>
      </c>
      <c r="I144" t="s">
        <v>30</v>
      </c>
      <c r="J144" t="s">
        <v>38</v>
      </c>
      <c r="K144" t="s">
        <v>30</v>
      </c>
      <c r="L144" s="24">
        <v>2670</v>
      </c>
      <c r="M144" s="24"/>
      <c r="N144" s="24">
        <v>2670</v>
      </c>
      <c r="O144" s="81">
        <v>1535250</v>
      </c>
      <c r="P144" s="364">
        <v>1886</v>
      </c>
      <c r="Q144" s="24"/>
      <c r="R144" s="24">
        <v>1886</v>
      </c>
      <c r="S144" s="81">
        <v>1084469.9230632819</v>
      </c>
    </row>
    <row r="145" spans="1:19" x14ac:dyDescent="0.45">
      <c r="A145" s="79">
        <v>138</v>
      </c>
      <c r="B145" t="s">
        <v>78</v>
      </c>
      <c r="C145" t="s">
        <v>79</v>
      </c>
      <c r="D145" t="s">
        <v>83</v>
      </c>
      <c r="E145" t="s">
        <v>27</v>
      </c>
      <c r="F145" s="81" t="s">
        <v>3972</v>
      </c>
      <c r="G145" t="s">
        <v>28</v>
      </c>
      <c r="H145" t="s">
        <v>29</v>
      </c>
      <c r="I145" t="s">
        <v>30</v>
      </c>
      <c r="J145" t="s">
        <v>38</v>
      </c>
      <c r="K145" t="s">
        <v>30</v>
      </c>
      <c r="L145" s="24">
        <v>95</v>
      </c>
      <c r="M145" s="24"/>
      <c r="N145" s="24">
        <v>95</v>
      </c>
      <c r="O145" s="81">
        <v>10925</v>
      </c>
      <c r="P145" s="364">
        <v>67</v>
      </c>
      <c r="Q145" s="24"/>
      <c r="R145" s="24">
        <v>67</v>
      </c>
      <c r="S145" s="81">
        <v>7717.2016997012561</v>
      </c>
    </row>
    <row r="146" spans="1:19" x14ac:dyDescent="0.45">
      <c r="A146" s="79">
        <v>139</v>
      </c>
      <c r="B146" t="s">
        <v>78</v>
      </c>
      <c r="C146" t="s">
        <v>79</v>
      </c>
      <c r="D146" t="s">
        <v>84</v>
      </c>
      <c r="E146" t="s">
        <v>27</v>
      </c>
      <c r="F146" s="81" t="s">
        <v>3968</v>
      </c>
      <c r="G146" t="s">
        <v>28</v>
      </c>
      <c r="H146" t="s">
        <v>29</v>
      </c>
      <c r="I146" t="s">
        <v>30</v>
      </c>
      <c r="J146" t="s">
        <v>38</v>
      </c>
      <c r="K146" t="s">
        <v>30</v>
      </c>
      <c r="L146" s="24">
        <v>180</v>
      </c>
      <c r="M146" s="24"/>
      <c r="N146" s="24">
        <v>180</v>
      </c>
      <c r="O146" s="81">
        <v>54000</v>
      </c>
      <c r="P146" s="364">
        <v>127</v>
      </c>
      <c r="Q146" s="24"/>
      <c r="R146" s="24">
        <v>127</v>
      </c>
      <c r="S146" s="81">
        <v>38144.52098708172</v>
      </c>
    </row>
    <row r="147" spans="1:19" x14ac:dyDescent="0.45">
      <c r="A147" s="79">
        <v>140</v>
      </c>
      <c r="B147" t="s">
        <v>78</v>
      </c>
      <c r="C147" t="s">
        <v>79</v>
      </c>
      <c r="D147" t="s">
        <v>86</v>
      </c>
      <c r="E147" t="s">
        <v>35</v>
      </c>
      <c r="F147" s="81" t="s">
        <v>3977</v>
      </c>
      <c r="G147" t="s">
        <v>28</v>
      </c>
      <c r="H147" t="s">
        <v>29</v>
      </c>
      <c r="I147" t="s">
        <v>30</v>
      </c>
      <c r="J147" t="s">
        <v>38</v>
      </c>
      <c r="K147" t="s">
        <v>30</v>
      </c>
      <c r="L147" s="24">
        <v>2570</v>
      </c>
      <c r="M147" s="24"/>
      <c r="N147" s="24">
        <v>2570</v>
      </c>
      <c r="O147" s="81">
        <v>385500</v>
      </c>
      <c r="P147" s="364">
        <v>1815</v>
      </c>
      <c r="Q147" s="24"/>
      <c r="R147" s="24">
        <v>1815</v>
      </c>
      <c r="S147" s="81">
        <v>272309.49704666674</v>
      </c>
    </row>
    <row r="148" spans="1:19" x14ac:dyDescent="0.45">
      <c r="A148" s="79">
        <v>141</v>
      </c>
      <c r="B148" t="s">
        <v>88</v>
      </c>
      <c r="C148" t="s">
        <v>89</v>
      </c>
      <c r="D148" t="s">
        <v>90</v>
      </c>
      <c r="E148" t="s">
        <v>27</v>
      </c>
      <c r="F148" s="81" t="s">
        <v>3807</v>
      </c>
      <c r="G148" t="s">
        <v>28</v>
      </c>
      <c r="H148" t="s">
        <v>29</v>
      </c>
      <c r="I148" t="s">
        <v>30</v>
      </c>
      <c r="J148" t="s">
        <v>31</v>
      </c>
      <c r="K148" t="s">
        <v>30</v>
      </c>
      <c r="L148" s="24">
        <v>20615</v>
      </c>
      <c r="M148" s="24">
        <v>41673</v>
      </c>
      <c r="N148" s="24">
        <v>62288</v>
      </c>
      <c r="O148" s="81">
        <v>622880</v>
      </c>
      <c r="P148" s="364">
        <v>20605</v>
      </c>
      <c r="Q148" s="24">
        <v>40284</v>
      </c>
      <c r="R148" s="24">
        <v>60889</v>
      </c>
      <c r="S148" s="81">
        <v>608898.01566759578</v>
      </c>
    </row>
    <row r="149" spans="1:19" x14ac:dyDescent="0.45">
      <c r="A149" s="79">
        <v>142</v>
      </c>
      <c r="B149" t="s">
        <v>88</v>
      </c>
      <c r="C149" t="s">
        <v>89</v>
      </c>
      <c r="D149" t="s">
        <v>91</v>
      </c>
      <c r="E149" t="s">
        <v>27</v>
      </c>
      <c r="F149" s="81" t="s">
        <v>3808</v>
      </c>
      <c r="G149" t="s">
        <v>28</v>
      </c>
      <c r="H149" t="s">
        <v>29</v>
      </c>
      <c r="I149" t="s">
        <v>30</v>
      </c>
      <c r="J149" t="s">
        <v>31</v>
      </c>
      <c r="K149" t="s">
        <v>30</v>
      </c>
      <c r="L149" s="24">
        <v>2974</v>
      </c>
      <c r="M149" s="24">
        <v>5414</v>
      </c>
      <c r="N149" s="24">
        <v>8388</v>
      </c>
      <c r="O149" s="81">
        <v>3355200</v>
      </c>
      <c r="P149" s="364">
        <v>2973</v>
      </c>
      <c r="Q149" s="24">
        <v>5234</v>
      </c>
      <c r="R149" s="24">
        <v>8207</v>
      </c>
      <c r="S149" s="81">
        <v>3282485.9519121861</v>
      </c>
    </row>
    <row r="150" spans="1:19" x14ac:dyDescent="0.45">
      <c r="A150" s="79">
        <v>143</v>
      </c>
      <c r="B150" t="s">
        <v>88</v>
      </c>
      <c r="C150" t="s">
        <v>89</v>
      </c>
      <c r="D150" t="s">
        <v>92</v>
      </c>
      <c r="E150" t="s">
        <v>27</v>
      </c>
      <c r="F150" s="81" t="s">
        <v>3806</v>
      </c>
      <c r="G150" t="s">
        <v>28</v>
      </c>
      <c r="H150" t="s">
        <v>29</v>
      </c>
      <c r="I150" t="s">
        <v>30</v>
      </c>
      <c r="J150" t="s">
        <v>31</v>
      </c>
      <c r="K150" t="s">
        <v>30</v>
      </c>
      <c r="L150" s="24">
        <v>5069</v>
      </c>
      <c r="M150" s="24">
        <v>9821</v>
      </c>
      <c r="N150" s="24">
        <v>14890</v>
      </c>
      <c r="O150" s="81">
        <v>446700</v>
      </c>
      <c r="P150" s="364">
        <v>5067</v>
      </c>
      <c r="Q150" s="24">
        <v>9494</v>
      </c>
      <c r="R150" s="24">
        <v>14561</v>
      </c>
      <c r="S150" s="81">
        <v>436811.7582604363</v>
      </c>
    </row>
    <row r="151" spans="1:19" x14ac:dyDescent="0.45">
      <c r="A151" s="79">
        <v>144</v>
      </c>
      <c r="B151" t="s">
        <v>88</v>
      </c>
      <c r="C151" t="s">
        <v>89</v>
      </c>
      <c r="D151" t="s">
        <v>93</v>
      </c>
      <c r="E151" t="s">
        <v>27</v>
      </c>
      <c r="F151" s="81" t="s">
        <v>3809</v>
      </c>
      <c r="G151" t="s">
        <v>28</v>
      </c>
      <c r="H151" t="s">
        <v>29</v>
      </c>
      <c r="I151" t="s">
        <v>30</v>
      </c>
      <c r="J151" t="s">
        <v>31</v>
      </c>
      <c r="K151" t="s">
        <v>30</v>
      </c>
      <c r="L151" s="24">
        <v>34774</v>
      </c>
      <c r="M151" s="24">
        <v>68932</v>
      </c>
      <c r="N151" s="24">
        <v>103706</v>
      </c>
      <c r="O151" s="81">
        <v>7777950</v>
      </c>
      <c r="P151" s="364">
        <v>34758</v>
      </c>
      <c r="Q151" s="24">
        <v>66635</v>
      </c>
      <c r="R151" s="24">
        <v>101393</v>
      </c>
      <c r="S151" s="81">
        <v>7604467.9315536898</v>
      </c>
    </row>
    <row r="152" spans="1:19" x14ac:dyDescent="0.45">
      <c r="A152" s="79">
        <v>145</v>
      </c>
      <c r="B152" t="s">
        <v>88</v>
      </c>
      <c r="C152" t="s">
        <v>89</v>
      </c>
      <c r="D152" t="s">
        <v>94</v>
      </c>
      <c r="E152" t="s">
        <v>27</v>
      </c>
      <c r="F152" s="81" t="s">
        <v>3810</v>
      </c>
      <c r="G152" t="s">
        <v>28</v>
      </c>
      <c r="H152" t="s">
        <v>29</v>
      </c>
      <c r="I152" t="s">
        <v>30</v>
      </c>
      <c r="J152" t="s">
        <v>31</v>
      </c>
      <c r="K152" t="s">
        <v>30</v>
      </c>
      <c r="L152" s="24">
        <v>20276</v>
      </c>
      <c r="M152" s="24">
        <v>39282</v>
      </c>
      <c r="N152" s="24">
        <v>59558</v>
      </c>
      <c r="O152" s="81">
        <v>2977900</v>
      </c>
      <c r="P152" s="364">
        <v>20267</v>
      </c>
      <c r="Q152" s="24">
        <v>37973</v>
      </c>
      <c r="R152" s="24">
        <v>58240</v>
      </c>
      <c r="S152" s="81">
        <v>2911981.7207531119</v>
      </c>
    </row>
    <row r="153" spans="1:19" x14ac:dyDescent="0.45">
      <c r="A153" s="79">
        <v>146</v>
      </c>
      <c r="B153" t="s">
        <v>88</v>
      </c>
      <c r="C153" t="s">
        <v>89</v>
      </c>
      <c r="D153" t="s">
        <v>95</v>
      </c>
      <c r="E153" t="s">
        <v>27</v>
      </c>
      <c r="F153" s="81" t="s">
        <v>3805</v>
      </c>
      <c r="G153" t="s">
        <v>42</v>
      </c>
      <c r="H153" t="s">
        <v>29</v>
      </c>
      <c r="I153" t="s">
        <v>30</v>
      </c>
      <c r="J153" t="s">
        <v>31</v>
      </c>
      <c r="K153" t="s">
        <v>30</v>
      </c>
      <c r="L153" s="24">
        <v>2974</v>
      </c>
      <c r="M153" s="24">
        <v>5414</v>
      </c>
      <c r="N153" s="24">
        <v>8388</v>
      </c>
      <c r="O153" s="81">
        <v>3355200</v>
      </c>
      <c r="P153" s="364">
        <v>2973</v>
      </c>
      <c r="Q153" s="24">
        <v>5234</v>
      </c>
      <c r="R153" s="24">
        <v>8207</v>
      </c>
      <c r="S153" s="81">
        <v>3282485.9519121861</v>
      </c>
    </row>
    <row r="154" spans="1:19" x14ac:dyDescent="0.45">
      <c r="A154" s="79">
        <v>147</v>
      </c>
      <c r="B154" t="s">
        <v>88</v>
      </c>
      <c r="C154" t="s">
        <v>89</v>
      </c>
      <c r="D154" t="s">
        <v>96</v>
      </c>
      <c r="E154" t="s">
        <v>27</v>
      </c>
      <c r="F154" s="81" t="s">
        <v>3811</v>
      </c>
      <c r="G154" t="s">
        <v>28</v>
      </c>
      <c r="H154" t="s">
        <v>29</v>
      </c>
      <c r="I154" t="s">
        <v>30</v>
      </c>
      <c r="J154" t="s">
        <v>31</v>
      </c>
      <c r="K154" t="s">
        <v>30</v>
      </c>
      <c r="L154" s="24">
        <v>4899</v>
      </c>
      <c r="M154" s="24">
        <v>8625</v>
      </c>
      <c r="N154" s="24">
        <v>13524</v>
      </c>
      <c r="O154" s="81">
        <v>2326128</v>
      </c>
      <c r="P154" s="364">
        <v>4897</v>
      </c>
      <c r="Q154" s="24">
        <v>8338</v>
      </c>
      <c r="R154" s="24">
        <v>13235</v>
      </c>
      <c r="S154" s="81">
        <v>2276303.9444669699</v>
      </c>
    </row>
    <row r="155" spans="1:19" x14ac:dyDescent="0.45">
      <c r="A155" s="79">
        <v>148</v>
      </c>
      <c r="B155" t="s">
        <v>88</v>
      </c>
      <c r="C155" t="s">
        <v>89</v>
      </c>
      <c r="D155" t="s">
        <v>97</v>
      </c>
      <c r="E155" t="s">
        <v>27</v>
      </c>
      <c r="F155" s="81" t="s">
        <v>3812</v>
      </c>
      <c r="G155" t="s">
        <v>28</v>
      </c>
      <c r="H155" t="s">
        <v>29</v>
      </c>
      <c r="I155" t="s">
        <v>30</v>
      </c>
      <c r="J155" t="s">
        <v>31</v>
      </c>
      <c r="K155" t="s">
        <v>30</v>
      </c>
      <c r="L155" s="24">
        <v>9799</v>
      </c>
      <c r="M155" s="24">
        <v>17250</v>
      </c>
      <c r="N155" s="24">
        <v>27049</v>
      </c>
      <c r="O155" s="81">
        <v>3597517</v>
      </c>
      <c r="P155" s="364">
        <v>9794</v>
      </c>
      <c r="Q155" s="24">
        <v>16675</v>
      </c>
      <c r="R155" s="24">
        <v>26469</v>
      </c>
      <c r="S155" s="81">
        <v>3520463.4574258924</v>
      </c>
    </row>
    <row r="156" spans="1:19" x14ac:dyDescent="0.45">
      <c r="A156" s="79">
        <v>149</v>
      </c>
      <c r="B156" t="s">
        <v>88</v>
      </c>
      <c r="C156" t="s">
        <v>89</v>
      </c>
      <c r="D156" t="s">
        <v>98</v>
      </c>
      <c r="E156" t="s">
        <v>35</v>
      </c>
      <c r="F156" s="81" t="s">
        <v>3813</v>
      </c>
      <c r="G156" t="s">
        <v>28</v>
      </c>
      <c r="H156" t="s">
        <v>29</v>
      </c>
      <c r="I156" t="s">
        <v>30</v>
      </c>
      <c r="J156" t="s">
        <v>31</v>
      </c>
      <c r="K156" t="s">
        <v>99</v>
      </c>
      <c r="L156" s="24"/>
      <c r="M156" s="24"/>
      <c r="N156" s="24">
        <v>4</v>
      </c>
      <c r="O156" s="81">
        <v>36040</v>
      </c>
      <c r="P156" s="364"/>
      <c r="Q156" s="24"/>
      <c r="R156" s="24"/>
      <c r="S156" s="81">
        <v>36040</v>
      </c>
    </row>
    <row r="157" spans="1:19" x14ac:dyDescent="0.45">
      <c r="A157" s="79">
        <v>150</v>
      </c>
      <c r="B157" t="s">
        <v>88</v>
      </c>
      <c r="C157" t="s">
        <v>89</v>
      </c>
      <c r="D157" t="s">
        <v>90</v>
      </c>
      <c r="E157" t="s">
        <v>27</v>
      </c>
      <c r="F157" s="81" t="s">
        <v>3870</v>
      </c>
      <c r="G157" t="s">
        <v>28</v>
      </c>
      <c r="H157" t="s">
        <v>29</v>
      </c>
      <c r="I157" t="s">
        <v>30</v>
      </c>
      <c r="J157" t="s">
        <v>36</v>
      </c>
      <c r="K157" t="s">
        <v>30</v>
      </c>
      <c r="L157" s="24"/>
      <c r="M157" s="24"/>
      <c r="N157" s="24">
        <v>15127</v>
      </c>
      <c r="O157" s="81">
        <v>151270</v>
      </c>
      <c r="P157" s="364"/>
      <c r="Q157" s="24"/>
      <c r="R157" s="24">
        <v>15127</v>
      </c>
      <c r="S157" s="81">
        <v>151270</v>
      </c>
    </row>
    <row r="158" spans="1:19" x14ac:dyDescent="0.45">
      <c r="A158" s="79">
        <v>151</v>
      </c>
      <c r="B158" t="s">
        <v>88</v>
      </c>
      <c r="C158" t="s">
        <v>89</v>
      </c>
      <c r="D158" t="s">
        <v>91</v>
      </c>
      <c r="E158" t="s">
        <v>27</v>
      </c>
      <c r="F158" s="81" t="s">
        <v>3871</v>
      </c>
      <c r="G158" t="s">
        <v>28</v>
      </c>
      <c r="H158" t="s">
        <v>29</v>
      </c>
      <c r="I158" t="s">
        <v>30</v>
      </c>
      <c r="J158" t="s">
        <v>36</v>
      </c>
      <c r="K158" t="s">
        <v>30</v>
      </c>
      <c r="L158" s="24"/>
      <c r="M158" s="24"/>
      <c r="N158" s="24">
        <v>2269</v>
      </c>
      <c r="O158" s="81">
        <v>907600</v>
      </c>
      <c r="P158" s="364"/>
      <c r="Q158" s="24"/>
      <c r="R158" s="24">
        <v>2269</v>
      </c>
      <c r="S158" s="81">
        <v>907600</v>
      </c>
    </row>
    <row r="159" spans="1:19" x14ac:dyDescent="0.45">
      <c r="A159" s="79">
        <v>152</v>
      </c>
      <c r="B159" t="s">
        <v>88</v>
      </c>
      <c r="C159" t="s">
        <v>89</v>
      </c>
      <c r="D159" t="s">
        <v>92</v>
      </c>
      <c r="E159" t="s">
        <v>27</v>
      </c>
      <c r="F159" s="81" t="s">
        <v>3869</v>
      </c>
      <c r="G159" t="s">
        <v>28</v>
      </c>
      <c r="H159" t="s">
        <v>29</v>
      </c>
      <c r="I159" t="s">
        <v>30</v>
      </c>
      <c r="J159" t="s">
        <v>36</v>
      </c>
      <c r="K159" t="s">
        <v>30</v>
      </c>
      <c r="L159" s="24"/>
      <c r="M159" s="24"/>
      <c r="N159" s="24">
        <v>3782</v>
      </c>
      <c r="O159" s="81">
        <v>113460</v>
      </c>
      <c r="P159" s="364"/>
      <c r="Q159" s="24"/>
      <c r="R159" s="24">
        <v>3782</v>
      </c>
      <c r="S159" s="81">
        <v>113460</v>
      </c>
    </row>
    <row r="160" spans="1:19" x14ac:dyDescent="0.45">
      <c r="A160" s="79">
        <v>153</v>
      </c>
      <c r="B160" t="s">
        <v>88</v>
      </c>
      <c r="C160" t="s">
        <v>89</v>
      </c>
      <c r="D160" t="s">
        <v>93</v>
      </c>
      <c r="E160" t="s">
        <v>27</v>
      </c>
      <c r="F160" s="81" t="s">
        <v>3872</v>
      </c>
      <c r="G160" t="s">
        <v>28</v>
      </c>
      <c r="H160" t="s">
        <v>29</v>
      </c>
      <c r="I160" t="s">
        <v>30</v>
      </c>
      <c r="J160" t="s">
        <v>36</v>
      </c>
      <c r="K160" t="s">
        <v>30</v>
      </c>
      <c r="L160" s="24"/>
      <c r="M160" s="24"/>
      <c r="N160" s="24">
        <v>24203</v>
      </c>
      <c r="O160" s="81">
        <v>1815225</v>
      </c>
      <c r="P160" s="364"/>
      <c r="Q160" s="24"/>
      <c r="R160" s="24">
        <v>24203</v>
      </c>
      <c r="S160" s="81">
        <v>1815225</v>
      </c>
    </row>
    <row r="161" spans="1:19" x14ac:dyDescent="0.45">
      <c r="A161" s="79">
        <v>154</v>
      </c>
      <c r="B161" t="s">
        <v>88</v>
      </c>
      <c r="C161" t="s">
        <v>89</v>
      </c>
      <c r="D161" t="s">
        <v>94</v>
      </c>
      <c r="E161" t="s">
        <v>27</v>
      </c>
      <c r="F161" s="81" t="s">
        <v>3873</v>
      </c>
      <c r="G161" t="s">
        <v>28</v>
      </c>
      <c r="H161" t="s">
        <v>29</v>
      </c>
      <c r="I161" t="s">
        <v>30</v>
      </c>
      <c r="J161" t="s">
        <v>36</v>
      </c>
      <c r="K161" t="s">
        <v>30</v>
      </c>
      <c r="L161" s="24"/>
      <c r="M161" s="24"/>
      <c r="N161" s="24">
        <v>15127</v>
      </c>
      <c r="O161" s="81">
        <v>756350</v>
      </c>
      <c r="P161" s="364"/>
      <c r="Q161" s="24"/>
      <c r="R161" s="24">
        <v>15127</v>
      </c>
      <c r="S161" s="81">
        <v>756350</v>
      </c>
    </row>
    <row r="162" spans="1:19" x14ac:dyDescent="0.45">
      <c r="A162" s="79">
        <v>155</v>
      </c>
      <c r="B162" t="s">
        <v>88</v>
      </c>
      <c r="C162" t="s">
        <v>89</v>
      </c>
      <c r="D162" t="s">
        <v>95</v>
      </c>
      <c r="E162" t="s">
        <v>27</v>
      </c>
      <c r="F162" s="81" t="s">
        <v>3867</v>
      </c>
      <c r="G162" t="s">
        <v>42</v>
      </c>
      <c r="H162" t="s">
        <v>29</v>
      </c>
      <c r="I162" t="s">
        <v>30</v>
      </c>
      <c r="J162" t="s">
        <v>36</v>
      </c>
      <c r="K162" t="s">
        <v>30</v>
      </c>
      <c r="L162" s="24"/>
      <c r="M162" s="24"/>
      <c r="N162" s="24">
        <v>2269</v>
      </c>
      <c r="O162" s="81">
        <v>907600</v>
      </c>
      <c r="P162" s="364"/>
      <c r="Q162" s="24"/>
      <c r="R162" s="24">
        <v>2269</v>
      </c>
      <c r="S162" s="81">
        <v>907600</v>
      </c>
    </row>
    <row r="163" spans="1:19" x14ac:dyDescent="0.45">
      <c r="A163" s="79">
        <v>156</v>
      </c>
      <c r="B163" t="s">
        <v>88</v>
      </c>
      <c r="C163" t="s">
        <v>89</v>
      </c>
      <c r="D163" t="s">
        <v>100</v>
      </c>
      <c r="E163" t="s">
        <v>27</v>
      </c>
      <c r="F163" s="81" t="s">
        <v>3868</v>
      </c>
      <c r="G163" t="s">
        <v>28</v>
      </c>
      <c r="H163" t="s">
        <v>29</v>
      </c>
      <c r="I163" t="s">
        <v>30</v>
      </c>
      <c r="J163" t="s">
        <v>36</v>
      </c>
      <c r="K163" t="s">
        <v>30</v>
      </c>
      <c r="L163" s="24"/>
      <c r="M163" s="24"/>
      <c r="N163" s="24">
        <v>1513</v>
      </c>
      <c r="O163" s="81">
        <v>181560</v>
      </c>
      <c r="P163" s="364"/>
      <c r="Q163" s="24"/>
      <c r="R163" s="24">
        <v>1513</v>
      </c>
      <c r="S163" s="81">
        <v>181560</v>
      </c>
    </row>
    <row r="164" spans="1:19" x14ac:dyDescent="0.45">
      <c r="A164" s="79">
        <v>157</v>
      </c>
      <c r="B164" t="s">
        <v>88</v>
      </c>
      <c r="C164" t="s">
        <v>89</v>
      </c>
      <c r="D164" t="s">
        <v>96</v>
      </c>
      <c r="E164" t="s">
        <v>27</v>
      </c>
      <c r="F164" s="81" t="s">
        <v>3874</v>
      </c>
      <c r="G164" t="s">
        <v>28</v>
      </c>
      <c r="H164" t="s">
        <v>29</v>
      </c>
      <c r="I164" t="s">
        <v>30</v>
      </c>
      <c r="J164" t="s">
        <v>36</v>
      </c>
      <c r="K164" t="s">
        <v>30</v>
      </c>
      <c r="L164" s="24"/>
      <c r="M164" s="24"/>
      <c r="N164" s="24">
        <v>3782</v>
      </c>
      <c r="O164" s="81">
        <v>650504</v>
      </c>
      <c r="P164" s="364"/>
      <c r="Q164" s="24"/>
      <c r="R164" s="24">
        <v>3782</v>
      </c>
      <c r="S164" s="81">
        <v>650504</v>
      </c>
    </row>
    <row r="165" spans="1:19" x14ac:dyDescent="0.45">
      <c r="A165" s="79">
        <v>158</v>
      </c>
      <c r="B165" t="s">
        <v>88</v>
      </c>
      <c r="C165" t="s">
        <v>89</v>
      </c>
      <c r="D165" t="s">
        <v>97</v>
      </c>
      <c r="E165" t="s">
        <v>27</v>
      </c>
      <c r="F165" s="81" t="s">
        <v>3875</v>
      </c>
      <c r="G165" t="s">
        <v>28</v>
      </c>
      <c r="H165" t="s">
        <v>29</v>
      </c>
      <c r="I165" t="s">
        <v>30</v>
      </c>
      <c r="J165" t="s">
        <v>36</v>
      </c>
      <c r="K165" t="s">
        <v>30</v>
      </c>
      <c r="L165" s="24"/>
      <c r="M165" s="24"/>
      <c r="N165" s="24">
        <v>7564</v>
      </c>
      <c r="O165" s="81">
        <v>1006012</v>
      </c>
      <c r="P165" s="364"/>
      <c r="Q165" s="24"/>
      <c r="R165" s="24">
        <v>7564</v>
      </c>
      <c r="S165" s="81">
        <v>1006012</v>
      </c>
    </row>
    <row r="166" spans="1:19" x14ac:dyDescent="0.45">
      <c r="A166" s="79">
        <v>159</v>
      </c>
      <c r="B166" t="s">
        <v>88</v>
      </c>
      <c r="C166" t="s">
        <v>89</v>
      </c>
      <c r="D166" t="s">
        <v>98</v>
      </c>
      <c r="E166" t="s">
        <v>35</v>
      </c>
      <c r="F166" s="81" t="s">
        <v>3878</v>
      </c>
      <c r="G166" t="s">
        <v>28</v>
      </c>
      <c r="H166" t="s">
        <v>29</v>
      </c>
      <c r="I166" t="s">
        <v>30</v>
      </c>
      <c r="J166" t="s">
        <v>36</v>
      </c>
      <c r="K166" t="s">
        <v>99</v>
      </c>
      <c r="L166" s="24"/>
      <c r="M166" s="24"/>
      <c r="N166" s="24">
        <v>2</v>
      </c>
      <c r="O166" s="81">
        <v>18020</v>
      </c>
      <c r="P166" s="364"/>
      <c r="Q166" s="24"/>
      <c r="R166" s="24">
        <v>2</v>
      </c>
      <c r="S166" s="81">
        <v>18020</v>
      </c>
    </row>
    <row r="167" spans="1:19" x14ac:dyDescent="0.45">
      <c r="A167" s="79">
        <v>160</v>
      </c>
      <c r="B167" t="s">
        <v>88</v>
      </c>
      <c r="C167" t="s">
        <v>89</v>
      </c>
      <c r="D167" t="s">
        <v>101</v>
      </c>
      <c r="E167" t="s">
        <v>35</v>
      </c>
      <c r="F167" s="81" t="s">
        <v>3876</v>
      </c>
      <c r="G167" t="s">
        <v>28</v>
      </c>
      <c r="H167" t="s">
        <v>29</v>
      </c>
      <c r="I167" t="s">
        <v>30</v>
      </c>
      <c r="J167" t="s">
        <v>36</v>
      </c>
      <c r="K167" t="s">
        <v>30</v>
      </c>
      <c r="L167" s="24"/>
      <c r="M167" s="24"/>
      <c r="N167" s="24">
        <v>2000</v>
      </c>
      <c r="O167" s="81">
        <v>400000</v>
      </c>
      <c r="P167" s="364"/>
      <c r="Q167" s="24"/>
      <c r="R167" s="24">
        <v>2000</v>
      </c>
      <c r="S167" s="81">
        <v>400000</v>
      </c>
    </row>
    <row r="168" spans="1:19" x14ac:dyDescent="0.45">
      <c r="A168" s="79">
        <v>161</v>
      </c>
      <c r="B168" t="s">
        <v>88</v>
      </c>
      <c r="C168" t="s">
        <v>89</v>
      </c>
      <c r="D168" t="s">
        <v>102</v>
      </c>
      <c r="E168" t="s">
        <v>35</v>
      </c>
      <c r="F168" s="81" t="s">
        <v>3877</v>
      </c>
      <c r="G168" t="s">
        <v>28</v>
      </c>
      <c r="H168" t="s">
        <v>29</v>
      </c>
      <c r="I168" t="s">
        <v>30</v>
      </c>
      <c r="J168" t="s">
        <v>36</v>
      </c>
      <c r="K168" t="s">
        <v>30</v>
      </c>
      <c r="L168" s="24"/>
      <c r="M168" s="24"/>
      <c r="N168" s="24">
        <v>750</v>
      </c>
      <c r="O168" s="81">
        <v>75000</v>
      </c>
      <c r="P168" s="364"/>
      <c r="Q168" s="24"/>
      <c r="R168" s="24">
        <v>750</v>
      </c>
      <c r="S168" s="81">
        <v>75000</v>
      </c>
    </row>
    <row r="169" spans="1:19" x14ac:dyDescent="0.45">
      <c r="A169" s="79">
        <v>162</v>
      </c>
      <c r="B169" t="s">
        <v>88</v>
      </c>
      <c r="C169" t="s">
        <v>89</v>
      </c>
      <c r="D169" t="s">
        <v>90</v>
      </c>
      <c r="E169" t="s">
        <v>27</v>
      </c>
      <c r="F169" s="81" t="s">
        <v>3931</v>
      </c>
      <c r="G169" t="s">
        <v>28</v>
      </c>
      <c r="H169" t="s">
        <v>29</v>
      </c>
      <c r="I169" t="s">
        <v>30</v>
      </c>
      <c r="J169" t="s">
        <v>37</v>
      </c>
      <c r="K169" t="s">
        <v>30</v>
      </c>
      <c r="L169" s="24"/>
      <c r="M169" s="24"/>
      <c r="N169" s="24">
        <v>16497</v>
      </c>
      <c r="O169" s="81">
        <v>164970</v>
      </c>
      <c r="P169" s="364"/>
      <c r="Q169" s="24"/>
      <c r="R169" s="24">
        <v>11807</v>
      </c>
      <c r="S169" s="81">
        <v>118067.52091875434</v>
      </c>
    </row>
    <row r="170" spans="1:19" x14ac:dyDescent="0.45">
      <c r="A170" s="79">
        <v>163</v>
      </c>
      <c r="B170" t="s">
        <v>88</v>
      </c>
      <c r="C170" t="s">
        <v>89</v>
      </c>
      <c r="D170" t="s">
        <v>91</v>
      </c>
      <c r="E170" t="s">
        <v>27</v>
      </c>
      <c r="F170" s="81" t="s">
        <v>3932</v>
      </c>
      <c r="G170" t="s">
        <v>28</v>
      </c>
      <c r="H170" t="s">
        <v>29</v>
      </c>
      <c r="I170" t="s">
        <v>30</v>
      </c>
      <c r="J170" t="s">
        <v>37</v>
      </c>
      <c r="K170" t="s">
        <v>30</v>
      </c>
      <c r="L170" s="24"/>
      <c r="M170" s="24"/>
      <c r="N170" s="24">
        <v>2238</v>
      </c>
      <c r="O170" s="81">
        <v>895200</v>
      </c>
      <c r="P170" s="364"/>
      <c r="Q170" s="24"/>
      <c r="R170" s="24">
        <v>1602</v>
      </c>
      <c r="S170" s="81">
        <v>640686.45648583909</v>
      </c>
    </row>
    <row r="171" spans="1:19" x14ac:dyDescent="0.45">
      <c r="A171" s="79">
        <v>164</v>
      </c>
      <c r="B171" t="s">
        <v>88</v>
      </c>
      <c r="C171" t="s">
        <v>89</v>
      </c>
      <c r="D171" t="s">
        <v>92</v>
      </c>
      <c r="E171" t="s">
        <v>27</v>
      </c>
      <c r="F171" s="81" t="s">
        <v>3930</v>
      </c>
      <c r="G171" t="s">
        <v>28</v>
      </c>
      <c r="H171" t="s">
        <v>29</v>
      </c>
      <c r="I171" t="s">
        <v>30</v>
      </c>
      <c r="J171" t="s">
        <v>37</v>
      </c>
      <c r="K171" t="s">
        <v>30</v>
      </c>
      <c r="L171" s="24"/>
      <c r="M171" s="24"/>
      <c r="N171" s="24">
        <v>5499</v>
      </c>
      <c r="O171" s="81">
        <v>164970</v>
      </c>
      <c r="P171" s="364"/>
      <c r="Q171" s="24"/>
      <c r="R171" s="24">
        <v>3936</v>
      </c>
      <c r="S171" s="81">
        <v>118067.52091875434</v>
      </c>
    </row>
    <row r="172" spans="1:19" x14ac:dyDescent="0.45">
      <c r="A172" s="79">
        <v>165</v>
      </c>
      <c r="B172" t="s">
        <v>88</v>
      </c>
      <c r="C172" t="s">
        <v>89</v>
      </c>
      <c r="D172" t="s">
        <v>93</v>
      </c>
      <c r="E172" t="s">
        <v>27</v>
      </c>
      <c r="F172" s="81" t="s">
        <v>3933</v>
      </c>
      <c r="G172" t="s">
        <v>28</v>
      </c>
      <c r="H172" t="s">
        <v>29</v>
      </c>
      <c r="I172" t="s">
        <v>30</v>
      </c>
      <c r="J172" t="s">
        <v>37</v>
      </c>
      <c r="K172" t="s">
        <v>30</v>
      </c>
      <c r="L172" s="24"/>
      <c r="M172" s="24"/>
      <c r="N172" s="24">
        <v>29003</v>
      </c>
      <c r="O172" s="81">
        <v>2175225</v>
      </c>
      <c r="P172" s="364"/>
      <c r="Q172" s="24"/>
      <c r="R172" s="24">
        <v>20757</v>
      </c>
      <c r="S172" s="81">
        <v>1556788.6475753011</v>
      </c>
    </row>
    <row r="173" spans="1:19" x14ac:dyDescent="0.45">
      <c r="A173" s="79">
        <v>166</v>
      </c>
      <c r="B173" t="s">
        <v>88</v>
      </c>
      <c r="C173" t="s">
        <v>89</v>
      </c>
      <c r="D173" t="s">
        <v>94</v>
      </c>
      <c r="E173" t="s">
        <v>27</v>
      </c>
      <c r="F173" s="81" t="s">
        <v>3934</v>
      </c>
      <c r="G173" t="s">
        <v>28</v>
      </c>
      <c r="H173" t="s">
        <v>29</v>
      </c>
      <c r="I173" t="s">
        <v>30</v>
      </c>
      <c r="J173" t="s">
        <v>37</v>
      </c>
      <c r="K173" t="s">
        <v>30</v>
      </c>
      <c r="L173" s="24"/>
      <c r="M173" s="24"/>
      <c r="N173" s="24">
        <v>18005</v>
      </c>
      <c r="O173" s="81">
        <v>900250</v>
      </c>
      <c r="P173" s="364"/>
      <c r="Q173" s="24"/>
      <c r="R173" s="24">
        <v>12886</v>
      </c>
      <c r="S173" s="81">
        <v>644300.69532101962</v>
      </c>
    </row>
    <row r="174" spans="1:19" x14ac:dyDescent="0.45">
      <c r="A174" s="79">
        <v>167</v>
      </c>
      <c r="B174" t="s">
        <v>88</v>
      </c>
      <c r="C174" t="s">
        <v>89</v>
      </c>
      <c r="D174" t="s">
        <v>95</v>
      </c>
      <c r="E174" t="s">
        <v>27</v>
      </c>
      <c r="F174" s="81" t="s">
        <v>3929</v>
      </c>
      <c r="G174" t="s">
        <v>42</v>
      </c>
      <c r="H174" t="s">
        <v>29</v>
      </c>
      <c r="I174" t="s">
        <v>30</v>
      </c>
      <c r="J174" t="s">
        <v>37</v>
      </c>
      <c r="K174" t="s">
        <v>30</v>
      </c>
      <c r="L174" s="24"/>
      <c r="M174" s="24"/>
      <c r="N174" s="24">
        <v>2238</v>
      </c>
      <c r="O174" s="81">
        <v>895200</v>
      </c>
      <c r="P174" s="364"/>
      <c r="Q174" s="24"/>
      <c r="R174" s="24">
        <v>1602</v>
      </c>
      <c r="S174" s="81">
        <v>640686.45648583909</v>
      </c>
    </row>
    <row r="175" spans="1:19" x14ac:dyDescent="0.45">
      <c r="A175" s="79">
        <v>168</v>
      </c>
      <c r="B175" t="s">
        <v>88</v>
      </c>
      <c r="C175" t="s">
        <v>89</v>
      </c>
      <c r="D175" t="s">
        <v>96</v>
      </c>
      <c r="E175" t="s">
        <v>27</v>
      </c>
      <c r="F175" s="81" t="s">
        <v>3935</v>
      </c>
      <c r="G175" t="s">
        <v>28</v>
      </c>
      <c r="H175" t="s">
        <v>29</v>
      </c>
      <c r="I175" t="s">
        <v>30</v>
      </c>
      <c r="J175" t="s">
        <v>37</v>
      </c>
      <c r="K175" t="s">
        <v>30</v>
      </c>
      <c r="L175" s="24"/>
      <c r="M175" s="24"/>
      <c r="N175" s="24">
        <v>4378</v>
      </c>
      <c r="O175" s="81">
        <v>753016</v>
      </c>
      <c r="P175" s="364"/>
      <c r="Q175" s="24"/>
      <c r="R175" s="24">
        <v>3133</v>
      </c>
      <c r="S175" s="81">
        <v>538926.66746776213</v>
      </c>
    </row>
    <row r="176" spans="1:19" x14ac:dyDescent="0.45">
      <c r="A176" s="79">
        <v>169</v>
      </c>
      <c r="B176" t="s">
        <v>88</v>
      </c>
      <c r="C176" t="s">
        <v>89</v>
      </c>
      <c r="D176" t="s">
        <v>98</v>
      </c>
      <c r="E176" t="s">
        <v>35</v>
      </c>
      <c r="F176" s="81" t="s">
        <v>3936</v>
      </c>
      <c r="G176" t="s">
        <v>28</v>
      </c>
      <c r="H176" t="s">
        <v>29</v>
      </c>
      <c r="I176" t="s">
        <v>30</v>
      </c>
      <c r="J176" t="s">
        <v>37</v>
      </c>
      <c r="K176" t="s">
        <v>99</v>
      </c>
      <c r="L176" s="24"/>
      <c r="M176" s="24"/>
      <c r="N176" s="24">
        <v>2</v>
      </c>
      <c r="O176" s="81">
        <v>18020</v>
      </c>
      <c r="P176" s="364"/>
      <c r="Q176" s="24"/>
      <c r="R176" s="24">
        <v>1</v>
      </c>
      <c r="S176" s="81">
        <v>12896.749269297165</v>
      </c>
    </row>
    <row r="177" spans="1:19" x14ac:dyDescent="0.45">
      <c r="A177" s="79">
        <v>170</v>
      </c>
      <c r="B177" t="s">
        <v>88</v>
      </c>
      <c r="C177" t="s">
        <v>89</v>
      </c>
      <c r="D177" t="s">
        <v>90</v>
      </c>
      <c r="E177" t="s">
        <v>27</v>
      </c>
      <c r="F177" s="81" t="s">
        <v>3986</v>
      </c>
      <c r="G177" t="s">
        <v>28</v>
      </c>
      <c r="H177" t="s">
        <v>29</v>
      </c>
      <c r="I177" t="s">
        <v>30</v>
      </c>
      <c r="J177" t="s">
        <v>38</v>
      </c>
      <c r="K177" t="s">
        <v>30</v>
      </c>
      <c r="L177" s="24">
        <v>35486</v>
      </c>
      <c r="M177" s="24"/>
      <c r="N177" s="24">
        <v>35486</v>
      </c>
      <c r="O177" s="81">
        <v>354860</v>
      </c>
      <c r="P177" s="364">
        <v>23257</v>
      </c>
      <c r="Q177" s="24"/>
      <c r="R177" s="24">
        <v>23257</v>
      </c>
      <c r="S177" s="81">
        <v>232565.11289221642</v>
      </c>
    </row>
    <row r="178" spans="1:19" x14ac:dyDescent="0.45">
      <c r="A178" s="79">
        <v>171</v>
      </c>
      <c r="B178" t="s">
        <v>88</v>
      </c>
      <c r="C178" t="s">
        <v>89</v>
      </c>
      <c r="D178" t="s">
        <v>91</v>
      </c>
      <c r="E178" t="s">
        <v>27</v>
      </c>
      <c r="F178" s="81" t="s">
        <v>3987</v>
      </c>
      <c r="G178" t="s">
        <v>28</v>
      </c>
      <c r="H178" t="s">
        <v>29</v>
      </c>
      <c r="I178" t="s">
        <v>30</v>
      </c>
      <c r="J178" t="s">
        <v>38</v>
      </c>
      <c r="K178" t="s">
        <v>30</v>
      </c>
      <c r="L178" s="24">
        <v>5323</v>
      </c>
      <c r="M178" s="24"/>
      <c r="N178" s="24">
        <v>5323</v>
      </c>
      <c r="O178" s="81">
        <v>2129200</v>
      </c>
      <c r="P178" s="364">
        <v>3489</v>
      </c>
      <c r="Q178" s="24"/>
      <c r="R178" s="24">
        <v>3489</v>
      </c>
      <c r="S178" s="81">
        <v>1395416.892211315</v>
      </c>
    </row>
    <row r="179" spans="1:19" x14ac:dyDescent="0.45">
      <c r="A179" s="79">
        <v>172</v>
      </c>
      <c r="B179" t="s">
        <v>88</v>
      </c>
      <c r="C179" t="s">
        <v>89</v>
      </c>
      <c r="D179" t="s">
        <v>92</v>
      </c>
      <c r="E179" t="s">
        <v>27</v>
      </c>
      <c r="F179" s="81" t="s">
        <v>3985</v>
      </c>
      <c r="G179" t="s">
        <v>28</v>
      </c>
      <c r="H179" t="s">
        <v>29</v>
      </c>
      <c r="I179" t="s">
        <v>30</v>
      </c>
      <c r="J179" t="s">
        <v>38</v>
      </c>
      <c r="K179" t="s">
        <v>30</v>
      </c>
      <c r="L179" s="24">
        <v>8872</v>
      </c>
      <c r="M179" s="24"/>
      <c r="N179" s="24">
        <v>8872</v>
      </c>
      <c r="O179" s="81">
        <v>266160</v>
      </c>
      <c r="P179" s="364">
        <v>5814</v>
      </c>
      <c r="Q179" s="24"/>
      <c r="R179" s="24">
        <v>5814</v>
      </c>
      <c r="S179" s="81">
        <v>174433.66524091846</v>
      </c>
    </row>
    <row r="180" spans="1:19" x14ac:dyDescent="0.45">
      <c r="A180" s="79">
        <v>173</v>
      </c>
      <c r="B180" t="s">
        <v>88</v>
      </c>
      <c r="C180" t="s">
        <v>89</v>
      </c>
      <c r="D180" t="s">
        <v>93</v>
      </c>
      <c r="E180" t="s">
        <v>27</v>
      </c>
      <c r="F180" s="81" t="s">
        <v>3988</v>
      </c>
      <c r="G180" t="s">
        <v>28</v>
      </c>
      <c r="H180" t="s">
        <v>29</v>
      </c>
      <c r="I180" t="s">
        <v>30</v>
      </c>
      <c r="J180" t="s">
        <v>38</v>
      </c>
      <c r="K180" t="s">
        <v>30</v>
      </c>
      <c r="L180" s="24">
        <v>56778</v>
      </c>
      <c r="M180" s="24"/>
      <c r="N180" s="24">
        <v>56778</v>
      </c>
      <c r="O180" s="81">
        <v>4258350</v>
      </c>
      <c r="P180" s="364">
        <v>37211</v>
      </c>
      <c r="Q180" s="24"/>
      <c r="R180" s="24">
        <v>37211</v>
      </c>
      <c r="S180" s="81">
        <v>2790801.0158501095</v>
      </c>
    </row>
    <row r="181" spans="1:19" x14ac:dyDescent="0.45">
      <c r="A181" s="79">
        <v>174</v>
      </c>
      <c r="B181" t="s">
        <v>88</v>
      </c>
      <c r="C181" t="s">
        <v>89</v>
      </c>
      <c r="D181" t="s">
        <v>94</v>
      </c>
      <c r="E181" t="s">
        <v>27</v>
      </c>
      <c r="F181" s="81" t="s">
        <v>3989</v>
      </c>
      <c r="G181" t="s">
        <v>28</v>
      </c>
      <c r="H181" t="s">
        <v>29</v>
      </c>
      <c r="I181" t="s">
        <v>30</v>
      </c>
      <c r="J181" t="s">
        <v>38</v>
      </c>
      <c r="K181" t="s">
        <v>30</v>
      </c>
      <c r="L181" s="24">
        <v>35486</v>
      </c>
      <c r="M181" s="24"/>
      <c r="N181" s="24">
        <v>35486</v>
      </c>
      <c r="O181" s="81">
        <v>1774300</v>
      </c>
      <c r="P181" s="364">
        <v>23257</v>
      </c>
      <c r="Q181" s="24"/>
      <c r="R181" s="24">
        <v>23257</v>
      </c>
      <c r="S181" s="81">
        <v>1162825.5644610822</v>
      </c>
    </row>
    <row r="182" spans="1:19" x14ac:dyDescent="0.45">
      <c r="A182" s="79">
        <v>175</v>
      </c>
      <c r="B182" t="s">
        <v>88</v>
      </c>
      <c r="C182" t="s">
        <v>89</v>
      </c>
      <c r="D182" t="s">
        <v>95</v>
      </c>
      <c r="E182" t="s">
        <v>27</v>
      </c>
      <c r="F182" s="81" t="s">
        <v>3983</v>
      </c>
      <c r="G182" t="s">
        <v>42</v>
      </c>
      <c r="H182" t="s">
        <v>29</v>
      </c>
      <c r="I182" t="s">
        <v>30</v>
      </c>
      <c r="J182" t="s">
        <v>38</v>
      </c>
      <c r="K182" t="s">
        <v>30</v>
      </c>
      <c r="L182" s="24">
        <v>5323</v>
      </c>
      <c r="M182" s="24"/>
      <c r="N182" s="24">
        <v>5323</v>
      </c>
      <c r="O182" s="81">
        <v>2129200</v>
      </c>
      <c r="P182" s="364">
        <v>3489</v>
      </c>
      <c r="Q182" s="24"/>
      <c r="R182" s="24">
        <v>3489</v>
      </c>
      <c r="S182" s="81">
        <v>1395416.892211315</v>
      </c>
    </row>
    <row r="183" spans="1:19" x14ac:dyDescent="0.45">
      <c r="A183" s="79">
        <v>176</v>
      </c>
      <c r="B183" t="s">
        <v>88</v>
      </c>
      <c r="C183" t="s">
        <v>89</v>
      </c>
      <c r="D183" t="s">
        <v>100</v>
      </c>
      <c r="E183" t="s">
        <v>27</v>
      </c>
      <c r="F183" s="81" t="s">
        <v>3984</v>
      </c>
      <c r="G183" t="s">
        <v>28</v>
      </c>
      <c r="H183" t="s">
        <v>29</v>
      </c>
      <c r="I183" t="s">
        <v>30</v>
      </c>
      <c r="J183" t="s">
        <v>38</v>
      </c>
      <c r="K183" t="s">
        <v>30</v>
      </c>
      <c r="L183" s="24">
        <v>3549</v>
      </c>
      <c r="M183" s="24"/>
      <c r="N183" s="24">
        <v>3549</v>
      </c>
      <c r="O183" s="81">
        <v>425880</v>
      </c>
      <c r="P183" s="364">
        <v>2326</v>
      </c>
      <c r="Q183" s="24"/>
      <c r="R183" s="24">
        <v>2326</v>
      </c>
      <c r="S183" s="81">
        <v>279109.59330027935</v>
      </c>
    </row>
    <row r="184" spans="1:19" x14ac:dyDescent="0.45">
      <c r="A184" s="79">
        <v>177</v>
      </c>
      <c r="B184" t="s">
        <v>88</v>
      </c>
      <c r="C184" t="s">
        <v>89</v>
      </c>
      <c r="D184" t="s">
        <v>96</v>
      </c>
      <c r="E184" t="s">
        <v>27</v>
      </c>
      <c r="F184" s="81" t="s">
        <v>3990</v>
      </c>
      <c r="G184" t="s">
        <v>28</v>
      </c>
      <c r="H184" t="s">
        <v>29</v>
      </c>
      <c r="I184" t="s">
        <v>30</v>
      </c>
      <c r="J184" t="s">
        <v>38</v>
      </c>
      <c r="K184" t="s">
        <v>30</v>
      </c>
      <c r="L184" s="24">
        <v>8872</v>
      </c>
      <c r="M184" s="24"/>
      <c r="N184" s="24">
        <v>8872</v>
      </c>
      <c r="O184" s="81">
        <v>1525984</v>
      </c>
      <c r="P184" s="364">
        <v>5814</v>
      </c>
      <c r="Q184" s="24"/>
      <c r="R184" s="24">
        <v>5814</v>
      </c>
      <c r="S184" s="81">
        <v>1000086.3473812658</v>
      </c>
    </row>
    <row r="185" spans="1:19" x14ac:dyDescent="0.45">
      <c r="A185" s="79">
        <v>178</v>
      </c>
      <c r="B185" t="s">
        <v>88</v>
      </c>
      <c r="C185" t="s">
        <v>89</v>
      </c>
      <c r="D185" t="s">
        <v>97</v>
      </c>
      <c r="E185" t="s">
        <v>27</v>
      </c>
      <c r="F185" s="81" t="s">
        <v>3991</v>
      </c>
      <c r="G185" t="s">
        <v>28</v>
      </c>
      <c r="H185" t="s">
        <v>29</v>
      </c>
      <c r="I185" t="s">
        <v>30</v>
      </c>
      <c r="J185" t="s">
        <v>38</v>
      </c>
      <c r="K185" t="s">
        <v>30</v>
      </c>
      <c r="L185" s="24">
        <v>17743</v>
      </c>
      <c r="M185" s="24"/>
      <c r="N185" s="24">
        <v>17743</v>
      </c>
      <c r="O185" s="81">
        <v>2359819</v>
      </c>
      <c r="P185" s="364">
        <v>11628</v>
      </c>
      <c r="Q185" s="24"/>
      <c r="R185" s="24">
        <v>11628</v>
      </c>
      <c r="S185" s="81">
        <v>1546558.0007332391</v>
      </c>
    </row>
    <row r="186" spans="1:19" x14ac:dyDescent="0.45">
      <c r="A186" s="79">
        <v>179</v>
      </c>
      <c r="B186" t="s">
        <v>88</v>
      </c>
      <c r="C186" t="s">
        <v>89</v>
      </c>
      <c r="D186" t="s">
        <v>103</v>
      </c>
      <c r="E186" t="s">
        <v>35</v>
      </c>
      <c r="F186" s="81" t="s">
        <v>3994</v>
      </c>
      <c r="G186" t="s">
        <v>28</v>
      </c>
      <c r="H186" t="s">
        <v>29</v>
      </c>
      <c r="I186" t="s">
        <v>61</v>
      </c>
      <c r="J186" t="s">
        <v>38</v>
      </c>
      <c r="K186" t="s">
        <v>75</v>
      </c>
      <c r="L186" s="24"/>
      <c r="M186" s="24"/>
      <c r="N186" s="24">
        <v>1</v>
      </c>
      <c r="O186" s="81">
        <v>100000</v>
      </c>
      <c r="P186" s="364"/>
      <c r="Q186" s="24"/>
      <c r="R186" s="24"/>
      <c r="S186" s="81">
        <v>100000</v>
      </c>
    </row>
    <row r="187" spans="1:19" x14ac:dyDescent="0.45">
      <c r="A187" s="79">
        <v>180</v>
      </c>
      <c r="B187" t="s">
        <v>88</v>
      </c>
      <c r="C187" t="s">
        <v>89</v>
      </c>
      <c r="D187" t="s">
        <v>98</v>
      </c>
      <c r="E187" t="s">
        <v>35</v>
      </c>
      <c r="F187" s="81" t="s">
        <v>3995</v>
      </c>
      <c r="G187" t="s">
        <v>28</v>
      </c>
      <c r="H187" t="s">
        <v>29</v>
      </c>
      <c r="I187" t="s">
        <v>30</v>
      </c>
      <c r="J187" t="s">
        <v>38</v>
      </c>
      <c r="K187" t="s">
        <v>99</v>
      </c>
      <c r="L187" s="24"/>
      <c r="M187" s="24"/>
      <c r="N187" s="24">
        <v>2</v>
      </c>
      <c r="O187" s="81">
        <v>18020</v>
      </c>
      <c r="P187" s="364"/>
      <c r="Q187" s="24"/>
      <c r="R187" s="24"/>
      <c r="S187" s="81">
        <v>18020</v>
      </c>
    </row>
    <row r="188" spans="1:19" x14ac:dyDescent="0.45">
      <c r="A188" s="79">
        <v>181</v>
      </c>
      <c r="B188" t="s">
        <v>88</v>
      </c>
      <c r="C188" t="s">
        <v>89</v>
      </c>
      <c r="D188" t="s">
        <v>101</v>
      </c>
      <c r="E188" t="s">
        <v>35</v>
      </c>
      <c r="F188" s="81" t="s">
        <v>3992</v>
      </c>
      <c r="G188" t="s">
        <v>28</v>
      </c>
      <c r="H188" t="s">
        <v>29</v>
      </c>
      <c r="I188" t="s">
        <v>30</v>
      </c>
      <c r="J188" t="s">
        <v>38</v>
      </c>
      <c r="K188" t="s">
        <v>30</v>
      </c>
      <c r="L188" s="24"/>
      <c r="M188" s="24"/>
      <c r="N188" s="24">
        <v>2000</v>
      </c>
      <c r="O188" s="81">
        <v>400000</v>
      </c>
      <c r="P188" s="364"/>
      <c r="Q188" s="24"/>
      <c r="R188" s="24"/>
      <c r="S188" s="81">
        <v>400000</v>
      </c>
    </row>
    <row r="189" spans="1:19" x14ac:dyDescent="0.45">
      <c r="A189" s="79">
        <v>182</v>
      </c>
      <c r="B189" t="s">
        <v>88</v>
      </c>
      <c r="C189" t="s">
        <v>89</v>
      </c>
      <c r="D189" t="s">
        <v>102</v>
      </c>
      <c r="E189" t="s">
        <v>35</v>
      </c>
      <c r="F189" s="81" t="s">
        <v>3993</v>
      </c>
      <c r="G189" t="s">
        <v>28</v>
      </c>
      <c r="H189" t="s">
        <v>29</v>
      </c>
      <c r="I189" t="s">
        <v>30</v>
      </c>
      <c r="J189" t="s">
        <v>38</v>
      </c>
      <c r="K189" t="s">
        <v>30</v>
      </c>
      <c r="L189" s="24"/>
      <c r="M189" s="24"/>
      <c r="N189" s="24">
        <v>750</v>
      </c>
      <c r="O189" s="81">
        <v>75000</v>
      </c>
      <c r="P189" s="364"/>
      <c r="Q189" s="24"/>
      <c r="R189" s="24"/>
      <c r="S189" s="81">
        <v>75000</v>
      </c>
    </row>
    <row r="190" spans="1:19" x14ac:dyDescent="0.45">
      <c r="A190" s="79">
        <v>183</v>
      </c>
      <c r="B190" t="s">
        <v>104</v>
      </c>
      <c r="C190" t="s">
        <v>105</v>
      </c>
      <c r="D190" t="s">
        <v>106</v>
      </c>
      <c r="E190" t="s">
        <v>27</v>
      </c>
      <c r="F190" s="81" t="s">
        <v>3831</v>
      </c>
      <c r="G190" t="s">
        <v>28</v>
      </c>
      <c r="H190" t="s">
        <v>29</v>
      </c>
      <c r="I190" t="s">
        <v>61</v>
      </c>
      <c r="J190" t="s">
        <v>31</v>
      </c>
      <c r="K190" t="s">
        <v>30</v>
      </c>
      <c r="L190" s="24">
        <v>93004</v>
      </c>
      <c r="M190" s="24">
        <v>46154</v>
      </c>
      <c r="N190" s="24">
        <v>139158</v>
      </c>
      <c r="O190" s="81">
        <v>28249074</v>
      </c>
      <c r="P190" s="364">
        <v>92557</v>
      </c>
      <c r="Q190" s="24">
        <v>45922</v>
      </c>
      <c r="R190" s="24">
        <v>138479</v>
      </c>
      <c r="S190" s="81">
        <v>28111142.653037615</v>
      </c>
    </row>
    <row r="191" spans="1:19" x14ac:dyDescent="0.45">
      <c r="A191" s="79">
        <v>184</v>
      </c>
      <c r="B191" t="s">
        <v>104</v>
      </c>
      <c r="C191" t="s">
        <v>105</v>
      </c>
      <c r="D191" t="s">
        <v>107</v>
      </c>
      <c r="E191" t="s">
        <v>27</v>
      </c>
      <c r="F191" s="81" t="s">
        <v>3832</v>
      </c>
      <c r="G191" t="s">
        <v>28</v>
      </c>
      <c r="H191" t="s">
        <v>29</v>
      </c>
      <c r="I191" t="s">
        <v>30</v>
      </c>
      <c r="J191" t="s">
        <v>31</v>
      </c>
      <c r="K191" t="s">
        <v>30</v>
      </c>
      <c r="L191" s="24">
        <v>7661</v>
      </c>
      <c r="M191" s="24">
        <v>23167</v>
      </c>
      <c r="N191" s="24">
        <v>30828</v>
      </c>
      <c r="O191" s="81">
        <v>7768656</v>
      </c>
      <c r="P191" s="364">
        <v>7624</v>
      </c>
      <c r="Q191" s="24">
        <v>23050</v>
      </c>
      <c r="R191" s="24">
        <v>30674</v>
      </c>
      <c r="S191" s="81">
        <v>7729980.0154213253</v>
      </c>
    </row>
    <row r="192" spans="1:19" x14ac:dyDescent="0.45">
      <c r="A192" s="79">
        <v>185</v>
      </c>
      <c r="B192" t="s">
        <v>104</v>
      </c>
      <c r="C192" t="s">
        <v>105</v>
      </c>
      <c r="D192" t="s">
        <v>108</v>
      </c>
      <c r="E192" t="s">
        <v>27</v>
      </c>
      <c r="F192" s="81" t="s">
        <v>3833</v>
      </c>
      <c r="G192" t="s">
        <v>28</v>
      </c>
      <c r="H192" t="s">
        <v>29</v>
      </c>
      <c r="I192" t="s">
        <v>30</v>
      </c>
      <c r="J192" t="s">
        <v>31</v>
      </c>
      <c r="K192" t="s">
        <v>30</v>
      </c>
      <c r="L192" s="24">
        <v>32935</v>
      </c>
      <c r="M192" s="24">
        <v>52194</v>
      </c>
      <c r="N192" s="24">
        <v>85129</v>
      </c>
      <c r="O192" s="81">
        <v>7031655</v>
      </c>
      <c r="P192" s="364">
        <v>32777</v>
      </c>
      <c r="Q192" s="24">
        <v>51931</v>
      </c>
      <c r="R192" s="24">
        <v>84708</v>
      </c>
      <c r="S192" s="81">
        <v>6996870.1332000159</v>
      </c>
    </row>
    <row r="193" spans="1:19" x14ac:dyDescent="0.45">
      <c r="A193" s="79">
        <v>186</v>
      </c>
      <c r="B193" t="s">
        <v>104</v>
      </c>
      <c r="C193" t="s">
        <v>105</v>
      </c>
      <c r="D193" t="s">
        <v>109</v>
      </c>
      <c r="E193" t="s">
        <v>27</v>
      </c>
      <c r="F193" s="81" t="s">
        <v>3835</v>
      </c>
      <c r="G193" t="s">
        <v>28</v>
      </c>
      <c r="H193" t="s">
        <v>29</v>
      </c>
      <c r="I193" t="s">
        <v>30</v>
      </c>
      <c r="J193" t="s">
        <v>31</v>
      </c>
      <c r="K193" t="s">
        <v>30</v>
      </c>
      <c r="L193" s="24">
        <v>9140</v>
      </c>
      <c r="M193" s="24">
        <v>65413</v>
      </c>
      <c r="N193" s="24">
        <v>74553</v>
      </c>
      <c r="O193" s="81">
        <v>38916666</v>
      </c>
      <c r="P193" s="364">
        <v>9096</v>
      </c>
      <c r="Q193" s="24">
        <v>65084</v>
      </c>
      <c r="R193" s="24">
        <v>74180</v>
      </c>
      <c r="S193" s="81">
        <v>38721802.830245465</v>
      </c>
    </row>
    <row r="194" spans="1:19" x14ac:dyDescent="0.45">
      <c r="A194" s="79">
        <v>187</v>
      </c>
      <c r="B194" t="s">
        <v>104</v>
      </c>
      <c r="C194" t="s">
        <v>105</v>
      </c>
      <c r="D194" t="s">
        <v>109</v>
      </c>
      <c r="E194" t="s">
        <v>27</v>
      </c>
      <c r="F194" s="81" t="s">
        <v>3834</v>
      </c>
      <c r="G194" t="s">
        <v>42</v>
      </c>
      <c r="H194" t="s">
        <v>29</v>
      </c>
      <c r="I194" t="s">
        <v>30</v>
      </c>
      <c r="J194" t="s">
        <v>31</v>
      </c>
      <c r="K194" t="s">
        <v>30</v>
      </c>
      <c r="L194" s="24">
        <v>699</v>
      </c>
      <c r="M194" s="24">
        <v>4999</v>
      </c>
      <c r="N194" s="24">
        <v>5698</v>
      </c>
      <c r="O194" s="81">
        <v>2974356</v>
      </c>
      <c r="P194" s="364">
        <v>696</v>
      </c>
      <c r="Q194" s="24">
        <v>4974</v>
      </c>
      <c r="R194" s="24">
        <v>5670</v>
      </c>
      <c r="S194" s="81">
        <v>2959462.8846069435</v>
      </c>
    </row>
    <row r="195" spans="1:19" x14ac:dyDescent="0.45">
      <c r="A195" s="79">
        <v>188</v>
      </c>
      <c r="B195" t="s">
        <v>104</v>
      </c>
      <c r="C195" t="s">
        <v>105</v>
      </c>
      <c r="D195" t="s">
        <v>110</v>
      </c>
      <c r="E195" t="s">
        <v>27</v>
      </c>
      <c r="F195" s="81" t="s">
        <v>3837</v>
      </c>
      <c r="G195" t="s">
        <v>28</v>
      </c>
      <c r="H195" t="s">
        <v>29</v>
      </c>
      <c r="I195" t="s">
        <v>30</v>
      </c>
      <c r="J195" t="s">
        <v>31</v>
      </c>
      <c r="K195" t="s">
        <v>30</v>
      </c>
      <c r="L195" s="24">
        <v>40900</v>
      </c>
      <c r="M195" s="24">
        <v>39419</v>
      </c>
      <c r="N195" s="24">
        <v>80319</v>
      </c>
      <c r="O195" s="81">
        <v>17485446.5</v>
      </c>
      <c r="P195" s="364">
        <v>40703</v>
      </c>
      <c r="Q195" s="24">
        <v>39221</v>
      </c>
      <c r="R195" s="24">
        <v>79924</v>
      </c>
      <c r="S195" s="81">
        <v>17399435.830115885</v>
      </c>
    </row>
    <row r="196" spans="1:19" x14ac:dyDescent="0.45">
      <c r="A196" s="79">
        <v>189</v>
      </c>
      <c r="B196" t="s">
        <v>104</v>
      </c>
      <c r="C196" t="s">
        <v>105</v>
      </c>
      <c r="D196" t="s">
        <v>110</v>
      </c>
      <c r="E196" t="s">
        <v>27</v>
      </c>
      <c r="F196" s="81" t="s">
        <v>3836</v>
      </c>
      <c r="G196" t="s">
        <v>42</v>
      </c>
      <c r="H196" t="s">
        <v>29</v>
      </c>
      <c r="I196" t="s">
        <v>30</v>
      </c>
      <c r="J196" t="s">
        <v>31</v>
      </c>
      <c r="K196" t="s">
        <v>30</v>
      </c>
      <c r="L196" s="24">
        <v>6825</v>
      </c>
      <c r="M196" s="24">
        <v>6578</v>
      </c>
      <c r="N196" s="24">
        <v>13403</v>
      </c>
      <c r="O196" s="81">
        <v>2917833.5</v>
      </c>
      <c r="P196" s="364">
        <v>6792</v>
      </c>
      <c r="Q196" s="24">
        <v>6545</v>
      </c>
      <c r="R196" s="24">
        <v>13337</v>
      </c>
      <c r="S196" s="81">
        <v>2903480.7138456153</v>
      </c>
    </row>
    <row r="197" spans="1:19" x14ac:dyDescent="0.45">
      <c r="A197" s="79">
        <v>190</v>
      </c>
      <c r="B197" t="s">
        <v>104</v>
      </c>
      <c r="C197" t="s">
        <v>105</v>
      </c>
      <c r="D197" t="s">
        <v>111</v>
      </c>
      <c r="E197" t="s">
        <v>27</v>
      </c>
      <c r="F197" s="81" t="s">
        <v>3839</v>
      </c>
      <c r="G197" t="s">
        <v>28</v>
      </c>
      <c r="H197" t="s">
        <v>29</v>
      </c>
      <c r="I197" t="s">
        <v>30</v>
      </c>
      <c r="J197" t="s">
        <v>31</v>
      </c>
      <c r="K197" t="s">
        <v>30</v>
      </c>
      <c r="L197" s="24">
        <v>39329</v>
      </c>
      <c r="M197" s="24">
        <v>144429</v>
      </c>
      <c r="N197" s="24">
        <v>183758</v>
      </c>
      <c r="O197" s="81">
        <v>37097066</v>
      </c>
      <c r="P197" s="364">
        <v>39140</v>
      </c>
      <c r="Q197" s="24">
        <v>143702</v>
      </c>
      <c r="R197" s="24">
        <v>182842</v>
      </c>
      <c r="S197" s="81">
        <v>36912087.710502654</v>
      </c>
    </row>
    <row r="198" spans="1:19" x14ac:dyDescent="0.45">
      <c r="A198" s="79">
        <v>191</v>
      </c>
      <c r="B198" t="s">
        <v>104</v>
      </c>
      <c r="C198" t="s">
        <v>105</v>
      </c>
      <c r="D198" t="s">
        <v>111</v>
      </c>
      <c r="E198" t="s">
        <v>27</v>
      </c>
      <c r="F198" s="81" t="s">
        <v>3838</v>
      </c>
      <c r="G198" t="s">
        <v>42</v>
      </c>
      <c r="H198" t="s">
        <v>29</v>
      </c>
      <c r="I198" t="s">
        <v>30</v>
      </c>
      <c r="J198" t="s">
        <v>31</v>
      </c>
      <c r="K198" t="s">
        <v>30</v>
      </c>
      <c r="L198" s="24">
        <v>79489</v>
      </c>
      <c r="M198" s="24">
        <v>291913</v>
      </c>
      <c r="N198" s="24">
        <v>371402</v>
      </c>
      <c r="O198" s="81">
        <v>74978635</v>
      </c>
      <c r="P198" s="364">
        <v>79107</v>
      </c>
      <c r="Q198" s="24">
        <v>290443</v>
      </c>
      <c r="R198" s="24">
        <v>369550</v>
      </c>
      <c r="S198" s="81">
        <v>74604766.5959014</v>
      </c>
    </row>
    <row r="199" spans="1:19" x14ac:dyDescent="0.45">
      <c r="A199" s="79">
        <v>192</v>
      </c>
      <c r="B199" t="s">
        <v>104</v>
      </c>
      <c r="C199" t="s">
        <v>105</v>
      </c>
      <c r="D199" t="s">
        <v>112</v>
      </c>
      <c r="E199" t="s">
        <v>35</v>
      </c>
      <c r="F199" s="81" t="s">
        <v>3840</v>
      </c>
      <c r="G199" t="s">
        <v>28</v>
      </c>
      <c r="H199" t="s">
        <v>29</v>
      </c>
      <c r="I199" t="s">
        <v>61</v>
      </c>
      <c r="J199" t="s">
        <v>31</v>
      </c>
      <c r="K199" t="s">
        <v>30</v>
      </c>
      <c r="L199" s="24">
        <v>11121</v>
      </c>
      <c r="M199" s="24"/>
      <c r="N199" s="24">
        <v>11121</v>
      </c>
      <c r="O199" s="81">
        <v>8517574</v>
      </c>
      <c r="P199" s="364">
        <v>11068</v>
      </c>
      <c r="Q199" s="24"/>
      <c r="R199" s="24">
        <v>11068</v>
      </c>
      <c r="S199" s="81">
        <v>8476629.8617359959</v>
      </c>
    </row>
    <row r="200" spans="1:19" x14ac:dyDescent="0.45">
      <c r="A200" s="79">
        <v>193</v>
      </c>
      <c r="B200" t="s">
        <v>104</v>
      </c>
      <c r="C200" t="s">
        <v>105</v>
      </c>
      <c r="D200" t="s">
        <v>113</v>
      </c>
      <c r="E200" t="s">
        <v>35</v>
      </c>
      <c r="F200" s="81" t="s">
        <v>3841</v>
      </c>
      <c r="G200" t="s">
        <v>42</v>
      </c>
      <c r="H200" t="s">
        <v>29</v>
      </c>
      <c r="I200" t="s">
        <v>30</v>
      </c>
      <c r="J200" t="s">
        <v>31</v>
      </c>
      <c r="K200" t="s">
        <v>30</v>
      </c>
      <c r="L200" s="24">
        <v>5433</v>
      </c>
      <c r="M200" s="24">
        <v>96</v>
      </c>
      <c r="N200" s="24">
        <v>5529</v>
      </c>
      <c r="O200" s="81">
        <v>8393022</v>
      </c>
      <c r="P200" s="364">
        <v>5407</v>
      </c>
      <c r="Q200" s="24">
        <v>96</v>
      </c>
      <c r="R200" s="24">
        <v>5503</v>
      </c>
      <c r="S200" s="81">
        <v>8352643.3389365282</v>
      </c>
    </row>
    <row r="201" spans="1:19" x14ac:dyDescent="0.45">
      <c r="A201" s="79">
        <v>194</v>
      </c>
      <c r="B201" t="s">
        <v>104</v>
      </c>
      <c r="C201" t="s">
        <v>105</v>
      </c>
      <c r="D201" t="s">
        <v>114</v>
      </c>
      <c r="E201" t="s">
        <v>35</v>
      </c>
      <c r="F201" s="81" t="s">
        <v>3843</v>
      </c>
      <c r="G201" t="s">
        <v>28</v>
      </c>
      <c r="H201" t="s">
        <v>29</v>
      </c>
      <c r="I201" t="s">
        <v>30</v>
      </c>
      <c r="J201" t="s">
        <v>31</v>
      </c>
      <c r="K201" t="s">
        <v>30</v>
      </c>
      <c r="L201" s="24">
        <v>1085</v>
      </c>
      <c r="M201" s="24">
        <v>15058</v>
      </c>
      <c r="N201" s="24">
        <v>16143</v>
      </c>
      <c r="O201" s="81">
        <v>31084961</v>
      </c>
      <c r="P201" s="364">
        <v>1080</v>
      </c>
      <c r="Q201" s="24">
        <v>14982</v>
      </c>
      <c r="R201" s="24">
        <v>16062</v>
      </c>
      <c r="S201" s="81">
        <v>30928919.889453236</v>
      </c>
    </row>
    <row r="202" spans="1:19" x14ac:dyDescent="0.45">
      <c r="A202" s="79">
        <v>195</v>
      </c>
      <c r="B202" t="s">
        <v>104</v>
      </c>
      <c r="C202" t="s">
        <v>105</v>
      </c>
      <c r="D202" t="s">
        <v>114</v>
      </c>
      <c r="E202" t="s">
        <v>35</v>
      </c>
      <c r="F202" s="81" t="s">
        <v>3842</v>
      </c>
      <c r="G202" t="s">
        <v>42</v>
      </c>
      <c r="H202" t="s">
        <v>29</v>
      </c>
      <c r="I202" t="s">
        <v>30</v>
      </c>
      <c r="J202" t="s">
        <v>31</v>
      </c>
      <c r="K202" t="s">
        <v>30</v>
      </c>
      <c r="L202" s="24">
        <v>18</v>
      </c>
      <c r="M202" s="24">
        <v>245</v>
      </c>
      <c r="N202" s="24">
        <v>263</v>
      </c>
      <c r="O202" s="81">
        <v>506433</v>
      </c>
      <c r="P202" s="364">
        <v>18</v>
      </c>
      <c r="Q202" s="24">
        <v>244</v>
      </c>
      <c r="R202" s="24">
        <v>262</v>
      </c>
      <c r="S202" s="81">
        <v>503890.93628359988</v>
      </c>
    </row>
    <row r="203" spans="1:19" x14ac:dyDescent="0.45">
      <c r="A203" s="79">
        <v>196</v>
      </c>
      <c r="B203" t="s">
        <v>104</v>
      </c>
      <c r="C203" t="s">
        <v>105</v>
      </c>
      <c r="D203" t="s">
        <v>106</v>
      </c>
      <c r="E203" t="s">
        <v>27</v>
      </c>
      <c r="F203" s="81" t="s">
        <v>3897</v>
      </c>
      <c r="G203" t="s">
        <v>28</v>
      </c>
      <c r="H203" t="s">
        <v>29</v>
      </c>
      <c r="I203" t="s">
        <v>61</v>
      </c>
      <c r="J203" t="s">
        <v>36</v>
      </c>
      <c r="K203" t="s">
        <v>30</v>
      </c>
      <c r="L203" s="24"/>
      <c r="M203" s="24"/>
      <c r="N203" s="24">
        <v>50380</v>
      </c>
      <c r="O203" s="81">
        <v>10227140</v>
      </c>
      <c r="P203" s="364"/>
      <c r="Q203" s="24"/>
      <c r="R203" s="24">
        <v>50380</v>
      </c>
      <c r="S203" s="81">
        <v>10227125.909430033</v>
      </c>
    </row>
    <row r="204" spans="1:19" x14ac:dyDescent="0.45">
      <c r="A204" s="79">
        <v>197</v>
      </c>
      <c r="B204" t="s">
        <v>104</v>
      </c>
      <c r="C204" t="s">
        <v>105</v>
      </c>
      <c r="D204" t="s">
        <v>107</v>
      </c>
      <c r="E204" t="s">
        <v>27</v>
      </c>
      <c r="F204" s="81" t="s">
        <v>3898</v>
      </c>
      <c r="G204" t="s">
        <v>28</v>
      </c>
      <c r="H204" t="s">
        <v>29</v>
      </c>
      <c r="I204" t="s">
        <v>30</v>
      </c>
      <c r="J204" t="s">
        <v>36</v>
      </c>
      <c r="K204" t="s">
        <v>30</v>
      </c>
      <c r="L204" s="24"/>
      <c r="M204" s="24"/>
      <c r="N204" s="24">
        <v>5883</v>
      </c>
      <c r="O204" s="81">
        <v>1482516</v>
      </c>
      <c r="P204" s="364"/>
      <c r="Q204" s="24"/>
      <c r="R204" s="24">
        <v>5883</v>
      </c>
      <c r="S204" s="81">
        <v>1482513.9574450506</v>
      </c>
    </row>
    <row r="205" spans="1:19" x14ac:dyDescent="0.45">
      <c r="A205" s="79">
        <v>198</v>
      </c>
      <c r="B205" t="s">
        <v>104</v>
      </c>
      <c r="C205" t="s">
        <v>105</v>
      </c>
      <c r="D205" t="s">
        <v>109</v>
      </c>
      <c r="E205" t="s">
        <v>27</v>
      </c>
      <c r="F205" s="81" t="s">
        <v>3900</v>
      </c>
      <c r="G205" t="s">
        <v>28</v>
      </c>
      <c r="H205" t="s">
        <v>29</v>
      </c>
      <c r="I205" t="s">
        <v>30</v>
      </c>
      <c r="J205" t="s">
        <v>36</v>
      </c>
      <c r="K205" t="s">
        <v>30</v>
      </c>
      <c r="L205" s="24"/>
      <c r="M205" s="24"/>
      <c r="N205" s="24">
        <v>25122</v>
      </c>
      <c r="O205" s="81">
        <v>13113684</v>
      </c>
      <c r="P205" s="364"/>
      <c r="Q205" s="24"/>
      <c r="R205" s="24">
        <v>25122</v>
      </c>
      <c r="S205" s="81">
        <v>13113665.932457956</v>
      </c>
    </row>
    <row r="206" spans="1:19" x14ac:dyDescent="0.45">
      <c r="A206" s="79">
        <v>199</v>
      </c>
      <c r="B206" t="s">
        <v>104</v>
      </c>
      <c r="C206" t="s">
        <v>105</v>
      </c>
      <c r="D206" t="s">
        <v>109</v>
      </c>
      <c r="E206" t="s">
        <v>27</v>
      </c>
      <c r="F206" s="81" t="s">
        <v>3899</v>
      </c>
      <c r="G206" t="s">
        <v>42</v>
      </c>
      <c r="H206" t="s">
        <v>29</v>
      </c>
      <c r="I206" t="s">
        <v>30</v>
      </c>
      <c r="J206" t="s">
        <v>36</v>
      </c>
      <c r="K206" t="s">
        <v>30</v>
      </c>
      <c r="L206" s="24"/>
      <c r="M206" s="24"/>
      <c r="N206" s="24">
        <v>1920</v>
      </c>
      <c r="O206" s="81">
        <v>1002240</v>
      </c>
      <c r="P206" s="364"/>
      <c r="Q206" s="24"/>
      <c r="R206" s="24">
        <v>1920</v>
      </c>
      <c r="S206" s="81">
        <v>1002238.6191513127</v>
      </c>
    </row>
    <row r="207" spans="1:19" x14ac:dyDescent="0.45">
      <c r="A207" s="79">
        <v>200</v>
      </c>
      <c r="B207" t="s">
        <v>104</v>
      </c>
      <c r="C207" t="s">
        <v>105</v>
      </c>
      <c r="D207" t="s">
        <v>110</v>
      </c>
      <c r="E207" t="s">
        <v>27</v>
      </c>
      <c r="F207" s="81" t="s">
        <v>3902</v>
      </c>
      <c r="G207" t="s">
        <v>28</v>
      </c>
      <c r="H207" t="s">
        <v>29</v>
      </c>
      <c r="I207" t="s">
        <v>30</v>
      </c>
      <c r="J207" t="s">
        <v>36</v>
      </c>
      <c r="K207" t="s">
        <v>30</v>
      </c>
      <c r="L207" s="24"/>
      <c r="M207" s="24"/>
      <c r="N207" s="24">
        <v>20760</v>
      </c>
      <c r="O207" s="81">
        <v>4519452</v>
      </c>
      <c r="P207" s="364"/>
      <c r="Q207" s="24"/>
      <c r="R207" s="24">
        <v>20760</v>
      </c>
      <c r="S207" s="81">
        <v>4519445.7732685171</v>
      </c>
    </row>
    <row r="208" spans="1:19" x14ac:dyDescent="0.45">
      <c r="A208" s="79">
        <v>201</v>
      </c>
      <c r="B208" t="s">
        <v>104</v>
      </c>
      <c r="C208" t="s">
        <v>105</v>
      </c>
      <c r="D208" t="s">
        <v>110</v>
      </c>
      <c r="E208" t="s">
        <v>27</v>
      </c>
      <c r="F208" s="81" t="s">
        <v>3901</v>
      </c>
      <c r="G208" t="s">
        <v>42</v>
      </c>
      <c r="H208" t="s">
        <v>29</v>
      </c>
      <c r="I208" t="s">
        <v>30</v>
      </c>
      <c r="J208" t="s">
        <v>36</v>
      </c>
      <c r="K208" t="s">
        <v>30</v>
      </c>
      <c r="L208" s="24"/>
      <c r="M208" s="24"/>
      <c r="N208" s="24">
        <v>3464</v>
      </c>
      <c r="O208" s="81">
        <v>754113</v>
      </c>
      <c r="P208" s="364"/>
      <c r="Q208" s="24"/>
      <c r="R208" s="24">
        <v>3464</v>
      </c>
      <c r="S208" s="81">
        <v>754111.96101138834</v>
      </c>
    </row>
    <row r="209" spans="1:19" x14ac:dyDescent="0.45">
      <c r="A209" s="79">
        <v>202</v>
      </c>
      <c r="B209" t="s">
        <v>104</v>
      </c>
      <c r="C209" t="s">
        <v>105</v>
      </c>
      <c r="D209" t="s">
        <v>113</v>
      </c>
      <c r="E209" t="s">
        <v>27</v>
      </c>
      <c r="F209" s="81" t="s">
        <v>3905</v>
      </c>
      <c r="G209" t="s">
        <v>42</v>
      </c>
      <c r="H209" t="s">
        <v>29</v>
      </c>
      <c r="I209" t="s">
        <v>30</v>
      </c>
      <c r="J209" t="s">
        <v>36</v>
      </c>
      <c r="K209" t="s">
        <v>30</v>
      </c>
      <c r="L209" s="24"/>
      <c r="M209" s="24"/>
      <c r="N209" s="24">
        <v>2245</v>
      </c>
      <c r="O209" s="81">
        <v>3407910</v>
      </c>
      <c r="P209" s="364"/>
      <c r="Q209" s="24"/>
      <c r="R209" s="24">
        <v>2245</v>
      </c>
      <c r="S209" s="81">
        <v>3407905.3047094014</v>
      </c>
    </row>
    <row r="210" spans="1:19" x14ac:dyDescent="0.45">
      <c r="A210" s="79">
        <v>203</v>
      </c>
      <c r="B210" t="s">
        <v>104</v>
      </c>
      <c r="C210" t="s">
        <v>105</v>
      </c>
      <c r="D210" t="s">
        <v>114</v>
      </c>
      <c r="E210" t="s">
        <v>27</v>
      </c>
      <c r="F210" s="81" t="s">
        <v>3907</v>
      </c>
      <c r="G210" t="s">
        <v>28</v>
      </c>
      <c r="H210" t="s">
        <v>29</v>
      </c>
      <c r="I210" t="s">
        <v>61</v>
      </c>
      <c r="J210" t="s">
        <v>36</v>
      </c>
      <c r="K210" t="s">
        <v>30</v>
      </c>
      <c r="L210" s="24"/>
      <c r="M210" s="24"/>
      <c r="N210" s="24">
        <v>2066</v>
      </c>
      <c r="O210" s="81">
        <v>3978290</v>
      </c>
      <c r="P210" s="364"/>
      <c r="Q210" s="24"/>
      <c r="R210" s="24">
        <v>2066</v>
      </c>
      <c r="S210" s="81">
        <v>3978284.5188612272</v>
      </c>
    </row>
    <row r="211" spans="1:19" x14ac:dyDescent="0.45">
      <c r="A211" s="79">
        <v>204</v>
      </c>
      <c r="B211" t="s">
        <v>104</v>
      </c>
      <c r="C211" t="s">
        <v>105</v>
      </c>
      <c r="D211" t="s">
        <v>114</v>
      </c>
      <c r="E211" t="s">
        <v>27</v>
      </c>
      <c r="F211" s="81" t="s">
        <v>3906</v>
      </c>
      <c r="G211" t="s">
        <v>42</v>
      </c>
      <c r="H211" t="s">
        <v>29</v>
      </c>
      <c r="I211" t="s">
        <v>61</v>
      </c>
      <c r="J211" t="s">
        <v>36</v>
      </c>
      <c r="K211" t="s">
        <v>30</v>
      </c>
      <c r="L211" s="24"/>
      <c r="M211" s="24"/>
      <c r="N211" s="24">
        <v>34</v>
      </c>
      <c r="O211" s="81">
        <v>65470</v>
      </c>
      <c r="P211" s="364"/>
      <c r="Q211" s="24"/>
      <c r="R211" s="24">
        <v>34</v>
      </c>
      <c r="S211" s="81">
        <v>65469.909797889173</v>
      </c>
    </row>
    <row r="212" spans="1:19" x14ac:dyDescent="0.45">
      <c r="A212" s="79">
        <v>205</v>
      </c>
      <c r="B212" t="s">
        <v>104</v>
      </c>
      <c r="C212" t="s">
        <v>105</v>
      </c>
      <c r="D212" t="s">
        <v>111</v>
      </c>
      <c r="E212" t="s">
        <v>27</v>
      </c>
      <c r="F212" s="81" t="s">
        <v>3904</v>
      </c>
      <c r="G212" t="s">
        <v>28</v>
      </c>
      <c r="H212" t="s">
        <v>29</v>
      </c>
      <c r="I212" t="s">
        <v>30</v>
      </c>
      <c r="J212" t="s">
        <v>36</v>
      </c>
      <c r="K212" t="s">
        <v>30</v>
      </c>
      <c r="L212" s="24"/>
      <c r="M212" s="24"/>
      <c r="N212" s="24">
        <v>29518</v>
      </c>
      <c r="O212" s="81">
        <v>5959094</v>
      </c>
      <c r="P212" s="364"/>
      <c r="Q212" s="24"/>
      <c r="R212" s="24">
        <v>29518</v>
      </c>
      <c r="S212" s="81">
        <v>5959085.7897837572</v>
      </c>
    </row>
    <row r="213" spans="1:19" x14ac:dyDescent="0.45">
      <c r="A213" s="79">
        <v>206</v>
      </c>
      <c r="B213" t="s">
        <v>104</v>
      </c>
      <c r="C213" t="s">
        <v>105</v>
      </c>
      <c r="D213" t="s">
        <v>111</v>
      </c>
      <c r="E213" t="s">
        <v>27</v>
      </c>
      <c r="F213" s="81" t="s">
        <v>3903</v>
      </c>
      <c r="G213" t="s">
        <v>42</v>
      </c>
      <c r="H213" t="s">
        <v>29</v>
      </c>
      <c r="I213" t="s">
        <v>30</v>
      </c>
      <c r="J213" t="s">
        <v>36</v>
      </c>
      <c r="K213" t="s">
        <v>30</v>
      </c>
      <c r="L213" s="24"/>
      <c r="M213" s="24"/>
      <c r="N213" s="24">
        <v>59660</v>
      </c>
      <c r="O213" s="81">
        <v>12044161</v>
      </c>
      <c r="P213" s="364"/>
      <c r="Q213" s="24"/>
      <c r="R213" s="24">
        <v>59660</v>
      </c>
      <c r="S213" s="81">
        <v>12044144.406006638</v>
      </c>
    </row>
    <row r="214" spans="1:19" x14ac:dyDescent="0.45">
      <c r="A214" s="79">
        <v>207</v>
      </c>
      <c r="B214" t="s">
        <v>104</v>
      </c>
      <c r="C214" t="s">
        <v>105</v>
      </c>
      <c r="D214" t="s">
        <v>108</v>
      </c>
      <c r="E214" t="s">
        <v>35</v>
      </c>
      <c r="F214" s="81" t="s">
        <v>3908</v>
      </c>
      <c r="G214" t="s">
        <v>28</v>
      </c>
      <c r="H214" t="s">
        <v>29</v>
      </c>
      <c r="I214" t="s">
        <v>30</v>
      </c>
      <c r="J214" t="s">
        <v>36</v>
      </c>
      <c r="K214" t="s">
        <v>30</v>
      </c>
      <c r="L214" s="24"/>
      <c r="M214" s="24"/>
      <c r="N214" s="24">
        <v>36693</v>
      </c>
      <c r="O214" s="81">
        <v>3030842</v>
      </c>
      <c r="P214" s="364"/>
      <c r="Q214" s="24"/>
      <c r="R214" s="24">
        <v>36693</v>
      </c>
      <c r="S214" s="81">
        <v>3030837.8242195509</v>
      </c>
    </row>
    <row r="215" spans="1:19" x14ac:dyDescent="0.45">
      <c r="A215" s="79">
        <v>208</v>
      </c>
      <c r="B215" t="s">
        <v>104</v>
      </c>
      <c r="C215" t="s">
        <v>105</v>
      </c>
      <c r="D215" t="s">
        <v>112</v>
      </c>
      <c r="E215" t="s">
        <v>35</v>
      </c>
      <c r="F215" s="81" t="s">
        <v>3909</v>
      </c>
      <c r="G215" t="s">
        <v>28</v>
      </c>
      <c r="H215" t="s">
        <v>29</v>
      </c>
      <c r="I215" t="s">
        <v>30</v>
      </c>
      <c r="J215" t="s">
        <v>36</v>
      </c>
      <c r="K215" t="s">
        <v>30</v>
      </c>
      <c r="L215" s="24"/>
      <c r="M215" s="24"/>
      <c r="N215" s="24">
        <v>8898</v>
      </c>
      <c r="O215" s="81">
        <v>6814978</v>
      </c>
      <c r="P215" s="364"/>
      <c r="Q215" s="24"/>
      <c r="R215" s="24">
        <v>8898</v>
      </c>
      <c r="S215" s="81">
        <v>6814968.6105788779</v>
      </c>
    </row>
    <row r="216" spans="1:19" x14ac:dyDescent="0.45">
      <c r="A216" s="79">
        <v>209</v>
      </c>
      <c r="B216" t="s">
        <v>104</v>
      </c>
      <c r="C216" t="s">
        <v>105</v>
      </c>
      <c r="D216" t="s">
        <v>106</v>
      </c>
      <c r="E216" t="s">
        <v>27</v>
      </c>
      <c r="F216" s="81" t="s">
        <v>3953</v>
      </c>
      <c r="G216" t="s">
        <v>28</v>
      </c>
      <c r="H216" t="s">
        <v>29</v>
      </c>
      <c r="I216" t="s">
        <v>30</v>
      </c>
      <c r="J216" t="s">
        <v>37</v>
      </c>
      <c r="K216" t="s">
        <v>30</v>
      </c>
      <c r="L216" s="24"/>
      <c r="M216" s="24"/>
      <c r="N216" s="24">
        <v>97604</v>
      </c>
      <c r="O216" s="81">
        <v>19813612</v>
      </c>
      <c r="P216" s="364"/>
      <c r="Q216" s="24"/>
      <c r="R216" s="24">
        <v>57204</v>
      </c>
      <c r="S216" s="81">
        <v>11612316.839847669</v>
      </c>
    </row>
    <row r="217" spans="1:19" x14ac:dyDescent="0.45">
      <c r="A217" s="79">
        <v>210</v>
      </c>
      <c r="B217" t="s">
        <v>104</v>
      </c>
      <c r="C217" t="s">
        <v>105</v>
      </c>
      <c r="D217" t="s">
        <v>107</v>
      </c>
      <c r="E217" t="s">
        <v>27</v>
      </c>
      <c r="F217" s="81" t="s">
        <v>3954</v>
      </c>
      <c r="G217" t="s">
        <v>28</v>
      </c>
      <c r="H217" t="s">
        <v>29</v>
      </c>
      <c r="I217" t="s">
        <v>30</v>
      </c>
      <c r="J217" t="s">
        <v>37</v>
      </c>
      <c r="K217" t="s">
        <v>30</v>
      </c>
      <c r="L217" s="24"/>
      <c r="M217" s="24"/>
      <c r="N217" s="24">
        <v>16631</v>
      </c>
      <c r="O217" s="81">
        <v>4191012</v>
      </c>
      <c r="P217" s="364"/>
      <c r="Q217" s="24"/>
      <c r="R217" s="24">
        <v>9747</v>
      </c>
      <c r="S217" s="81">
        <v>2456258.8196237851</v>
      </c>
    </row>
    <row r="218" spans="1:19" x14ac:dyDescent="0.45">
      <c r="A218" s="79">
        <v>211</v>
      </c>
      <c r="B218" t="s">
        <v>104</v>
      </c>
      <c r="C218" t="s">
        <v>105</v>
      </c>
      <c r="D218" t="s">
        <v>108</v>
      </c>
      <c r="E218" t="s">
        <v>27</v>
      </c>
      <c r="F218" s="81" t="s">
        <v>3955</v>
      </c>
      <c r="G218" t="s">
        <v>28</v>
      </c>
      <c r="H218" t="s">
        <v>29</v>
      </c>
      <c r="I218" t="s">
        <v>30</v>
      </c>
      <c r="J218" t="s">
        <v>37</v>
      </c>
      <c r="K218" t="s">
        <v>30</v>
      </c>
      <c r="L218" s="24"/>
      <c r="M218" s="24"/>
      <c r="N218" s="24">
        <v>165149</v>
      </c>
      <c r="O218" s="81">
        <v>13641307</v>
      </c>
      <c r="P218" s="364"/>
      <c r="Q218" s="24"/>
      <c r="R218" s="24">
        <v>96790</v>
      </c>
      <c r="S218" s="81">
        <v>7994866.3067406323</v>
      </c>
    </row>
    <row r="219" spans="1:19" x14ac:dyDescent="0.45">
      <c r="A219" s="79">
        <v>212</v>
      </c>
      <c r="B219" t="s">
        <v>104</v>
      </c>
      <c r="C219" t="s">
        <v>105</v>
      </c>
      <c r="D219" t="s">
        <v>109</v>
      </c>
      <c r="E219" t="s">
        <v>27</v>
      </c>
      <c r="F219" s="81" t="s">
        <v>3957</v>
      </c>
      <c r="G219" t="s">
        <v>28</v>
      </c>
      <c r="H219" t="s">
        <v>29</v>
      </c>
      <c r="I219" t="s">
        <v>30</v>
      </c>
      <c r="J219" t="s">
        <v>37</v>
      </c>
      <c r="K219" t="s">
        <v>30</v>
      </c>
      <c r="L219" s="24"/>
      <c r="M219" s="24"/>
      <c r="N219" s="24">
        <v>116409</v>
      </c>
      <c r="O219" s="81">
        <v>60765498</v>
      </c>
      <c r="P219" s="364"/>
      <c r="Q219" s="24"/>
      <c r="R219" s="24">
        <v>68225</v>
      </c>
      <c r="S219" s="81">
        <v>35613305.423924208</v>
      </c>
    </row>
    <row r="220" spans="1:19" x14ac:dyDescent="0.45">
      <c r="A220" s="79">
        <v>213</v>
      </c>
      <c r="B220" t="s">
        <v>104</v>
      </c>
      <c r="C220" t="s">
        <v>105</v>
      </c>
      <c r="D220" t="s">
        <v>109</v>
      </c>
      <c r="E220" t="s">
        <v>27</v>
      </c>
      <c r="F220" s="81" t="s">
        <v>3956</v>
      </c>
      <c r="G220" t="s">
        <v>42</v>
      </c>
      <c r="H220" t="s">
        <v>29</v>
      </c>
      <c r="I220" t="s">
        <v>30</v>
      </c>
      <c r="J220" t="s">
        <v>37</v>
      </c>
      <c r="K220" t="s">
        <v>30</v>
      </c>
      <c r="L220" s="24"/>
      <c r="M220" s="24"/>
      <c r="N220" s="24">
        <v>8897</v>
      </c>
      <c r="O220" s="81">
        <v>4644234</v>
      </c>
      <c r="P220" s="364"/>
      <c r="Q220" s="24"/>
      <c r="R220" s="24">
        <v>5214</v>
      </c>
      <c r="S220" s="81">
        <v>2721882.1427609008</v>
      </c>
    </row>
    <row r="221" spans="1:19" x14ac:dyDescent="0.45">
      <c r="A221" s="79">
        <v>214</v>
      </c>
      <c r="B221" t="s">
        <v>104</v>
      </c>
      <c r="C221" t="s">
        <v>105</v>
      </c>
      <c r="D221" t="s">
        <v>110</v>
      </c>
      <c r="E221" t="s">
        <v>27</v>
      </c>
      <c r="F221" s="81" t="s">
        <v>3959</v>
      </c>
      <c r="G221" t="s">
        <v>28</v>
      </c>
      <c r="H221" t="s">
        <v>29</v>
      </c>
      <c r="I221" t="s">
        <v>30</v>
      </c>
      <c r="J221" t="s">
        <v>37</v>
      </c>
      <c r="K221" t="s">
        <v>30</v>
      </c>
      <c r="L221" s="24"/>
      <c r="M221" s="24"/>
      <c r="N221" s="24">
        <v>63622</v>
      </c>
      <c r="O221" s="81">
        <v>13850509</v>
      </c>
      <c r="P221" s="364"/>
      <c r="Q221" s="24"/>
      <c r="R221" s="24">
        <v>37287</v>
      </c>
      <c r="S221" s="81">
        <v>8117474.9410234578</v>
      </c>
    </row>
    <row r="222" spans="1:19" x14ac:dyDescent="0.45">
      <c r="A222" s="79">
        <v>215</v>
      </c>
      <c r="B222" t="s">
        <v>104</v>
      </c>
      <c r="C222" t="s">
        <v>105</v>
      </c>
      <c r="D222" t="s">
        <v>110</v>
      </c>
      <c r="E222" t="s">
        <v>27</v>
      </c>
      <c r="F222" s="81" t="s">
        <v>3958</v>
      </c>
      <c r="G222" t="s">
        <v>42</v>
      </c>
      <c r="H222" t="s">
        <v>29</v>
      </c>
      <c r="I222" t="s">
        <v>30</v>
      </c>
      <c r="J222" t="s">
        <v>37</v>
      </c>
      <c r="K222" t="s">
        <v>30</v>
      </c>
      <c r="L222" s="24"/>
      <c r="M222" s="24"/>
      <c r="N222" s="24">
        <v>10616</v>
      </c>
      <c r="O222" s="81">
        <v>2311103</v>
      </c>
      <c r="P222" s="364"/>
      <c r="Q222" s="24"/>
      <c r="R222" s="24">
        <v>6222</v>
      </c>
      <c r="S222" s="81">
        <v>1354486.0112089845</v>
      </c>
    </row>
    <row r="223" spans="1:19" x14ac:dyDescent="0.45">
      <c r="A223" s="79">
        <v>216</v>
      </c>
      <c r="B223" t="s">
        <v>104</v>
      </c>
      <c r="C223" t="s">
        <v>105</v>
      </c>
      <c r="D223" t="s">
        <v>112</v>
      </c>
      <c r="E223" t="s">
        <v>27</v>
      </c>
      <c r="F223" s="81" t="s">
        <v>3960</v>
      </c>
      <c r="G223" t="s">
        <v>28</v>
      </c>
      <c r="H223" t="s">
        <v>29</v>
      </c>
      <c r="I223" t="s">
        <v>30</v>
      </c>
      <c r="J223" t="s">
        <v>37</v>
      </c>
      <c r="K223" t="s">
        <v>30</v>
      </c>
      <c r="L223" s="24"/>
      <c r="M223" s="24"/>
      <c r="N223" s="24">
        <v>8224</v>
      </c>
      <c r="O223" s="81">
        <v>6298762</v>
      </c>
      <c r="P223" s="364"/>
      <c r="Q223" s="24"/>
      <c r="R223" s="24">
        <v>4820</v>
      </c>
      <c r="S223" s="81">
        <v>3691564.1652209894</v>
      </c>
    </row>
    <row r="224" spans="1:19" x14ac:dyDescent="0.45">
      <c r="A224" s="79">
        <v>217</v>
      </c>
      <c r="B224" t="s">
        <v>104</v>
      </c>
      <c r="C224" t="s">
        <v>105</v>
      </c>
      <c r="D224" t="s">
        <v>113</v>
      </c>
      <c r="E224" t="s">
        <v>27</v>
      </c>
      <c r="F224" s="81" t="s">
        <v>3961</v>
      </c>
      <c r="G224" t="s">
        <v>42</v>
      </c>
      <c r="H224" t="s">
        <v>29</v>
      </c>
      <c r="I224" t="s">
        <v>30</v>
      </c>
      <c r="J224" t="s">
        <v>37</v>
      </c>
      <c r="K224" t="s">
        <v>30</v>
      </c>
      <c r="L224" s="24"/>
      <c r="M224" s="24"/>
      <c r="N224" s="24">
        <v>12479</v>
      </c>
      <c r="O224" s="81">
        <v>18943122</v>
      </c>
      <c r="P224" s="364"/>
      <c r="Q224" s="24"/>
      <c r="R224" s="24">
        <v>7314</v>
      </c>
      <c r="S224" s="81">
        <v>11102142.032451672</v>
      </c>
    </row>
    <row r="225" spans="1:19" x14ac:dyDescent="0.45">
      <c r="A225" s="79">
        <v>218</v>
      </c>
      <c r="B225" t="s">
        <v>104</v>
      </c>
      <c r="C225" t="s">
        <v>105</v>
      </c>
      <c r="D225" t="s">
        <v>106</v>
      </c>
      <c r="E225" t="s">
        <v>27</v>
      </c>
      <c r="F225" s="81" t="s">
        <v>4019</v>
      </c>
      <c r="G225" t="s">
        <v>28</v>
      </c>
      <c r="H225" t="s">
        <v>29</v>
      </c>
      <c r="I225" t="s">
        <v>30</v>
      </c>
      <c r="J225" t="s">
        <v>38</v>
      </c>
      <c r="K225" t="s">
        <v>30</v>
      </c>
      <c r="L225" s="24">
        <v>89586</v>
      </c>
      <c r="M225" s="24"/>
      <c r="N225" s="24">
        <v>89586</v>
      </c>
      <c r="O225" s="81">
        <v>18185958</v>
      </c>
      <c r="P225" s="364">
        <v>80796</v>
      </c>
      <c r="Q225" s="24"/>
      <c r="R225" s="24">
        <v>80796</v>
      </c>
      <c r="S225" s="81">
        <v>16401678.121744191</v>
      </c>
    </row>
    <row r="226" spans="1:19" x14ac:dyDescent="0.45">
      <c r="A226" s="79">
        <v>219</v>
      </c>
      <c r="B226" t="s">
        <v>104</v>
      </c>
      <c r="C226" t="s">
        <v>105</v>
      </c>
      <c r="D226" t="s">
        <v>107</v>
      </c>
      <c r="E226" t="s">
        <v>27</v>
      </c>
      <c r="F226" s="81" t="s">
        <v>4020</v>
      </c>
      <c r="G226" t="s">
        <v>28</v>
      </c>
      <c r="H226" t="s">
        <v>29</v>
      </c>
      <c r="I226" t="s">
        <v>61</v>
      </c>
      <c r="J226" t="s">
        <v>38</v>
      </c>
      <c r="K226" t="s">
        <v>30</v>
      </c>
      <c r="L226" s="24">
        <v>6046</v>
      </c>
      <c r="M226" s="24"/>
      <c r="N226" s="24">
        <v>6046</v>
      </c>
      <c r="O226" s="81">
        <v>1523592</v>
      </c>
      <c r="P226" s="364">
        <v>5453</v>
      </c>
      <c r="Q226" s="24"/>
      <c r="R226" s="24">
        <v>5453</v>
      </c>
      <c r="S226" s="81">
        <v>1374107.7359171554</v>
      </c>
    </row>
    <row r="227" spans="1:19" x14ac:dyDescent="0.45">
      <c r="A227" s="79">
        <v>220</v>
      </c>
      <c r="B227" t="s">
        <v>104</v>
      </c>
      <c r="C227" t="s">
        <v>105</v>
      </c>
      <c r="D227" t="s">
        <v>109</v>
      </c>
      <c r="E227" t="s">
        <v>27</v>
      </c>
      <c r="F227" s="81" t="s">
        <v>4022</v>
      </c>
      <c r="G227" t="s">
        <v>28</v>
      </c>
      <c r="H227" t="s">
        <v>29</v>
      </c>
      <c r="I227" t="s">
        <v>61</v>
      </c>
      <c r="J227" t="s">
        <v>38</v>
      </c>
      <c r="K227" t="s">
        <v>30</v>
      </c>
      <c r="L227" s="24">
        <v>7989</v>
      </c>
      <c r="M227" s="24"/>
      <c r="N227" s="24">
        <v>7989</v>
      </c>
      <c r="O227" s="81">
        <v>4170258</v>
      </c>
      <c r="P227" s="364">
        <v>7205</v>
      </c>
      <c r="Q227" s="24"/>
      <c r="R227" s="24">
        <v>7205</v>
      </c>
      <c r="S227" s="81">
        <v>3761101.251890535</v>
      </c>
    </row>
    <row r="228" spans="1:19" x14ac:dyDescent="0.45">
      <c r="A228" s="79">
        <v>221</v>
      </c>
      <c r="B228" t="s">
        <v>104</v>
      </c>
      <c r="C228" t="s">
        <v>105</v>
      </c>
      <c r="D228" t="s">
        <v>109</v>
      </c>
      <c r="E228" t="s">
        <v>27</v>
      </c>
      <c r="F228" s="81" t="s">
        <v>4021</v>
      </c>
      <c r="G228" t="s">
        <v>42</v>
      </c>
      <c r="H228" t="s">
        <v>29</v>
      </c>
      <c r="I228" t="s">
        <v>61</v>
      </c>
      <c r="J228" t="s">
        <v>38</v>
      </c>
      <c r="K228" t="s">
        <v>30</v>
      </c>
      <c r="L228" s="24">
        <v>611</v>
      </c>
      <c r="M228" s="24"/>
      <c r="N228" s="24">
        <v>611</v>
      </c>
      <c r="O228" s="81">
        <v>318942</v>
      </c>
      <c r="P228" s="364">
        <v>551</v>
      </c>
      <c r="Q228" s="24"/>
      <c r="R228" s="24">
        <v>551</v>
      </c>
      <c r="S228" s="81">
        <v>287649.62634937</v>
      </c>
    </row>
    <row r="229" spans="1:19" x14ac:dyDescent="0.45">
      <c r="A229" s="79">
        <v>222</v>
      </c>
      <c r="B229" t="s">
        <v>104</v>
      </c>
      <c r="C229" t="s">
        <v>105</v>
      </c>
      <c r="D229" t="s">
        <v>110</v>
      </c>
      <c r="E229" t="s">
        <v>27</v>
      </c>
      <c r="F229" s="81" t="s">
        <v>4024</v>
      </c>
      <c r="G229" t="s">
        <v>28</v>
      </c>
      <c r="H229" t="s">
        <v>29</v>
      </c>
      <c r="I229" t="s">
        <v>115</v>
      </c>
      <c r="J229" t="s">
        <v>38</v>
      </c>
      <c r="K229" t="s">
        <v>30</v>
      </c>
      <c r="L229" s="24">
        <v>33288</v>
      </c>
      <c r="M229" s="24"/>
      <c r="N229" s="24">
        <v>33288</v>
      </c>
      <c r="O229" s="81">
        <v>7246798</v>
      </c>
      <c r="P229" s="364">
        <v>30022</v>
      </c>
      <c r="Q229" s="24"/>
      <c r="R229" s="24">
        <v>30022</v>
      </c>
      <c r="S229" s="81">
        <v>6535792.5169133013</v>
      </c>
    </row>
    <row r="230" spans="1:19" x14ac:dyDescent="0.45">
      <c r="A230" s="79">
        <v>223</v>
      </c>
      <c r="B230" t="s">
        <v>104</v>
      </c>
      <c r="C230" t="s">
        <v>105</v>
      </c>
      <c r="D230" t="s">
        <v>110</v>
      </c>
      <c r="E230" t="s">
        <v>27</v>
      </c>
      <c r="F230" s="81" t="s">
        <v>4023</v>
      </c>
      <c r="G230" t="s">
        <v>42</v>
      </c>
      <c r="H230" t="s">
        <v>29</v>
      </c>
      <c r="I230" t="s">
        <v>115</v>
      </c>
      <c r="J230" t="s">
        <v>38</v>
      </c>
      <c r="K230" t="s">
        <v>30</v>
      </c>
      <c r="L230" s="24">
        <v>5555</v>
      </c>
      <c r="M230" s="24"/>
      <c r="N230" s="24">
        <v>5555</v>
      </c>
      <c r="O230" s="81">
        <v>1209323.5</v>
      </c>
      <c r="P230" s="364">
        <v>5010</v>
      </c>
      <c r="Q230" s="24"/>
      <c r="R230" s="24">
        <v>5010</v>
      </c>
      <c r="S230" s="81">
        <v>1090673.0782101837</v>
      </c>
    </row>
    <row r="231" spans="1:19" x14ac:dyDescent="0.45">
      <c r="A231" s="79">
        <v>224</v>
      </c>
      <c r="B231" t="s">
        <v>104</v>
      </c>
      <c r="C231" t="s">
        <v>105</v>
      </c>
      <c r="D231" t="s">
        <v>112</v>
      </c>
      <c r="E231" t="s">
        <v>27</v>
      </c>
      <c r="F231" s="81" t="s">
        <v>4027</v>
      </c>
      <c r="G231" t="s">
        <v>28</v>
      </c>
      <c r="H231" t="s">
        <v>29</v>
      </c>
      <c r="I231" t="s">
        <v>30</v>
      </c>
      <c r="J231" t="s">
        <v>38</v>
      </c>
      <c r="K231" t="s">
        <v>30</v>
      </c>
      <c r="L231" s="24">
        <v>12020</v>
      </c>
      <c r="M231" s="24"/>
      <c r="N231" s="24">
        <v>12020</v>
      </c>
      <c r="O231" s="81">
        <v>9206118</v>
      </c>
      <c r="P231" s="364">
        <v>10841</v>
      </c>
      <c r="Q231" s="24"/>
      <c r="R231" s="24">
        <v>10841</v>
      </c>
      <c r="S231" s="81">
        <v>8302877.6480620615</v>
      </c>
    </row>
    <row r="232" spans="1:19" x14ac:dyDescent="0.45">
      <c r="A232" s="79">
        <v>225</v>
      </c>
      <c r="B232" t="s">
        <v>104</v>
      </c>
      <c r="C232" t="s">
        <v>105</v>
      </c>
      <c r="D232" t="s">
        <v>114</v>
      </c>
      <c r="E232" t="s">
        <v>27</v>
      </c>
      <c r="F232" s="81" t="s">
        <v>4029</v>
      </c>
      <c r="G232" t="s">
        <v>28</v>
      </c>
      <c r="H232" t="s">
        <v>29</v>
      </c>
      <c r="I232" t="s">
        <v>30</v>
      </c>
      <c r="J232" t="s">
        <v>38</v>
      </c>
      <c r="K232" t="s">
        <v>30</v>
      </c>
      <c r="L232" s="24">
        <v>1171</v>
      </c>
      <c r="M232" s="24"/>
      <c r="N232" s="24">
        <v>1171</v>
      </c>
      <c r="O232" s="81">
        <v>2254878</v>
      </c>
      <c r="P232" s="364">
        <v>1056</v>
      </c>
      <c r="Q232" s="24"/>
      <c r="R232" s="24">
        <v>1056</v>
      </c>
      <c r="S232" s="81">
        <v>2033645.0331515286</v>
      </c>
    </row>
    <row r="233" spans="1:19" x14ac:dyDescent="0.45">
      <c r="A233" s="79">
        <v>226</v>
      </c>
      <c r="B233" t="s">
        <v>104</v>
      </c>
      <c r="C233" t="s">
        <v>105</v>
      </c>
      <c r="D233" t="s">
        <v>114</v>
      </c>
      <c r="E233" t="s">
        <v>27</v>
      </c>
      <c r="F233" s="81" t="s">
        <v>4028</v>
      </c>
      <c r="G233" t="s">
        <v>42</v>
      </c>
      <c r="H233" t="s">
        <v>29</v>
      </c>
      <c r="I233" t="s">
        <v>30</v>
      </c>
      <c r="J233" t="s">
        <v>38</v>
      </c>
      <c r="K233" t="s">
        <v>30</v>
      </c>
      <c r="L233" s="24">
        <v>19</v>
      </c>
      <c r="M233" s="24"/>
      <c r="N233" s="24">
        <v>19</v>
      </c>
      <c r="O233" s="81">
        <v>36586</v>
      </c>
      <c r="P233" s="364">
        <v>17</v>
      </c>
      <c r="Q233" s="24"/>
      <c r="R233" s="24">
        <v>17</v>
      </c>
      <c r="S233" s="81">
        <v>32996.435808448092</v>
      </c>
    </row>
    <row r="234" spans="1:19" x14ac:dyDescent="0.45">
      <c r="A234" s="79">
        <v>227</v>
      </c>
      <c r="B234" t="s">
        <v>104</v>
      </c>
      <c r="C234" t="s">
        <v>105</v>
      </c>
      <c r="D234" t="s">
        <v>111</v>
      </c>
      <c r="E234" t="s">
        <v>27</v>
      </c>
      <c r="F234" s="81" t="s">
        <v>4026</v>
      </c>
      <c r="G234" t="s">
        <v>28</v>
      </c>
      <c r="H234" t="s">
        <v>29</v>
      </c>
      <c r="I234" t="s">
        <v>30</v>
      </c>
      <c r="J234" t="s">
        <v>38</v>
      </c>
      <c r="K234" t="s">
        <v>30</v>
      </c>
      <c r="L234" s="24">
        <v>23719</v>
      </c>
      <c r="M234" s="24"/>
      <c r="N234" s="24">
        <v>23719</v>
      </c>
      <c r="O234" s="81">
        <v>4788392</v>
      </c>
      <c r="P234" s="364">
        <v>21392</v>
      </c>
      <c r="Q234" s="24"/>
      <c r="R234" s="24">
        <v>21392</v>
      </c>
      <c r="S234" s="81">
        <v>4318588.2374046464</v>
      </c>
    </row>
    <row r="235" spans="1:19" x14ac:dyDescent="0.45">
      <c r="A235" s="79">
        <v>228</v>
      </c>
      <c r="B235" t="s">
        <v>104</v>
      </c>
      <c r="C235" t="s">
        <v>105</v>
      </c>
      <c r="D235" t="s">
        <v>111</v>
      </c>
      <c r="E235" t="s">
        <v>27</v>
      </c>
      <c r="F235" s="81" t="s">
        <v>4025</v>
      </c>
      <c r="G235" t="s">
        <v>42</v>
      </c>
      <c r="H235" t="s">
        <v>29</v>
      </c>
      <c r="I235" t="s">
        <v>30</v>
      </c>
      <c r="J235" t="s">
        <v>38</v>
      </c>
      <c r="K235" t="s">
        <v>30</v>
      </c>
      <c r="L235" s="24">
        <v>47939</v>
      </c>
      <c r="M235" s="24"/>
      <c r="N235" s="24">
        <v>47939</v>
      </c>
      <c r="O235" s="81">
        <v>9677925</v>
      </c>
      <c r="P235" s="364">
        <v>43236</v>
      </c>
      <c r="Q235" s="24"/>
      <c r="R235" s="24">
        <v>43236</v>
      </c>
      <c r="S235" s="81">
        <v>8728394.2224204596</v>
      </c>
    </row>
    <row r="236" spans="1:19" x14ac:dyDescent="0.45">
      <c r="A236" s="79">
        <v>229</v>
      </c>
      <c r="B236" t="s">
        <v>104</v>
      </c>
      <c r="C236" t="s">
        <v>105</v>
      </c>
      <c r="D236" t="s">
        <v>113</v>
      </c>
      <c r="E236" t="s">
        <v>35</v>
      </c>
      <c r="F236" s="81" t="s">
        <v>4030</v>
      </c>
      <c r="G236" t="s">
        <v>42</v>
      </c>
      <c r="H236" t="s">
        <v>29</v>
      </c>
      <c r="I236" t="s">
        <v>61</v>
      </c>
      <c r="J236" t="s">
        <v>38</v>
      </c>
      <c r="K236" t="s">
        <v>30</v>
      </c>
      <c r="L236" s="24">
        <v>7325</v>
      </c>
      <c r="M236" s="24"/>
      <c r="N236" s="24">
        <v>7325</v>
      </c>
      <c r="O236" s="81">
        <v>11119350</v>
      </c>
      <c r="P236" s="364">
        <v>6606</v>
      </c>
      <c r="Q236" s="24"/>
      <c r="R236" s="24">
        <v>6606</v>
      </c>
      <c r="S236" s="81">
        <v>10028396.613640936</v>
      </c>
    </row>
    <row r="237" spans="1:19" x14ac:dyDescent="0.45">
      <c r="A237" s="79">
        <v>230</v>
      </c>
      <c r="B237" t="s">
        <v>116</v>
      </c>
      <c r="C237" t="s">
        <v>117</v>
      </c>
      <c r="D237" t="s">
        <v>118</v>
      </c>
      <c r="E237" t="s">
        <v>27</v>
      </c>
      <c r="F237" s="81" t="s">
        <v>3846</v>
      </c>
      <c r="G237" t="s">
        <v>28</v>
      </c>
      <c r="H237" t="s">
        <v>43</v>
      </c>
      <c r="I237" t="s">
        <v>30</v>
      </c>
      <c r="J237" t="s">
        <v>31</v>
      </c>
      <c r="K237" t="s">
        <v>30</v>
      </c>
      <c r="L237" s="24">
        <v>48312</v>
      </c>
      <c r="M237" s="24">
        <v>188061</v>
      </c>
      <c r="N237" s="24">
        <v>236373</v>
      </c>
      <c r="O237" s="81">
        <v>8980818.6600000001</v>
      </c>
      <c r="P237" s="364">
        <v>47596</v>
      </c>
      <c r="Q237" s="24">
        <v>185826</v>
      </c>
      <c r="R237" s="24">
        <v>233422</v>
      </c>
      <c r="S237" s="81">
        <v>8868678.6038434915</v>
      </c>
    </row>
    <row r="238" spans="1:19" x14ac:dyDescent="0.45">
      <c r="A238" s="79">
        <v>231</v>
      </c>
      <c r="B238" t="s">
        <v>116</v>
      </c>
      <c r="C238" t="s">
        <v>117</v>
      </c>
      <c r="D238" t="s">
        <v>118</v>
      </c>
      <c r="E238" t="s">
        <v>27</v>
      </c>
      <c r="F238" s="81" t="s">
        <v>3845</v>
      </c>
      <c r="G238" t="s">
        <v>42</v>
      </c>
      <c r="H238" t="s">
        <v>29</v>
      </c>
      <c r="I238" t="s">
        <v>30</v>
      </c>
      <c r="J238" t="s">
        <v>31</v>
      </c>
      <c r="K238" t="s">
        <v>30</v>
      </c>
      <c r="L238" s="24">
        <v>12078</v>
      </c>
      <c r="M238" s="24">
        <v>47015</v>
      </c>
      <c r="N238" s="24">
        <v>59093</v>
      </c>
      <c r="O238" s="81">
        <v>1240973.82</v>
      </c>
      <c r="P238" s="364">
        <v>11899</v>
      </c>
      <c r="Q238" s="24">
        <v>46456</v>
      </c>
      <c r="R238" s="24">
        <v>58355</v>
      </c>
      <c r="S238" s="81">
        <v>1225458.9634610461</v>
      </c>
    </row>
    <row r="239" spans="1:19" x14ac:dyDescent="0.45">
      <c r="A239" s="79">
        <v>232</v>
      </c>
      <c r="B239" t="s">
        <v>116</v>
      </c>
      <c r="C239" t="s">
        <v>117</v>
      </c>
      <c r="D239" t="s">
        <v>119</v>
      </c>
      <c r="E239" t="s">
        <v>27</v>
      </c>
      <c r="F239" s="81" t="s">
        <v>3844</v>
      </c>
      <c r="G239" t="s">
        <v>28</v>
      </c>
      <c r="H239" t="s">
        <v>43</v>
      </c>
      <c r="I239" t="s">
        <v>30</v>
      </c>
      <c r="J239" t="s">
        <v>31</v>
      </c>
      <c r="K239" t="s">
        <v>30</v>
      </c>
      <c r="L239" s="24">
        <v>483137</v>
      </c>
      <c r="M239" s="24">
        <v>1880614</v>
      </c>
      <c r="N239" s="24">
        <v>2363751</v>
      </c>
      <c r="O239" s="81">
        <v>52447390.275999993</v>
      </c>
      <c r="P239" s="364">
        <v>475976</v>
      </c>
      <c r="Q239" s="24">
        <v>1858260</v>
      </c>
      <c r="R239" s="24">
        <v>2334236</v>
      </c>
      <c r="S239" s="81">
        <v>51792498.863987461</v>
      </c>
    </row>
    <row r="240" spans="1:19" x14ac:dyDescent="0.45">
      <c r="A240" s="79">
        <v>233</v>
      </c>
      <c r="B240" t="s">
        <v>116</v>
      </c>
      <c r="C240" t="s">
        <v>117</v>
      </c>
      <c r="D240" t="s">
        <v>120</v>
      </c>
      <c r="E240" t="s">
        <v>35</v>
      </c>
      <c r="F240" s="81" t="s">
        <v>3847</v>
      </c>
      <c r="G240" t="s">
        <v>28</v>
      </c>
      <c r="H240" t="s">
        <v>43</v>
      </c>
      <c r="I240" t="s">
        <v>61</v>
      </c>
      <c r="J240" t="s">
        <v>31</v>
      </c>
      <c r="K240" t="s">
        <v>30</v>
      </c>
      <c r="L240" s="24">
        <v>289884</v>
      </c>
      <c r="M240" s="24">
        <v>1128368</v>
      </c>
      <c r="N240" s="24">
        <v>1418252</v>
      </c>
      <c r="O240" s="81">
        <v>55925975.120000005</v>
      </c>
      <c r="P240" s="364">
        <v>285587</v>
      </c>
      <c r="Q240" s="24">
        <v>1114955</v>
      </c>
      <c r="R240" s="24">
        <v>1400542</v>
      </c>
      <c r="S240" s="81">
        <v>55227647.719549105</v>
      </c>
    </row>
    <row r="241" spans="1:19" x14ac:dyDescent="0.45">
      <c r="A241" s="79">
        <v>234</v>
      </c>
      <c r="B241" t="s">
        <v>116</v>
      </c>
      <c r="C241" t="s">
        <v>117</v>
      </c>
      <c r="D241" t="s">
        <v>121</v>
      </c>
      <c r="E241" t="s">
        <v>35</v>
      </c>
      <c r="F241" s="81" t="s">
        <v>3849</v>
      </c>
      <c r="G241" t="s">
        <v>28</v>
      </c>
      <c r="H241" t="s">
        <v>43</v>
      </c>
      <c r="I241" t="s">
        <v>61</v>
      </c>
      <c r="J241" t="s">
        <v>31</v>
      </c>
      <c r="K241" t="s">
        <v>30</v>
      </c>
      <c r="L241" s="24">
        <v>386512</v>
      </c>
      <c r="M241" s="24">
        <v>1504491</v>
      </c>
      <c r="N241" s="24">
        <v>1891003</v>
      </c>
      <c r="O241" s="81">
        <v>51057081.329999998</v>
      </c>
      <c r="P241" s="364">
        <v>380783</v>
      </c>
      <c r="Q241" s="24">
        <v>1486608</v>
      </c>
      <c r="R241" s="24">
        <v>1867391</v>
      </c>
      <c r="S241" s="81">
        <v>50419550.048709989</v>
      </c>
    </row>
    <row r="242" spans="1:19" x14ac:dyDescent="0.45">
      <c r="A242" s="79">
        <v>235</v>
      </c>
      <c r="B242" t="s">
        <v>116</v>
      </c>
      <c r="C242" t="s">
        <v>117</v>
      </c>
      <c r="D242" t="s">
        <v>122</v>
      </c>
      <c r="E242" t="s">
        <v>35</v>
      </c>
      <c r="F242" s="81" t="s">
        <v>3848</v>
      </c>
      <c r="G242" t="s">
        <v>28</v>
      </c>
      <c r="H242" t="s">
        <v>29</v>
      </c>
      <c r="I242" t="s">
        <v>61</v>
      </c>
      <c r="J242" t="s">
        <v>31</v>
      </c>
      <c r="K242" t="s">
        <v>30</v>
      </c>
      <c r="L242" s="24">
        <v>96628</v>
      </c>
      <c r="M242" s="24">
        <v>376123</v>
      </c>
      <c r="N242" s="24">
        <v>472751</v>
      </c>
      <c r="O242" s="81">
        <v>26474003</v>
      </c>
      <c r="P242" s="364">
        <v>95195</v>
      </c>
      <c r="Q242" s="24">
        <v>371652</v>
      </c>
      <c r="R242" s="24">
        <v>466847</v>
      </c>
      <c r="S242" s="81">
        <v>26143483.151729941</v>
      </c>
    </row>
    <row r="243" spans="1:19" x14ac:dyDescent="0.45">
      <c r="A243" s="79">
        <v>236</v>
      </c>
      <c r="B243" t="s">
        <v>116</v>
      </c>
      <c r="C243" t="s">
        <v>117</v>
      </c>
      <c r="D243" t="s">
        <v>118</v>
      </c>
      <c r="E243" t="s">
        <v>27</v>
      </c>
      <c r="F243" s="81" t="s">
        <v>3910</v>
      </c>
      <c r="G243" t="s">
        <v>28</v>
      </c>
      <c r="H243" t="s">
        <v>43</v>
      </c>
      <c r="I243" t="s">
        <v>30</v>
      </c>
      <c r="J243" t="s">
        <v>36</v>
      </c>
      <c r="K243" t="s">
        <v>30</v>
      </c>
      <c r="L243" s="24"/>
      <c r="M243" s="24"/>
      <c r="N243" s="24">
        <v>50424</v>
      </c>
      <c r="O243" s="81">
        <v>1764840.2</v>
      </c>
      <c r="P243" s="364"/>
      <c r="Q243" s="24"/>
      <c r="R243" s="24">
        <v>50424</v>
      </c>
      <c r="S243" s="81">
        <v>1764840.2</v>
      </c>
    </row>
    <row r="244" spans="1:19" x14ac:dyDescent="0.45">
      <c r="A244" s="79">
        <v>237</v>
      </c>
      <c r="B244" t="s">
        <v>116</v>
      </c>
      <c r="C244" t="s">
        <v>117</v>
      </c>
      <c r="D244" t="s">
        <v>122</v>
      </c>
      <c r="E244" t="s">
        <v>35</v>
      </c>
      <c r="F244" s="81" t="s">
        <v>3911</v>
      </c>
      <c r="G244" t="s">
        <v>28</v>
      </c>
      <c r="H244" t="s">
        <v>43</v>
      </c>
      <c r="I244" t="s">
        <v>61</v>
      </c>
      <c r="J244" t="s">
        <v>36</v>
      </c>
      <c r="K244" t="s">
        <v>30</v>
      </c>
      <c r="L244" s="24"/>
      <c r="M244" s="24"/>
      <c r="N244" s="24">
        <v>100848</v>
      </c>
      <c r="O244" s="81">
        <v>5647487.8399999999</v>
      </c>
      <c r="P244" s="364"/>
      <c r="Q244" s="24"/>
      <c r="R244" s="24">
        <v>100848</v>
      </c>
      <c r="S244" s="81">
        <v>5647487.8399999999</v>
      </c>
    </row>
    <row r="245" spans="1:19" x14ac:dyDescent="0.45">
      <c r="A245" s="79">
        <v>238</v>
      </c>
      <c r="B245" t="s">
        <v>116</v>
      </c>
      <c r="C245" t="s">
        <v>117</v>
      </c>
      <c r="D245" t="s">
        <v>118</v>
      </c>
      <c r="E245" t="s">
        <v>27</v>
      </c>
      <c r="F245" s="81" t="s">
        <v>3963</v>
      </c>
      <c r="G245" t="s">
        <v>28</v>
      </c>
      <c r="H245" t="s">
        <v>43</v>
      </c>
      <c r="I245" t="s">
        <v>30</v>
      </c>
      <c r="J245" t="s">
        <v>37</v>
      </c>
      <c r="K245" t="s">
        <v>30</v>
      </c>
      <c r="L245" s="24"/>
      <c r="M245" s="24"/>
      <c r="N245" s="24">
        <v>176882</v>
      </c>
      <c r="O245" s="81">
        <v>5974189.0999999996</v>
      </c>
      <c r="P245" s="364"/>
      <c r="Q245" s="24"/>
      <c r="R245" s="24">
        <v>103246</v>
      </c>
      <c r="S245" s="81">
        <v>3487139.0997722037</v>
      </c>
    </row>
    <row r="246" spans="1:19" x14ac:dyDescent="0.45">
      <c r="A246" s="79">
        <v>239</v>
      </c>
      <c r="B246" t="s">
        <v>116</v>
      </c>
      <c r="C246" t="s">
        <v>117</v>
      </c>
      <c r="D246" t="s">
        <v>119</v>
      </c>
      <c r="E246" t="s">
        <v>27</v>
      </c>
      <c r="F246" s="81" t="s">
        <v>3962</v>
      </c>
      <c r="G246" t="s">
        <v>28</v>
      </c>
      <c r="H246" t="s">
        <v>43</v>
      </c>
      <c r="I246" t="s">
        <v>30</v>
      </c>
      <c r="J246" t="s">
        <v>37</v>
      </c>
      <c r="K246" t="s">
        <v>30</v>
      </c>
      <c r="L246" s="24"/>
      <c r="M246" s="24"/>
      <c r="N246" s="24">
        <v>884410</v>
      </c>
      <c r="O246" s="81">
        <v>19729418.600000001</v>
      </c>
      <c r="P246" s="364"/>
      <c r="Q246" s="24"/>
      <c r="R246" s="24">
        <v>516231</v>
      </c>
      <c r="S246" s="81">
        <v>11516077.89178166</v>
      </c>
    </row>
    <row r="247" spans="1:19" x14ac:dyDescent="0.45">
      <c r="A247" s="79">
        <v>240</v>
      </c>
      <c r="B247" t="s">
        <v>116</v>
      </c>
      <c r="C247" t="s">
        <v>117</v>
      </c>
      <c r="D247" t="s">
        <v>120</v>
      </c>
      <c r="E247" t="s">
        <v>35</v>
      </c>
      <c r="F247" s="81" t="s">
        <v>3964</v>
      </c>
      <c r="G247" t="s">
        <v>28</v>
      </c>
      <c r="H247" t="s">
        <v>43</v>
      </c>
      <c r="I247" t="s">
        <v>61</v>
      </c>
      <c r="J247" t="s">
        <v>37</v>
      </c>
      <c r="K247" t="s">
        <v>30</v>
      </c>
      <c r="L247" s="24"/>
      <c r="M247" s="24"/>
      <c r="N247" s="24">
        <v>884410</v>
      </c>
      <c r="O247" s="81">
        <v>38714715.600000001</v>
      </c>
      <c r="P247" s="364"/>
      <c r="Q247" s="24"/>
      <c r="R247" s="24">
        <v>516231</v>
      </c>
      <c r="S247" s="81">
        <v>22597811.392565541</v>
      </c>
    </row>
    <row r="248" spans="1:19" x14ac:dyDescent="0.45">
      <c r="A248" s="79">
        <v>241</v>
      </c>
      <c r="B248" t="s">
        <v>116</v>
      </c>
      <c r="C248" t="s">
        <v>117</v>
      </c>
      <c r="D248" t="s">
        <v>121</v>
      </c>
      <c r="E248" t="s">
        <v>35</v>
      </c>
      <c r="F248" s="81" t="s">
        <v>3966</v>
      </c>
      <c r="G248" t="s">
        <v>28</v>
      </c>
      <c r="H248" t="s">
        <v>43</v>
      </c>
      <c r="I248" t="s">
        <v>61</v>
      </c>
      <c r="J248" t="s">
        <v>37</v>
      </c>
      <c r="K248" t="s">
        <v>30</v>
      </c>
      <c r="L248" s="24"/>
      <c r="M248" s="24"/>
      <c r="N248" s="24">
        <v>884410</v>
      </c>
      <c r="O248" s="81">
        <v>22547641.100000001</v>
      </c>
      <c r="P248" s="364"/>
      <c r="Q248" s="24"/>
      <c r="R248" s="24">
        <v>516231</v>
      </c>
      <c r="S248" s="81">
        <v>13161076.686949989</v>
      </c>
    </row>
    <row r="249" spans="1:19" x14ac:dyDescent="0.45">
      <c r="A249" s="79">
        <v>242</v>
      </c>
      <c r="B249" t="s">
        <v>116</v>
      </c>
      <c r="C249" t="s">
        <v>117</v>
      </c>
      <c r="D249" t="s">
        <v>122</v>
      </c>
      <c r="E249" t="s">
        <v>35</v>
      </c>
      <c r="F249" s="81" t="s">
        <v>3965</v>
      </c>
      <c r="G249" t="s">
        <v>28</v>
      </c>
      <c r="H249" t="s">
        <v>43</v>
      </c>
      <c r="I249" t="s">
        <v>61</v>
      </c>
      <c r="J249" t="s">
        <v>37</v>
      </c>
      <c r="K249" t="s">
        <v>30</v>
      </c>
      <c r="L249" s="24"/>
      <c r="M249" s="24"/>
      <c r="N249" s="24">
        <v>176883</v>
      </c>
      <c r="O249" s="81">
        <v>9917469.6400000006</v>
      </c>
      <c r="P249" s="364"/>
      <c r="Q249" s="24"/>
      <c r="R249" s="24">
        <v>103247</v>
      </c>
      <c r="S249" s="81">
        <v>5788835.1998177888</v>
      </c>
    </row>
    <row r="250" spans="1:19" x14ac:dyDescent="0.45">
      <c r="A250" s="79">
        <v>243</v>
      </c>
      <c r="B250" t="s">
        <v>116</v>
      </c>
      <c r="C250" t="s">
        <v>117</v>
      </c>
      <c r="D250" t="s">
        <v>118</v>
      </c>
      <c r="E250" t="s">
        <v>27</v>
      </c>
      <c r="F250" s="81" t="s">
        <v>4031</v>
      </c>
      <c r="G250" t="s">
        <v>28</v>
      </c>
      <c r="H250" t="s">
        <v>43</v>
      </c>
      <c r="I250" t="s">
        <v>30</v>
      </c>
      <c r="J250" t="s">
        <v>38</v>
      </c>
      <c r="K250" t="s">
        <v>30</v>
      </c>
      <c r="L250" s="24">
        <v>514363</v>
      </c>
      <c r="M250" s="24"/>
      <c r="N250" s="24">
        <v>514363</v>
      </c>
      <c r="O250" s="81">
        <v>1028726.18</v>
      </c>
      <c r="P250" s="364">
        <v>265937</v>
      </c>
      <c r="Q250" s="24"/>
      <c r="R250" s="24">
        <v>265937</v>
      </c>
      <c r="S250" s="81">
        <v>531873.78285087622</v>
      </c>
    </row>
    <row r="251" spans="1:19" x14ac:dyDescent="0.45">
      <c r="A251" s="79">
        <v>244</v>
      </c>
      <c r="B251" t="s">
        <v>116</v>
      </c>
      <c r="C251" t="s">
        <v>117</v>
      </c>
      <c r="D251" t="s">
        <v>122</v>
      </c>
      <c r="E251" t="s">
        <v>35</v>
      </c>
      <c r="F251" s="81" t="s">
        <v>4032</v>
      </c>
      <c r="G251" t="s">
        <v>28</v>
      </c>
      <c r="H251" t="s">
        <v>43</v>
      </c>
      <c r="I251" t="s">
        <v>61</v>
      </c>
      <c r="J251" t="s">
        <v>38</v>
      </c>
      <c r="K251" t="s">
        <v>30</v>
      </c>
      <c r="L251" s="24">
        <v>308618</v>
      </c>
      <c r="M251" s="24"/>
      <c r="N251" s="24">
        <v>308618</v>
      </c>
      <c r="O251" s="81">
        <v>17282606.439999998</v>
      </c>
      <c r="P251" s="364">
        <v>159562</v>
      </c>
      <c r="Q251" s="24"/>
      <c r="R251" s="24">
        <v>159562</v>
      </c>
      <c r="S251" s="81">
        <v>8935482.9725104421</v>
      </c>
    </row>
    <row r="252" spans="1:19" x14ac:dyDescent="0.45">
      <c r="A252" s="79">
        <v>245</v>
      </c>
      <c r="B252" t="s">
        <v>151</v>
      </c>
      <c r="C252" t="s">
        <v>4217</v>
      </c>
      <c r="D252" t="s">
        <v>123</v>
      </c>
      <c r="E252" t="s">
        <v>27</v>
      </c>
      <c r="F252" s="81" t="s">
        <v>3797</v>
      </c>
      <c r="G252" t="s">
        <v>42</v>
      </c>
      <c r="H252" t="s">
        <v>43</v>
      </c>
      <c r="I252" t="s">
        <v>30</v>
      </c>
      <c r="J252" t="s">
        <v>31</v>
      </c>
      <c r="K252" t="s">
        <v>30</v>
      </c>
      <c r="L252" s="24">
        <v>216597</v>
      </c>
      <c r="M252" s="24">
        <v>621422</v>
      </c>
      <c r="N252" s="24">
        <v>838019</v>
      </c>
      <c r="O252" s="81">
        <v>339726181.68761998</v>
      </c>
      <c r="P252" s="364">
        <v>216345</v>
      </c>
      <c r="Q252" s="24">
        <v>615663</v>
      </c>
      <c r="R252" s="24">
        <v>832008</v>
      </c>
      <c r="S252" s="81">
        <v>339726181.68761998</v>
      </c>
    </row>
    <row r="253" spans="1:19" x14ac:dyDescent="0.45">
      <c r="A253" s="79">
        <v>246</v>
      </c>
      <c r="B253" t="s">
        <v>151</v>
      </c>
      <c r="C253" t="s">
        <v>4217</v>
      </c>
      <c r="D253" t="s">
        <v>124</v>
      </c>
      <c r="E253" t="s">
        <v>35</v>
      </c>
      <c r="F253" s="81" t="s">
        <v>3798</v>
      </c>
      <c r="G253" t="s">
        <v>42</v>
      </c>
      <c r="H253" t="s">
        <v>29</v>
      </c>
      <c r="I253" t="s">
        <v>30</v>
      </c>
      <c r="J253" t="s">
        <v>31</v>
      </c>
      <c r="K253" t="s">
        <v>125</v>
      </c>
      <c r="L253" s="24"/>
      <c r="M253" s="24"/>
      <c r="N253" s="24"/>
      <c r="O253" s="81">
        <v>416250</v>
      </c>
      <c r="P253" s="364"/>
      <c r="Q253" s="24"/>
      <c r="R253" s="24"/>
      <c r="S253" s="81">
        <v>416250</v>
      </c>
    </row>
    <row r="254" spans="1:19" x14ac:dyDescent="0.45">
      <c r="A254" s="79">
        <v>247</v>
      </c>
      <c r="B254" t="s">
        <v>151</v>
      </c>
      <c r="C254" t="s">
        <v>4217</v>
      </c>
      <c r="D254" t="s">
        <v>126</v>
      </c>
      <c r="E254" t="s">
        <v>27</v>
      </c>
      <c r="F254" s="81" t="s">
        <v>3863</v>
      </c>
      <c r="G254" t="s">
        <v>42</v>
      </c>
      <c r="H254" t="s">
        <v>43</v>
      </c>
      <c r="I254" t="s">
        <v>30</v>
      </c>
      <c r="J254" t="s">
        <v>36</v>
      </c>
      <c r="K254" t="s">
        <v>30</v>
      </c>
      <c r="L254" s="24"/>
      <c r="M254" s="24"/>
      <c r="N254" s="24">
        <v>300000</v>
      </c>
      <c r="O254" s="81">
        <v>98934300</v>
      </c>
      <c r="P254" s="364"/>
      <c r="Q254" s="24"/>
      <c r="R254" s="24">
        <v>300000</v>
      </c>
      <c r="S254" s="81">
        <v>98934300</v>
      </c>
    </row>
    <row r="255" spans="1:19" x14ac:dyDescent="0.45">
      <c r="A255" s="79">
        <v>248</v>
      </c>
      <c r="B255" t="s">
        <v>151</v>
      </c>
      <c r="C255" t="s">
        <v>4217</v>
      </c>
      <c r="D255" t="s">
        <v>127</v>
      </c>
      <c r="E255" t="s">
        <v>27</v>
      </c>
      <c r="F255" s="81" t="s">
        <v>3923</v>
      </c>
      <c r="G255" t="s">
        <v>42</v>
      </c>
      <c r="H255" t="s">
        <v>43</v>
      </c>
      <c r="I255" t="s">
        <v>30</v>
      </c>
      <c r="J255" t="s">
        <v>37</v>
      </c>
      <c r="K255" t="s">
        <v>30</v>
      </c>
      <c r="L255" s="24"/>
      <c r="M255" s="24"/>
      <c r="N255" s="24">
        <v>338340</v>
      </c>
      <c r="O255" s="81">
        <v>111578103.54000002</v>
      </c>
      <c r="P255" s="364"/>
      <c r="Q255" s="24"/>
      <c r="R255" s="24">
        <v>276995</v>
      </c>
      <c r="S255" s="81">
        <v>91347754.051200017</v>
      </c>
    </row>
    <row r="256" spans="1:19" x14ac:dyDescent="0.45">
      <c r="A256" s="79">
        <v>249</v>
      </c>
      <c r="B256" t="s">
        <v>151</v>
      </c>
      <c r="C256" t="s">
        <v>4217</v>
      </c>
      <c r="D256" t="s">
        <v>128</v>
      </c>
      <c r="E256" t="s">
        <v>27</v>
      </c>
      <c r="F256" s="81" t="s">
        <v>3978</v>
      </c>
      <c r="G256" t="s">
        <v>42</v>
      </c>
      <c r="H256" t="s">
        <v>43</v>
      </c>
      <c r="I256" t="s">
        <v>30</v>
      </c>
      <c r="J256" t="s">
        <v>38</v>
      </c>
      <c r="K256" t="s">
        <v>30</v>
      </c>
      <c r="L256" s="24">
        <v>84010</v>
      </c>
      <c r="M256" s="24"/>
      <c r="N256" s="24">
        <v>84010</v>
      </c>
      <c r="O256" s="81">
        <v>15934656.609468762</v>
      </c>
      <c r="P256" s="364">
        <v>29604</v>
      </c>
      <c r="Q256" s="24"/>
      <c r="R256" s="24">
        <v>29604</v>
      </c>
      <c r="S256" s="81">
        <v>5615159.7936759098</v>
      </c>
    </row>
    <row r="257" spans="1:19" x14ac:dyDescent="0.45">
      <c r="A257" s="79">
        <v>250</v>
      </c>
      <c r="B257" t="s">
        <v>129</v>
      </c>
      <c r="C257" t="s">
        <v>130</v>
      </c>
      <c r="D257" t="s">
        <v>129</v>
      </c>
      <c r="E257" t="s">
        <v>131</v>
      </c>
      <c r="F257" s="81" t="s">
        <v>4248</v>
      </c>
      <c r="G257" t="s">
        <v>131</v>
      </c>
      <c r="H257" t="s">
        <v>131</v>
      </c>
      <c r="I257" t="s">
        <v>131</v>
      </c>
      <c r="J257" t="s">
        <v>4251</v>
      </c>
      <c r="K257" t="s">
        <v>131</v>
      </c>
      <c r="L257" s="24"/>
      <c r="M257" s="24"/>
      <c r="N257" s="24"/>
      <c r="O257" s="81">
        <v>22534095</v>
      </c>
      <c r="P257" s="364"/>
      <c r="Q257" s="24"/>
      <c r="R257" s="24"/>
      <c r="S257" s="81">
        <v>22534095</v>
      </c>
    </row>
    <row r="258" spans="1:19" x14ac:dyDescent="0.45">
      <c r="A258" s="79">
        <v>251</v>
      </c>
      <c r="B258" t="s">
        <v>132</v>
      </c>
      <c r="C258" t="s">
        <v>133</v>
      </c>
      <c r="D258" t="s">
        <v>134</v>
      </c>
      <c r="E258" t="s">
        <v>131</v>
      </c>
      <c r="F258" s="81" t="s">
        <v>4249</v>
      </c>
      <c r="G258" t="s">
        <v>131</v>
      </c>
      <c r="H258" t="s">
        <v>131</v>
      </c>
      <c r="I258" t="s">
        <v>131</v>
      </c>
      <c r="J258" t="s">
        <v>4251</v>
      </c>
      <c r="K258" t="s">
        <v>131</v>
      </c>
      <c r="L258" s="24"/>
      <c r="M258" s="24"/>
      <c r="N258" s="24"/>
      <c r="O258" s="81">
        <v>856000</v>
      </c>
      <c r="P258" s="364"/>
      <c r="Q258" s="24"/>
      <c r="R258" s="24"/>
      <c r="S258" s="81">
        <v>856000</v>
      </c>
    </row>
    <row r="259" spans="1:19" x14ac:dyDescent="0.45">
      <c r="A259" s="79">
        <v>252</v>
      </c>
      <c r="B259" t="s">
        <v>135</v>
      </c>
      <c r="C259" t="s">
        <v>136</v>
      </c>
      <c r="D259" t="s">
        <v>137</v>
      </c>
      <c r="E259" t="s">
        <v>131</v>
      </c>
      <c r="F259" s="81" t="s">
        <v>4250</v>
      </c>
      <c r="G259" t="s">
        <v>131</v>
      </c>
      <c r="H259" t="s">
        <v>131</v>
      </c>
      <c r="I259" t="s">
        <v>131</v>
      </c>
      <c r="J259" t="s">
        <v>4251</v>
      </c>
      <c r="K259" t="s">
        <v>131</v>
      </c>
      <c r="L259" s="24"/>
      <c r="M259" s="24"/>
      <c r="N259" s="24"/>
      <c r="O259" s="81">
        <v>3700000</v>
      </c>
      <c r="P259" s="364"/>
      <c r="Q259" s="24"/>
      <c r="R259" s="24"/>
      <c r="S259" s="81">
        <v>3700000</v>
      </c>
    </row>
  </sheetData>
  <mergeCells count="13">
    <mergeCell ref="L5:N5"/>
    <mergeCell ref="P5:R5"/>
    <mergeCell ref="K5:K6"/>
    <mergeCell ref="D5:D6"/>
    <mergeCell ref="C5:C6"/>
    <mergeCell ref="A5:A6"/>
    <mergeCell ref="J5:J6"/>
    <mergeCell ref="I5:I6"/>
    <mergeCell ref="E5:E6"/>
    <mergeCell ref="B5:B6"/>
    <mergeCell ref="G5:G6"/>
    <mergeCell ref="H5:H6"/>
    <mergeCell ref="F5:F6"/>
  </mergeCells>
  <phoneticPr fontId="2" type="noConversion"/>
  <conditionalFormatting sqref="F8:F259">
    <cfRule type="duplicateValues" dxfId="4" priority="7"/>
  </conditionalFormatting>
  <pageMargins left="0.7" right="0.7" top="0.75" bottom="0.75" header="0.3" footer="0.3"/>
  <pageSetup paperSize="9"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45A4A-71F1-433A-8ED5-7F709425D3CE}">
  <sheetPr codeName="Sheet13"/>
  <dimension ref="A1:DM17"/>
  <sheetViews>
    <sheetView showGridLines="0" zoomScale="106" zoomScaleNormal="106" zoomScaleSheetLayoutView="100" workbookViewId="0">
      <pane xSplit="3" ySplit="7" topLeftCell="D8" activePane="bottomRight" state="frozen"/>
      <selection activeCell="F21" sqref="F21"/>
      <selection pane="topRight" activeCell="F21" sqref="F21"/>
      <selection pane="bottomLeft" activeCell="F21" sqref="F21"/>
      <selection pane="bottomRight"/>
    </sheetView>
  </sheetViews>
  <sheetFormatPr defaultRowHeight="14.25" x14ac:dyDescent="0.45"/>
  <cols>
    <col min="1" max="1" width="22" customWidth="1"/>
    <col min="2" max="2" width="8" customWidth="1"/>
    <col min="3" max="3" width="10.1328125" customWidth="1"/>
    <col min="4" max="15" width="8.1328125" customWidth="1"/>
    <col min="16" max="16" width="7.3984375" customWidth="1"/>
    <col min="17" max="17" width="6.19921875" customWidth="1"/>
    <col min="18" max="19" width="7" customWidth="1"/>
    <col min="20" max="20" width="5.53125" customWidth="1"/>
    <col min="21" max="22" width="8" customWidth="1"/>
    <col min="23" max="26" width="5.53125" customWidth="1"/>
    <col min="27" max="27" width="7.1328125" customWidth="1"/>
    <col min="28" max="53" width="8.1328125" customWidth="1"/>
    <col min="54" max="58" width="5.53125" customWidth="1"/>
    <col min="59" max="59" width="6.53125" customWidth="1"/>
    <col min="60" max="60" width="7.1328125" customWidth="1"/>
    <col min="61" max="64" width="5.53125" customWidth="1"/>
    <col min="65" max="65" width="7.53125" customWidth="1"/>
    <col min="66" max="79" width="6.86328125" customWidth="1"/>
    <col min="80" max="80" width="6.6640625" customWidth="1"/>
    <col min="81" max="81" width="8.53125" customWidth="1"/>
    <col min="82" max="88" width="6.6640625" customWidth="1"/>
    <col min="89" max="90" width="10.53125" customWidth="1"/>
    <col min="91" max="91" width="9.1328125" customWidth="1"/>
    <col min="92" max="103" width="6.6640625" customWidth="1"/>
    <col min="104" max="104" width="8.1328125" customWidth="1"/>
  </cols>
  <sheetData>
    <row r="1" spans="1:117" ht="19.899999999999999" x14ac:dyDescent="0.45">
      <c r="A1" s="296" t="s">
        <v>730</v>
      </c>
    </row>
    <row r="2" spans="1:117" ht="19.899999999999999" x14ac:dyDescent="0.45">
      <c r="A2" s="297" t="s">
        <v>4263</v>
      </c>
    </row>
    <row r="3" spans="1:117" x14ac:dyDescent="0.45">
      <c r="A3" s="5" t="str">
        <f>ActivityList!A3</f>
        <v>Release Date: 13 January 2026</v>
      </c>
    </row>
    <row r="4" spans="1:117" ht="15" customHeight="1" x14ac:dyDescent="0.45">
      <c r="D4" s="170" t="s">
        <v>404</v>
      </c>
      <c r="E4" s="171"/>
      <c r="F4" s="171"/>
      <c r="G4" s="171"/>
      <c r="H4" s="171"/>
      <c r="I4" s="171"/>
      <c r="J4" s="171"/>
      <c r="K4" s="171"/>
      <c r="L4" s="171"/>
      <c r="M4" s="171"/>
      <c r="N4" s="171"/>
      <c r="O4" s="171"/>
      <c r="P4" s="171"/>
      <c r="Q4" s="171"/>
      <c r="R4" s="171"/>
      <c r="S4" s="171"/>
      <c r="T4" s="171"/>
      <c r="U4" s="171"/>
      <c r="V4" s="171"/>
      <c r="W4" s="171"/>
      <c r="X4" s="171"/>
      <c r="Y4" s="171"/>
      <c r="Z4" s="171"/>
      <c r="AA4" s="171"/>
      <c r="AB4" s="177"/>
      <c r="AC4" s="171"/>
      <c r="AD4" s="171"/>
      <c r="AE4" s="171"/>
      <c r="AF4" s="171"/>
      <c r="AG4" s="171"/>
      <c r="AH4" s="171"/>
      <c r="AI4" s="171"/>
      <c r="AJ4" s="171"/>
      <c r="AK4" s="171"/>
      <c r="AL4" s="171"/>
      <c r="AM4" s="171"/>
      <c r="AN4" s="171"/>
      <c r="AO4" s="171"/>
      <c r="AP4" s="263" t="s">
        <v>405</v>
      </c>
      <c r="AQ4" s="263"/>
      <c r="AR4" s="263"/>
      <c r="AS4" s="263"/>
      <c r="AT4" s="263"/>
      <c r="AU4" s="263"/>
      <c r="AV4" s="263"/>
      <c r="AW4" s="263"/>
      <c r="AX4" s="263"/>
      <c r="AY4" s="263"/>
      <c r="AZ4" s="263"/>
      <c r="BA4" s="263"/>
      <c r="BB4" s="263"/>
      <c r="BC4" s="263"/>
      <c r="BD4" s="263"/>
      <c r="BE4" s="263"/>
      <c r="BF4" s="263"/>
      <c r="BG4" s="263"/>
      <c r="BH4" s="263"/>
      <c r="BI4" s="263"/>
      <c r="BJ4" s="263"/>
      <c r="BK4" s="263"/>
      <c r="BL4" s="263"/>
      <c r="BM4" s="263"/>
      <c r="BN4" s="264"/>
      <c r="BO4" s="265"/>
      <c r="BP4" s="265"/>
      <c r="BQ4" s="265"/>
      <c r="BR4" s="265"/>
      <c r="BS4" s="265"/>
      <c r="BT4" s="265"/>
      <c r="BU4" s="265"/>
      <c r="BV4" s="265"/>
      <c r="BW4" s="265"/>
      <c r="BX4" s="265"/>
      <c r="BY4" s="265"/>
      <c r="BZ4" s="265"/>
      <c r="CA4" s="265"/>
      <c r="CB4" s="170" t="s">
        <v>11</v>
      </c>
      <c r="CC4" s="170"/>
      <c r="CD4" s="170"/>
      <c r="CE4" s="170"/>
      <c r="CF4" s="170"/>
      <c r="CG4" s="170"/>
      <c r="CH4" s="170"/>
      <c r="CI4" s="170"/>
      <c r="CJ4" s="170"/>
      <c r="CK4" s="170"/>
      <c r="CL4" s="170"/>
      <c r="CM4" s="170"/>
      <c r="CN4" s="170"/>
      <c r="CO4" s="170"/>
      <c r="CP4" s="170"/>
      <c r="CQ4" s="170"/>
      <c r="CR4" s="170"/>
      <c r="CS4" s="170"/>
      <c r="CT4" s="170"/>
      <c r="CU4" s="170"/>
      <c r="CV4" s="170"/>
      <c r="CW4" s="170"/>
      <c r="CX4" s="170"/>
      <c r="CY4" s="170"/>
      <c r="CZ4" s="170"/>
      <c r="DA4" s="170"/>
      <c r="DB4" s="170"/>
      <c r="DC4" s="170"/>
      <c r="DD4" s="170"/>
      <c r="DE4" s="170"/>
      <c r="DF4" s="170"/>
      <c r="DG4" s="170"/>
      <c r="DH4" s="170"/>
      <c r="DI4" s="170"/>
      <c r="DJ4" s="170"/>
      <c r="DK4" s="170"/>
      <c r="DL4" s="170"/>
      <c r="DM4" s="170"/>
    </row>
    <row r="5" spans="1:117" ht="15" customHeight="1" x14ac:dyDescent="0.45">
      <c r="D5" s="285" t="s">
        <v>406</v>
      </c>
      <c r="E5" s="285"/>
      <c r="F5" s="285"/>
      <c r="G5" s="285"/>
      <c r="H5" s="285"/>
      <c r="I5" s="174"/>
      <c r="J5" s="286" t="s">
        <v>351</v>
      </c>
      <c r="K5" s="285"/>
      <c r="L5" s="174"/>
      <c r="M5" s="286" t="s">
        <v>352</v>
      </c>
      <c r="N5" s="174"/>
      <c r="O5" s="376" t="s">
        <v>407</v>
      </c>
      <c r="P5" s="279" t="s">
        <v>408</v>
      </c>
      <c r="Q5" s="280"/>
      <c r="R5" s="280"/>
      <c r="S5" s="280"/>
      <c r="T5" s="280"/>
      <c r="U5" s="281"/>
      <c r="V5" s="279" t="s">
        <v>351</v>
      </c>
      <c r="W5" s="280"/>
      <c r="X5" s="281"/>
      <c r="Y5" s="279" t="s">
        <v>352</v>
      </c>
      <c r="Z5" s="281"/>
      <c r="AA5" s="293"/>
      <c r="AB5" s="370" t="s">
        <v>4262</v>
      </c>
      <c r="AC5" s="282" t="s">
        <v>4048</v>
      </c>
      <c r="AD5" s="283"/>
      <c r="AE5" s="283"/>
      <c r="AF5" s="283"/>
      <c r="AG5" s="283"/>
      <c r="AH5" s="284"/>
      <c r="AI5" s="282" t="s">
        <v>351</v>
      </c>
      <c r="AJ5" s="283"/>
      <c r="AK5" s="284"/>
      <c r="AL5" s="282" t="s">
        <v>352</v>
      </c>
      <c r="AM5" s="284"/>
      <c r="AN5" s="292"/>
      <c r="AO5" s="374" t="s">
        <v>4262</v>
      </c>
      <c r="AP5" s="285" t="s">
        <v>409</v>
      </c>
      <c r="AQ5" s="285"/>
      <c r="AR5" s="285"/>
      <c r="AS5" s="285"/>
      <c r="AT5" s="285"/>
      <c r="AU5" s="174"/>
      <c r="AV5" s="286" t="s">
        <v>351</v>
      </c>
      <c r="AW5" s="285"/>
      <c r="AX5" s="174"/>
      <c r="AY5" s="286" t="s">
        <v>352</v>
      </c>
      <c r="AZ5" s="174"/>
      <c r="BA5" s="372" t="s">
        <v>407</v>
      </c>
      <c r="BB5" s="279" t="s">
        <v>4175</v>
      </c>
      <c r="BC5" s="280"/>
      <c r="BD5" s="280"/>
      <c r="BE5" s="280"/>
      <c r="BF5" s="280"/>
      <c r="BG5" s="281"/>
      <c r="BH5" s="280" t="s">
        <v>351</v>
      </c>
      <c r="BI5" s="280"/>
      <c r="BJ5" s="281"/>
      <c r="BK5" s="279" t="s">
        <v>352</v>
      </c>
      <c r="BL5" s="281"/>
      <c r="BM5" s="293"/>
      <c r="BN5" s="370" t="s">
        <v>4262</v>
      </c>
      <c r="BO5" s="282" t="s">
        <v>4176</v>
      </c>
      <c r="BP5" s="283"/>
      <c r="BQ5" s="283"/>
      <c r="BR5" s="283"/>
      <c r="BS5" s="283"/>
      <c r="BT5" s="284"/>
      <c r="BU5" s="282" t="s">
        <v>351</v>
      </c>
      <c r="BV5" s="283"/>
      <c r="BW5" s="284"/>
      <c r="BX5" s="282" t="s">
        <v>352</v>
      </c>
      <c r="BY5" s="284"/>
      <c r="BZ5" s="292"/>
      <c r="CA5" s="374" t="s">
        <v>4262</v>
      </c>
      <c r="CB5" s="285" t="s">
        <v>410</v>
      </c>
      <c r="CC5" s="285"/>
      <c r="CD5" s="285"/>
      <c r="CE5" s="285"/>
      <c r="CF5" s="285"/>
      <c r="CG5" s="174"/>
      <c r="CH5" s="286" t="s">
        <v>351</v>
      </c>
      <c r="CI5" s="285"/>
      <c r="CJ5" s="174"/>
      <c r="CK5" s="286" t="s">
        <v>352</v>
      </c>
      <c r="CL5" s="174"/>
      <c r="CM5" s="373" t="s">
        <v>407</v>
      </c>
      <c r="CN5" s="279" t="s">
        <v>411</v>
      </c>
      <c r="CO5" s="280"/>
      <c r="CP5" s="280"/>
      <c r="CQ5" s="280"/>
      <c r="CR5" s="280"/>
      <c r="CS5" s="281"/>
      <c r="CT5" s="279" t="s">
        <v>351</v>
      </c>
      <c r="CU5" s="280"/>
      <c r="CV5" s="281"/>
      <c r="CW5" s="279" t="s">
        <v>352</v>
      </c>
      <c r="CX5" s="281"/>
      <c r="CY5" s="281"/>
      <c r="CZ5" s="370" t="s">
        <v>4262</v>
      </c>
      <c r="DA5" s="282" t="s">
        <v>4163</v>
      </c>
      <c r="DB5" s="283"/>
      <c r="DC5" s="283"/>
      <c r="DD5" s="283"/>
      <c r="DE5" s="283"/>
      <c r="DF5" s="284"/>
      <c r="DG5" s="282" t="s">
        <v>351</v>
      </c>
      <c r="DH5" s="283"/>
      <c r="DI5" s="284"/>
      <c r="DJ5" s="282" t="s">
        <v>352</v>
      </c>
      <c r="DK5" s="284"/>
      <c r="DL5" s="292"/>
      <c r="DM5" s="374" t="s">
        <v>4262</v>
      </c>
    </row>
    <row r="6" spans="1:117" ht="15" customHeight="1" thickBot="1" x14ac:dyDescent="0.5">
      <c r="A6" s="1" t="s">
        <v>211</v>
      </c>
      <c r="B6" s="1" t="s">
        <v>4252</v>
      </c>
      <c r="C6" s="1" t="s">
        <v>138</v>
      </c>
      <c r="D6" s="174" t="s">
        <v>140</v>
      </c>
      <c r="E6" s="172" t="s">
        <v>142</v>
      </c>
      <c r="F6" s="172" t="s">
        <v>145</v>
      </c>
      <c r="G6" s="172" t="s">
        <v>146</v>
      </c>
      <c r="H6" s="172" t="s">
        <v>150</v>
      </c>
      <c r="I6" s="172" t="s">
        <v>148</v>
      </c>
      <c r="J6" s="173" t="s">
        <v>354</v>
      </c>
      <c r="K6" s="173" t="s">
        <v>143</v>
      </c>
      <c r="L6" s="173" t="s">
        <v>149</v>
      </c>
      <c r="M6" s="173" t="s">
        <v>355</v>
      </c>
      <c r="N6" s="173" t="s">
        <v>144</v>
      </c>
      <c r="O6" s="377"/>
      <c r="P6" s="268" t="s">
        <v>140</v>
      </c>
      <c r="Q6" s="268" t="s">
        <v>142</v>
      </c>
      <c r="R6" s="268" t="s">
        <v>145</v>
      </c>
      <c r="S6" s="268" t="s">
        <v>146</v>
      </c>
      <c r="T6" s="268" t="s">
        <v>150</v>
      </c>
      <c r="U6" s="268" t="s">
        <v>148</v>
      </c>
      <c r="V6" s="267" t="s">
        <v>354</v>
      </c>
      <c r="W6" s="267" t="s">
        <v>143</v>
      </c>
      <c r="X6" s="267" t="s">
        <v>149</v>
      </c>
      <c r="Y6" s="267" t="s">
        <v>355</v>
      </c>
      <c r="Z6" s="267" t="s">
        <v>144</v>
      </c>
      <c r="AA6" s="293" t="s">
        <v>147</v>
      </c>
      <c r="AB6" s="371"/>
      <c r="AC6" s="266" t="s">
        <v>140</v>
      </c>
      <c r="AD6" s="266" t="s">
        <v>142</v>
      </c>
      <c r="AE6" s="266" t="s">
        <v>145</v>
      </c>
      <c r="AF6" s="266" t="s">
        <v>146</v>
      </c>
      <c r="AG6" s="266" t="s">
        <v>150</v>
      </c>
      <c r="AH6" s="266" t="s">
        <v>148</v>
      </c>
      <c r="AI6" s="267" t="s">
        <v>354</v>
      </c>
      <c r="AJ6" s="267" t="s">
        <v>143</v>
      </c>
      <c r="AK6" s="267" t="s">
        <v>149</v>
      </c>
      <c r="AL6" s="267" t="s">
        <v>355</v>
      </c>
      <c r="AM6" s="267" t="s">
        <v>144</v>
      </c>
      <c r="AN6" s="292" t="s">
        <v>147</v>
      </c>
      <c r="AO6" s="375"/>
      <c r="AP6" s="174" t="s">
        <v>140</v>
      </c>
      <c r="AQ6" s="172" t="s">
        <v>142</v>
      </c>
      <c r="AR6" s="172" t="s">
        <v>145</v>
      </c>
      <c r="AS6" s="172" t="s">
        <v>146</v>
      </c>
      <c r="AT6" s="172" t="s">
        <v>150</v>
      </c>
      <c r="AU6" s="172" t="s">
        <v>148</v>
      </c>
      <c r="AV6" s="173" t="s">
        <v>354</v>
      </c>
      <c r="AW6" s="173" t="s">
        <v>143</v>
      </c>
      <c r="AX6" s="173" t="s">
        <v>149</v>
      </c>
      <c r="AY6" s="173" t="s">
        <v>355</v>
      </c>
      <c r="AZ6" s="173" t="s">
        <v>144</v>
      </c>
      <c r="BA6" s="373"/>
      <c r="BB6" s="78" t="s">
        <v>140</v>
      </c>
      <c r="BC6" s="78" t="s">
        <v>142</v>
      </c>
      <c r="BD6" s="78" t="s">
        <v>145</v>
      </c>
      <c r="BE6" s="78" t="s">
        <v>146</v>
      </c>
      <c r="BF6" s="78" t="s">
        <v>150</v>
      </c>
      <c r="BG6" s="78" t="s">
        <v>148</v>
      </c>
      <c r="BH6" s="267" t="s">
        <v>354</v>
      </c>
      <c r="BI6" s="267" t="s">
        <v>143</v>
      </c>
      <c r="BJ6" s="267" t="s">
        <v>149</v>
      </c>
      <c r="BK6" s="267" t="s">
        <v>355</v>
      </c>
      <c r="BL6" s="267" t="s">
        <v>144</v>
      </c>
      <c r="BM6" s="293" t="s">
        <v>147</v>
      </c>
      <c r="BN6" s="371"/>
      <c r="BO6" s="262" t="s">
        <v>140</v>
      </c>
      <c r="BP6" s="262" t="s">
        <v>142</v>
      </c>
      <c r="BQ6" s="262" t="s">
        <v>145</v>
      </c>
      <c r="BR6" s="262" t="s">
        <v>146</v>
      </c>
      <c r="BS6" s="262" t="s">
        <v>150</v>
      </c>
      <c r="BT6" s="262" t="s">
        <v>148</v>
      </c>
      <c r="BU6" s="262" t="s">
        <v>354</v>
      </c>
      <c r="BV6" s="262" t="s">
        <v>143</v>
      </c>
      <c r="BW6" s="262" t="s">
        <v>149</v>
      </c>
      <c r="BX6" s="262" t="s">
        <v>355</v>
      </c>
      <c r="BY6" s="262" t="s">
        <v>144</v>
      </c>
      <c r="BZ6" s="292" t="s">
        <v>147</v>
      </c>
      <c r="CA6" s="374"/>
      <c r="CB6" s="174" t="s">
        <v>140</v>
      </c>
      <c r="CC6" s="172" t="s">
        <v>142</v>
      </c>
      <c r="CD6" s="172" t="s">
        <v>145</v>
      </c>
      <c r="CE6" s="172" t="s">
        <v>146</v>
      </c>
      <c r="CF6" s="172" t="s">
        <v>150</v>
      </c>
      <c r="CG6" s="172" t="s">
        <v>148</v>
      </c>
      <c r="CH6" s="173" t="s">
        <v>354</v>
      </c>
      <c r="CI6" s="173" t="s">
        <v>143</v>
      </c>
      <c r="CJ6" s="173" t="s">
        <v>149</v>
      </c>
      <c r="CK6" s="173" t="s">
        <v>355</v>
      </c>
      <c r="CL6" s="173" t="s">
        <v>144</v>
      </c>
      <c r="CM6" s="373"/>
      <c r="CN6" s="268" t="s">
        <v>140</v>
      </c>
      <c r="CO6" s="268" t="s">
        <v>142</v>
      </c>
      <c r="CP6" s="268" t="s">
        <v>145</v>
      </c>
      <c r="CQ6" s="268" t="s">
        <v>146</v>
      </c>
      <c r="CR6" s="268" t="s">
        <v>150</v>
      </c>
      <c r="CS6" s="268" t="s">
        <v>148</v>
      </c>
      <c r="CT6" s="267" t="s">
        <v>354</v>
      </c>
      <c r="CU6" s="267" t="s">
        <v>143</v>
      </c>
      <c r="CV6" s="267" t="s">
        <v>149</v>
      </c>
      <c r="CW6" s="267" t="s">
        <v>355</v>
      </c>
      <c r="CX6" s="267" t="s">
        <v>144</v>
      </c>
      <c r="CY6" s="293" t="s">
        <v>147</v>
      </c>
      <c r="CZ6" s="371"/>
      <c r="DA6" s="262" t="s">
        <v>140</v>
      </c>
      <c r="DB6" s="262" t="s">
        <v>142</v>
      </c>
      <c r="DC6" s="262" t="s">
        <v>145</v>
      </c>
      <c r="DD6" s="262" t="s">
        <v>146</v>
      </c>
      <c r="DE6" s="262" t="s">
        <v>150</v>
      </c>
      <c r="DF6" s="262" t="s">
        <v>148</v>
      </c>
      <c r="DG6" s="173" t="s">
        <v>354</v>
      </c>
      <c r="DH6" s="173" t="s">
        <v>143</v>
      </c>
      <c r="DI6" s="173" t="s">
        <v>149</v>
      </c>
      <c r="DJ6" s="173" t="s">
        <v>355</v>
      </c>
      <c r="DK6" s="173" t="s">
        <v>144</v>
      </c>
      <c r="DL6" s="292" t="s">
        <v>147</v>
      </c>
      <c r="DM6" s="374"/>
    </row>
    <row r="7" spans="1:117" ht="14.65" thickBot="1" x14ac:dyDescent="0.5">
      <c r="A7" s="4" t="s">
        <v>167</v>
      </c>
      <c r="B7" s="25" t="s">
        <v>168</v>
      </c>
      <c r="C7" s="25" t="s">
        <v>212</v>
      </c>
      <c r="D7" s="83" t="s">
        <v>412</v>
      </c>
      <c r="E7" s="83" t="s">
        <v>4207</v>
      </c>
      <c r="F7" s="83" t="s">
        <v>414</v>
      </c>
      <c r="G7" s="83" t="s">
        <v>415</v>
      </c>
      <c r="H7" s="83" t="s">
        <v>416</v>
      </c>
      <c r="I7" s="83" t="s">
        <v>417</v>
      </c>
      <c r="J7" s="83" t="s">
        <v>418</v>
      </c>
      <c r="K7" s="83" t="s">
        <v>419</v>
      </c>
      <c r="L7" s="83" t="s">
        <v>420</v>
      </c>
      <c r="M7" s="83" t="s">
        <v>413</v>
      </c>
      <c r="N7" s="83" t="s">
        <v>421</v>
      </c>
      <c r="O7" s="224" t="s">
        <v>422</v>
      </c>
      <c r="P7" s="269" t="s">
        <v>423</v>
      </c>
      <c r="Q7" s="270" t="s">
        <v>4208</v>
      </c>
      <c r="R7" s="270" t="s">
        <v>425</v>
      </c>
      <c r="S7" s="270" t="s">
        <v>426</v>
      </c>
      <c r="T7" s="270" t="s">
        <v>427</v>
      </c>
      <c r="U7" s="270" t="s">
        <v>428</v>
      </c>
      <c r="V7" s="270" t="s">
        <v>429</v>
      </c>
      <c r="W7" s="270" t="s">
        <v>430</v>
      </c>
      <c r="X7" s="270" t="s">
        <v>431</v>
      </c>
      <c r="Y7" s="270" t="s">
        <v>424</v>
      </c>
      <c r="Z7" s="270" t="s">
        <v>432</v>
      </c>
      <c r="AA7" s="270" t="s">
        <v>4234</v>
      </c>
      <c r="AB7" s="271" t="s">
        <v>433</v>
      </c>
      <c r="AC7" s="269" t="s">
        <v>4141</v>
      </c>
      <c r="AD7" s="270" t="s">
        <v>4209</v>
      </c>
      <c r="AE7" s="270" t="s">
        <v>4143</v>
      </c>
      <c r="AF7" s="270" t="s">
        <v>4144</v>
      </c>
      <c r="AG7" s="270" t="s">
        <v>4145</v>
      </c>
      <c r="AH7" s="270" t="s">
        <v>4146</v>
      </c>
      <c r="AI7" s="270" t="s">
        <v>4147</v>
      </c>
      <c r="AJ7" s="270" t="s">
        <v>4148</v>
      </c>
      <c r="AK7" s="270" t="s">
        <v>4149</v>
      </c>
      <c r="AL7" s="270" t="s">
        <v>4142</v>
      </c>
      <c r="AM7" s="270" t="s">
        <v>4150</v>
      </c>
      <c r="AN7" s="270" t="s">
        <v>4235</v>
      </c>
      <c r="AO7" s="271" t="s">
        <v>4151</v>
      </c>
      <c r="AP7" s="175" t="s">
        <v>434</v>
      </c>
      <c r="AQ7" s="84" t="s">
        <v>4210</v>
      </c>
      <c r="AR7" s="84" t="s">
        <v>436</v>
      </c>
      <c r="AS7" s="84" t="s">
        <v>437</v>
      </c>
      <c r="AT7" s="84" t="s">
        <v>438</v>
      </c>
      <c r="AU7" s="96" t="s">
        <v>439</v>
      </c>
      <c r="AV7" s="97" t="s">
        <v>440</v>
      </c>
      <c r="AW7" s="84" t="s">
        <v>441</v>
      </c>
      <c r="AX7" s="96" t="s">
        <v>442</v>
      </c>
      <c r="AY7" s="97" t="s">
        <v>435</v>
      </c>
      <c r="AZ7" s="96" t="s">
        <v>443</v>
      </c>
      <c r="BA7" s="96" t="s">
        <v>444</v>
      </c>
      <c r="BB7" s="276" t="s">
        <v>445</v>
      </c>
      <c r="BC7" s="277" t="s">
        <v>4211</v>
      </c>
      <c r="BD7" s="277" t="s">
        <v>447</v>
      </c>
      <c r="BE7" s="277" t="s">
        <v>448</v>
      </c>
      <c r="BF7" s="277" t="s">
        <v>449</v>
      </c>
      <c r="BG7" s="277" t="s">
        <v>450</v>
      </c>
      <c r="BH7" s="277" t="s">
        <v>451</v>
      </c>
      <c r="BI7" s="277" t="s">
        <v>452</v>
      </c>
      <c r="BJ7" s="277" t="s">
        <v>453</v>
      </c>
      <c r="BK7" s="277" t="s">
        <v>446</v>
      </c>
      <c r="BL7" s="277" t="s">
        <v>454</v>
      </c>
      <c r="BM7" s="277" t="s">
        <v>4236</v>
      </c>
      <c r="BN7" s="278" t="s">
        <v>455</v>
      </c>
      <c r="BO7" s="276" t="s">
        <v>4152</v>
      </c>
      <c r="BP7" s="277" t="s">
        <v>4212</v>
      </c>
      <c r="BQ7" s="277" t="s">
        <v>4154</v>
      </c>
      <c r="BR7" s="277" t="s">
        <v>4155</v>
      </c>
      <c r="BS7" s="277" t="s">
        <v>4156</v>
      </c>
      <c r="BT7" s="277" t="s">
        <v>4157</v>
      </c>
      <c r="BU7" s="277" t="s">
        <v>4158</v>
      </c>
      <c r="BV7" s="277" t="s">
        <v>4159</v>
      </c>
      <c r="BW7" s="277" t="s">
        <v>4160</v>
      </c>
      <c r="BX7" s="277" t="s">
        <v>4153</v>
      </c>
      <c r="BY7" s="277" t="s">
        <v>4161</v>
      </c>
      <c r="BZ7" s="277" t="s">
        <v>4237</v>
      </c>
      <c r="CA7" s="278" t="s">
        <v>4162</v>
      </c>
      <c r="CB7" s="53" t="s">
        <v>456</v>
      </c>
      <c r="CC7" s="53" t="s">
        <v>4213</v>
      </c>
      <c r="CD7" s="53" t="s">
        <v>458</v>
      </c>
      <c r="CE7" s="53" t="s">
        <v>459</v>
      </c>
      <c r="CF7" s="53" t="s">
        <v>460</v>
      </c>
      <c r="CG7" s="53" t="s">
        <v>461</v>
      </c>
      <c r="CH7" s="95" t="s">
        <v>462</v>
      </c>
      <c r="CI7" s="53" t="s">
        <v>463</v>
      </c>
      <c r="CJ7" s="53" t="s">
        <v>464</v>
      </c>
      <c r="CK7" s="95" t="s">
        <v>457</v>
      </c>
      <c r="CL7" s="53" t="s">
        <v>465</v>
      </c>
      <c r="CM7" s="53" t="s">
        <v>466</v>
      </c>
      <c r="CN7" s="206" t="s">
        <v>467</v>
      </c>
      <c r="CO7" s="207" t="s">
        <v>4214</v>
      </c>
      <c r="CP7" s="207" t="s">
        <v>469</v>
      </c>
      <c r="CQ7" s="207" t="s">
        <v>470</v>
      </c>
      <c r="CR7" s="207" t="s">
        <v>471</v>
      </c>
      <c r="CS7" s="207" t="s">
        <v>472</v>
      </c>
      <c r="CT7" s="207" t="s">
        <v>473</v>
      </c>
      <c r="CU7" s="207" t="s">
        <v>474</v>
      </c>
      <c r="CV7" s="207" t="s">
        <v>475</v>
      </c>
      <c r="CW7" s="207" t="s">
        <v>468</v>
      </c>
      <c r="CX7" s="207" t="s">
        <v>476</v>
      </c>
      <c r="CY7" s="207" t="s">
        <v>4238</v>
      </c>
      <c r="CZ7" s="208" t="s">
        <v>477</v>
      </c>
      <c r="DA7" s="206" t="s">
        <v>4164</v>
      </c>
      <c r="DB7" s="207" t="s">
        <v>4215</v>
      </c>
      <c r="DC7" s="207" t="s">
        <v>4166</v>
      </c>
      <c r="DD7" s="207" t="s">
        <v>4167</v>
      </c>
      <c r="DE7" s="207" t="s">
        <v>4168</v>
      </c>
      <c r="DF7" s="207" t="s">
        <v>4169</v>
      </c>
      <c r="DG7" s="207" t="s">
        <v>4170</v>
      </c>
      <c r="DH7" s="207" t="s">
        <v>4171</v>
      </c>
      <c r="DI7" s="207" t="s">
        <v>4172</v>
      </c>
      <c r="DJ7" s="207" t="s">
        <v>4165</v>
      </c>
      <c r="DK7" s="207" t="s">
        <v>4173</v>
      </c>
      <c r="DL7" s="207" t="s">
        <v>4239</v>
      </c>
      <c r="DM7" s="208" t="s">
        <v>4174</v>
      </c>
    </row>
    <row r="8" spans="1:117" ht="15" customHeight="1" x14ac:dyDescent="0.45">
      <c r="A8" s="169" t="s">
        <v>203</v>
      </c>
      <c r="B8" s="169" t="s">
        <v>193</v>
      </c>
      <c r="C8" s="169" t="s">
        <v>206</v>
      </c>
      <c r="D8" s="85">
        <v>25705</v>
      </c>
      <c r="E8" s="85">
        <v>49022</v>
      </c>
      <c r="F8" s="85">
        <v>119279</v>
      </c>
      <c r="G8" s="85">
        <v>121128</v>
      </c>
      <c r="H8" s="85">
        <v>116780</v>
      </c>
      <c r="I8" s="85">
        <v>133730</v>
      </c>
      <c r="J8" s="85">
        <v>120312</v>
      </c>
      <c r="K8" s="85">
        <v>68716</v>
      </c>
      <c r="L8" s="85">
        <v>67782</v>
      </c>
      <c r="M8" s="85">
        <v>49022</v>
      </c>
      <c r="N8" s="85">
        <v>49022</v>
      </c>
      <c r="O8" s="85">
        <v>142420</v>
      </c>
      <c r="P8" s="272">
        <v>23136</v>
      </c>
      <c r="Q8" s="85">
        <v>49022</v>
      </c>
      <c r="R8" s="85">
        <v>88579</v>
      </c>
      <c r="S8" s="85">
        <v>90235</v>
      </c>
      <c r="T8" s="85">
        <v>93425</v>
      </c>
      <c r="U8" s="85">
        <v>133730</v>
      </c>
      <c r="V8" s="85">
        <v>90235</v>
      </c>
      <c r="W8" s="85">
        <v>39370</v>
      </c>
      <c r="X8" s="85">
        <v>3389</v>
      </c>
      <c r="Y8" s="85">
        <v>49022</v>
      </c>
      <c r="Z8" s="85">
        <v>10589</v>
      </c>
      <c r="AA8" s="85">
        <v>99278</v>
      </c>
      <c r="AB8" s="273">
        <v>137706</v>
      </c>
      <c r="AC8" s="272">
        <v>23136</v>
      </c>
      <c r="AD8" s="85">
        <v>49022</v>
      </c>
      <c r="AE8" s="85">
        <v>88579</v>
      </c>
      <c r="AF8" s="85">
        <v>90235</v>
      </c>
      <c r="AG8" s="85">
        <v>93425</v>
      </c>
      <c r="AH8" s="85">
        <v>133730</v>
      </c>
      <c r="AI8" s="85">
        <v>90235</v>
      </c>
      <c r="AJ8" s="85">
        <v>39370</v>
      </c>
      <c r="AK8" s="85">
        <v>3389</v>
      </c>
      <c r="AL8" s="85">
        <v>49022</v>
      </c>
      <c r="AM8" s="85">
        <v>10589</v>
      </c>
      <c r="AN8" s="85">
        <v>99278</v>
      </c>
      <c r="AO8" s="273">
        <v>137706</v>
      </c>
      <c r="AP8" s="85">
        <v>62304</v>
      </c>
      <c r="AQ8" s="85">
        <v>328817</v>
      </c>
      <c r="AR8" s="85">
        <v>856878</v>
      </c>
      <c r="AS8" s="85">
        <v>836056</v>
      </c>
      <c r="AT8" s="85">
        <v>827141</v>
      </c>
      <c r="AU8" s="85">
        <v>970508</v>
      </c>
      <c r="AV8" s="85">
        <v>836056</v>
      </c>
      <c r="AW8" s="85">
        <v>283388</v>
      </c>
      <c r="AX8" s="85">
        <v>478226</v>
      </c>
      <c r="AY8" s="85">
        <v>328817</v>
      </c>
      <c r="AZ8" s="85">
        <v>328817</v>
      </c>
      <c r="BA8" s="85">
        <v>1004983</v>
      </c>
      <c r="BB8" s="272">
        <v>56073</v>
      </c>
      <c r="BC8" s="85">
        <v>328817</v>
      </c>
      <c r="BD8" s="85">
        <v>436464</v>
      </c>
      <c r="BE8" s="85">
        <v>504240</v>
      </c>
      <c r="BF8" s="85">
        <v>452105</v>
      </c>
      <c r="BG8" s="85">
        <v>970508</v>
      </c>
      <c r="BH8" s="85">
        <v>504240</v>
      </c>
      <c r="BI8" s="85">
        <v>254460</v>
      </c>
      <c r="BJ8" s="85">
        <v>75636</v>
      </c>
      <c r="BK8" s="85">
        <v>328817</v>
      </c>
      <c r="BL8" s="85">
        <v>182126</v>
      </c>
      <c r="BM8" s="85">
        <v>544495</v>
      </c>
      <c r="BN8" s="273">
        <v>982830</v>
      </c>
      <c r="BO8" s="272">
        <v>56073</v>
      </c>
      <c r="BP8" s="85">
        <v>328817</v>
      </c>
      <c r="BQ8" s="85">
        <v>384116</v>
      </c>
      <c r="BR8" s="85">
        <v>504240</v>
      </c>
      <c r="BS8" s="85">
        <v>452105</v>
      </c>
      <c r="BT8" s="85">
        <v>970508</v>
      </c>
      <c r="BU8" s="85">
        <v>504240</v>
      </c>
      <c r="BV8" s="85">
        <v>254460</v>
      </c>
      <c r="BW8" s="85">
        <v>75636</v>
      </c>
      <c r="BX8" s="85">
        <v>328817</v>
      </c>
      <c r="BY8" s="85">
        <v>182126</v>
      </c>
      <c r="BZ8" s="85">
        <v>544495</v>
      </c>
      <c r="CA8" s="273">
        <v>982830</v>
      </c>
      <c r="CB8" s="85">
        <v>88009</v>
      </c>
      <c r="CC8" s="85">
        <v>377839</v>
      </c>
      <c r="CD8" s="85">
        <v>976157</v>
      </c>
      <c r="CE8" s="85">
        <v>957184</v>
      </c>
      <c r="CF8" s="85">
        <v>943921</v>
      </c>
      <c r="CG8" s="85">
        <v>1104238</v>
      </c>
      <c r="CH8" s="85">
        <v>956368</v>
      </c>
      <c r="CI8" s="85">
        <v>352104</v>
      </c>
      <c r="CJ8" s="85">
        <v>546008</v>
      </c>
      <c r="CK8" s="85">
        <v>377839</v>
      </c>
      <c r="CL8" s="85">
        <v>377839</v>
      </c>
      <c r="CM8" s="85">
        <v>1147403</v>
      </c>
      <c r="CN8" s="287">
        <v>79209</v>
      </c>
      <c r="CO8" s="85">
        <v>377839</v>
      </c>
      <c r="CP8" s="85">
        <v>525043</v>
      </c>
      <c r="CQ8" s="85">
        <v>594475</v>
      </c>
      <c r="CR8" s="85">
        <v>545530</v>
      </c>
      <c r="CS8" s="85">
        <v>1104238</v>
      </c>
      <c r="CT8" s="85">
        <v>594475</v>
      </c>
      <c r="CU8" s="85">
        <v>293830</v>
      </c>
      <c r="CV8" s="85">
        <v>79025</v>
      </c>
      <c r="CW8" s="85">
        <v>377839</v>
      </c>
      <c r="CX8" s="85">
        <v>192715</v>
      </c>
      <c r="CY8" s="85">
        <v>643773</v>
      </c>
      <c r="CZ8" s="288">
        <v>1120536</v>
      </c>
      <c r="DA8" s="287">
        <v>79209</v>
      </c>
      <c r="DB8" s="85">
        <v>377839</v>
      </c>
      <c r="DC8" s="85">
        <v>472695</v>
      </c>
      <c r="DD8" s="85">
        <v>594475</v>
      </c>
      <c r="DE8" s="85">
        <v>545530</v>
      </c>
      <c r="DF8" s="85">
        <v>1104238</v>
      </c>
      <c r="DG8" s="85">
        <v>594475</v>
      </c>
      <c r="DH8" s="85">
        <v>293830</v>
      </c>
      <c r="DI8" s="85">
        <v>79025</v>
      </c>
      <c r="DJ8" s="85">
        <v>377839</v>
      </c>
      <c r="DK8" s="85">
        <v>192715</v>
      </c>
      <c r="DL8" s="85">
        <v>643773</v>
      </c>
      <c r="DM8" s="288">
        <v>1120536</v>
      </c>
    </row>
    <row r="9" spans="1:117" ht="15" customHeight="1" x14ac:dyDescent="0.45">
      <c r="A9" s="169" t="s">
        <v>207</v>
      </c>
      <c r="B9" s="169" t="s">
        <v>196</v>
      </c>
      <c r="C9" s="169" t="s">
        <v>209</v>
      </c>
      <c r="D9" s="178">
        <v>109967</v>
      </c>
      <c r="E9" s="85">
        <v>258749</v>
      </c>
      <c r="F9" s="85">
        <v>383749</v>
      </c>
      <c r="G9" s="85">
        <v>394874</v>
      </c>
      <c r="H9" s="85">
        <v>301187</v>
      </c>
      <c r="I9" s="85">
        <v>373618</v>
      </c>
      <c r="J9" s="85">
        <v>394874</v>
      </c>
      <c r="K9" s="85">
        <v>224186</v>
      </c>
      <c r="L9" s="85">
        <v>195004</v>
      </c>
      <c r="M9" s="85">
        <v>258749</v>
      </c>
      <c r="N9" s="85">
        <v>258749</v>
      </c>
      <c r="O9" s="85">
        <v>416154</v>
      </c>
      <c r="P9" s="272">
        <v>98971</v>
      </c>
      <c r="Q9" s="85">
        <v>250425</v>
      </c>
      <c r="R9" s="85">
        <v>319975</v>
      </c>
      <c r="S9" s="85">
        <v>296157</v>
      </c>
      <c r="T9" s="85">
        <v>235579</v>
      </c>
      <c r="U9" s="85">
        <v>352843</v>
      </c>
      <c r="V9" s="85">
        <v>296157</v>
      </c>
      <c r="W9" s="85">
        <v>128241</v>
      </c>
      <c r="X9" s="85">
        <v>97990</v>
      </c>
      <c r="Y9" s="85">
        <v>250393</v>
      </c>
      <c r="Z9" s="85">
        <v>114643</v>
      </c>
      <c r="AA9" s="85">
        <v>117319</v>
      </c>
      <c r="AB9" s="273">
        <v>366777</v>
      </c>
      <c r="AC9" s="272">
        <v>98971</v>
      </c>
      <c r="AD9" s="85">
        <v>250378</v>
      </c>
      <c r="AE9" s="85">
        <v>319975</v>
      </c>
      <c r="AF9" s="85">
        <v>296157</v>
      </c>
      <c r="AG9" s="85">
        <v>235579</v>
      </c>
      <c r="AH9" s="85">
        <v>352642</v>
      </c>
      <c r="AI9" s="85">
        <v>296157</v>
      </c>
      <c r="AJ9" s="85">
        <v>128241</v>
      </c>
      <c r="AK9" s="85">
        <v>97943</v>
      </c>
      <c r="AL9" s="85">
        <v>250346</v>
      </c>
      <c r="AM9" s="85">
        <v>114643</v>
      </c>
      <c r="AN9" s="85">
        <v>117065</v>
      </c>
      <c r="AO9" s="273">
        <v>366777</v>
      </c>
      <c r="AP9" s="85">
        <v>91342</v>
      </c>
      <c r="AQ9" s="85">
        <v>361628</v>
      </c>
      <c r="AR9" s="85">
        <v>1101659</v>
      </c>
      <c r="AS9" s="85">
        <v>1193210</v>
      </c>
      <c r="AT9" s="85">
        <v>997094</v>
      </c>
      <c r="AU9" s="85">
        <v>1239824</v>
      </c>
      <c r="AV9" s="85">
        <v>1193210</v>
      </c>
      <c r="AW9" s="85">
        <v>368486</v>
      </c>
      <c r="AX9" s="85">
        <v>466264</v>
      </c>
      <c r="AY9" s="85">
        <v>361628</v>
      </c>
      <c r="AZ9" s="85">
        <v>361628</v>
      </c>
      <c r="BA9" s="85">
        <v>1378554</v>
      </c>
      <c r="BB9" s="272">
        <v>79232</v>
      </c>
      <c r="BC9" s="85">
        <v>361628</v>
      </c>
      <c r="BD9" s="85">
        <v>466245</v>
      </c>
      <c r="BE9" s="85">
        <v>468750</v>
      </c>
      <c r="BF9" s="85">
        <v>319451</v>
      </c>
      <c r="BG9" s="85">
        <v>1058910</v>
      </c>
      <c r="BH9" s="85">
        <v>372983</v>
      </c>
      <c r="BI9" s="85">
        <v>301836</v>
      </c>
      <c r="BJ9" s="85">
        <v>211189</v>
      </c>
      <c r="BK9" s="85">
        <v>361628</v>
      </c>
      <c r="BL9" s="85">
        <v>109133</v>
      </c>
      <c r="BM9" s="85">
        <v>135137</v>
      </c>
      <c r="BN9" s="273">
        <v>1193605</v>
      </c>
      <c r="BO9" s="272">
        <v>79232</v>
      </c>
      <c r="BP9" s="85">
        <v>346288</v>
      </c>
      <c r="BQ9" s="85">
        <v>359407</v>
      </c>
      <c r="BR9" s="85">
        <v>468749</v>
      </c>
      <c r="BS9" s="85">
        <v>315978</v>
      </c>
      <c r="BT9" s="85">
        <v>1033223</v>
      </c>
      <c r="BU9" s="85">
        <v>372983</v>
      </c>
      <c r="BV9" s="85">
        <v>282274</v>
      </c>
      <c r="BW9" s="85">
        <v>204569</v>
      </c>
      <c r="BX9" s="85">
        <v>346288</v>
      </c>
      <c r="BY9" s="85">
        <v>99743</v>
      </c>
      <c r="BZ9" s="85">
        <v>129066</v>
      </c>
      <c r="CA9" s="273">
        <v>1180627</v>
      </c>
      <c r="CB9" s="85">
        <v>201309</v>
      </c>
      <c r="CC9" s="85">
        <v>620377</v>
      </c>
      <c r="CD9" s="85">
        <v>1485408</v>
      </c>
      <c r="CE9" s="85">
        <v>1588084</v>
      </c>
      <c r="CF9" s="85">
        <v>1298281</v>
      </c>
      <c r="CG9" s="85">
        <v>1613442</v>
      </c>
      <c r="CH9" s="85">
        <v>1588084</v>
      </c>
      <c r="CI9" s="85">
        <v>592672</v>
      </c>
      <c r="CJ9" s="85">
        <v>661268</v>
      </c>
      <c r="CK9" s="85">
        <v>620377</v>
      </c>
      <c r="CL9" s="85">
        <v>620377</v>
      </c>
      <c r="CM9" s="85">
        <v>1794708</v>
      </c>
      <c r="CN9" s="287">
        <v>178203</v>
      </c>
      <c r="CO9" s="85">
        <v>612053</v>
      </c>
      <c r="CP9" s="85">
        <v>786220</v>
      </c>
      <c r="CQ9" s="85">
        <v>764907</v>
      </c>
      <c r="CR9" s="85">
        <v>555030</v>
      </c>
      <c r="CS9" s="85">
        <v>1411753</v>
      </c>
      <c r="CT9" s="85">
        <v>669140</v>
      </c>
      <c r="CU9" s="85">
        <v>430077</v>
      </c>
      <c r="CV9" s="85">
        <v>309179</v>
      </c>
      <c r="CW9" s="85">
        <v>612021</v>
      </c>
      <c r="CX9" s="85">
        <v>223776</v>
      </c>
      <c r="CY9" s="85">
        <v>252456</v>
      </c>
      <c r="CZ9" s="288">
        <v>1560382</v>
      </c>
      <c r="DA9" s="287">
        <v>178203</v>
      </c>
      <c r="DB9" s="85">
        <v>596666</v>
      </c>
      <c r="DC9" s="85">
        <v>679382</v>
      </c>
      <c r="DD9" s="85">
        <v>764906</v>
      </c>
      <c r="DE9" s="85">
        <v>551557</v>
      </c>
      <c r="DF9" s="85">
        <v>1385865</v>
      </c>
      <c r="DG9" s="85">
        <v>669140</v>
      </c>
      <c r="DH9" s="85">
        <v>410515</v>
      </c>
      <c r="DI9" s="85">
        <v>302512</v>
      </c>
      <c r="DJ9" s="85">
        <v>596634</v>
      </c>
      <c r="DK9" s="85">
        <v>214386</v>
      </c>
      <c r="DL9" s="85">
        <v>246131</v>
      </c>
      <c r="DM9" s="288">
        <v>1547404</v>
      </c>
    </row>
    <row r="10" spans="1:117" ht="15" customHeight="1" x14ac:dyDescent="0.45">
      <c r="A10" s="169" t="s">
        <v>214</v>
      </c>
      <c r="B10" s="169" t="s">
        <v>199</v>
      </c>
      <c r="C10" s="169" t="s">
        <v>210</v>
      </c>
      <c r="D10" s="85">
        <v>303146</v>
      </c>
      <c r="E10" s="85">
        <v>495429</v>
      </c>
      <c r="F10" s="85">
        <v>1518221</v>
      </c>
      <c r="G10" s="85">
        <v>1847162</v>
      </c>
      <c r="H10" s="85">
        <v>1207226</v>
      </c>
      <c r="I10" s="85">
        <v>1567847</v>
      </c>
      <c r="J10" s="85">
        <v>1844728</v>
      </c>
      <c r="K10" s="85">
        <v>878160</v>
      </c>
      <c r="L10" s="85">
        <v>629704</v>
      </c>
      <c r="M10" s="85">
        <v>495429</v>
      </c>
      <c r="N10" s="85">
        <v>495429</v>
      </c>
      <c r="O10" s="85">
        <v>1870245</v>
      </c>
      <c r="P10" s="272">
        <v>160213</v>
      </c>
      <c r="Q10" s="85">
        <v>255296</v>
      </c>
      <c r="R10" s="85">
        <v>102657</v>
      </c>
      <c r="S10" s="85">
        <v>634704</v>
      </c>
      <c r="T10" s="85">
        <v>91537</v>
      </c>
      <c r="U10" s="85">
        <v>417091</v>
      </c>
      <c r="V10" s="85">
        <v>595491</v>
      </c>
      <c r="W10" s="85">
        <v>290902</v>
      </c>
      <c r="X10" s="85">
        <v>129880</v>
      </c>
      <c r="Y10" s="85">
        <v>110306</v>
      </c>
      <c r="Z10" s="85">
        <v>146904</v>
      </c>
      <c r="AA10" s="85">
        <v>93271</v>
      </c>
      <c r="AB10" s="273">
        <v>705031</v>
      </c>
      <c r="AC10" s="272">
        <v>72083</v>
      </c>
      <c r="AD10" s="85">
        <v>94491.800000000017</v>
      </c>
      <c r="AE10" s="85">
        <v>66134</v>
      </c>
      <c r="AF10" s="85">
        <v>505637</v>
      </c>
      <c r="AG10" s="85">
        <v>43384</v>
      </c>
      <c r="AH10" s="85">
        <v>123624</v>
      </c>
      <c r="AI10" s="85">
        <v>496317</v>
      </c>
      <c r="AJ10" s="85">
        <v>157109</v>
      </c>
      <c r="AK10" s="85">
        <v>66831</v>
      </c>
      <c r="AL10" s="85">
        <v>47570</v>
      </c>
      <c r="AM10" s="85">
        <v>56593</v>
      </c>
      <c r="AN10" s="85">
        <v>31456</v>
      </c>
      <c r="AO10" s="273">
        <v>563131</v>
      </c>
      <c r="AP10" s="85">
        <v>164313</v>
      </c>
      <c r="AQ10" s="85">
        <v>41078</v>
      </c>
      <c r="AR10" s="85">
        <v>0</v>
      </c>
      <c r="AS10" s="85">
        <v>1643127</v>
      </c>
      <c r="AT10" s="85">
        <v>1643127</v>
      </c>
      <c r="AU10" s="85">
        <v>1643127</v>
      </c>
      <c r="AV10" s="85">
        <v>1643127</v>
      </c>
      <c r="AW10" s="85">
        <v>575094</v>
      </c>
      <c r="AX10" s="85">
        <v>575094</v>
      </c>
      <c r="AY10" s="85">
        <v>41078</v>
      </c>
      <c r="AZ10" s="85">
        <v>41078</v>
      </c>
      <c r="BA10" s="85">
        <v>5048344.2923931899</v>
      </c>
      <c r="BB10" s="272">
        <v>65726</v>
      </c>
      <c r="BC10" s="85">
        <v>41078</v>
      </c>
      <c r="BD10" s="85">
        <v>0</v>
      </c>
      <c r="BE10" s="85">
        <v>432427</v>
      </c>
      <c r="BF10" s="85">
        <v>228177</v>
      </c>
      <c r="BG10" s="85">
        <v>410782</v>
      </c>
      <c r="BH10" s="85">
        <v>164313</v>
      </c>
      <c r="BI10" s="85">
        <v>243467</v>
      </c>
      <c r="BJ10" s="85">
        <v>24647</v>
      </c>
      <c r="BK10" s="85">
        <v>41078</v>
      </c>
      <c r="BL10" s="85">
        <v>13930</v>
      </c>
      <c r="BM10" s="85">
        <v>67420</v>
      </c>
      <c r="BN10" s="273">
        <v>432427</v>
      </c>
      <c r="BO10" s="272">
        <v>13145</v>
      </c>
      <c r="BP10" s="85">
        <v>8215</v>
      </c>
      <c r="BQ10" s="85">
        <v>0</v>
      </c>
      <c r="BR10" s="85">
        <v>86485</v>
      </c>
      <c r="BS10" s="85">
        <v>45635</v>
      </c>
      <c r="BT10" s="85">
        <v>82156</v>
      </c>
      <c r="BU10" s="85">
        <v>32863</v>
      </c>
      <c r="BV10" s="85">
        <v>48693</v>
      </c>
      <c r="BW10" s="85">
        <v>4930</v>
      </c>
      <c r="BX10" s="85">
        <v>8215</v>
      </c>
      <c r="BY10" s="85">
        <v>2786</v>
      </c>
      <c r="BZ10" s="85">
        <v>13484</v>
      </c>
      <c r="CA10" s="273">
        <v>86485</v>
      </c>
      <c r="CB10" s="85">
        <v>467459</v>
      </c>
      <c r="CC10" s="85">
        <v>536507</v>
      </c>
      <c r="CD10" s="85">
        <v>1518221</v>
      </c>
      <c r="CE10" s="85">
        <v>3490289</v>
      </c>
      <c r="CF10" s="85">
        <v>2850353</v>
      </c>
      <c r="CG10" s="85">
        <v>3210974</v>
      </c>
      <c r="CH10" s="85">
        <v>3487855</v>
      </c>
      <c r="CI10" s="85">
        <v>1453254</v>
      </c>
      <c r="CJ10" s="85">
        <v>1204798</v>
      </c>
      <c r="CK10" s="85">
        <v>536507</v>
      </c>
      <c r="CL10" s="85">
        <v>536507</v>
      </c>
      <c r="CM10" s="85">
        <v>6918589.2923931899</v>
      </c>
      <c r="CN10" s="287">
        <v>225939</v>
      </c>
      <c r="CO10" s="85">
        <v>296374</v>
      </c>
      <c r="CP10" s="85">
        <v>102657</v>
      </c>
      <c r="CQ10" s="85">
        <v>1067131</v>
      </c>
      <c r="CR10" s="85">
        <v>319714</v>
      </c>
      <c r="CS10" s="85">
        <v>827873</v>
      </c>
      <c r="CT10" s="85">
        <v>759804</v>
      </c>
      <c r="CU10" s="85">
        <v>534369</v>
      </c>
      <c r="CV10" s="85">
        <v>154527</v>
      </c>
      <c r="CW10" s="85">
        <v>151384</v>
      </c>
      <c r="CX10" s="85">
        <v>160834</v>
      </c>
      <c r="CY10" s="85">
        <v>160691</v>
      </c>
      <c r="CZ10" s="288">
        <v>1137458</v>
      </c>
      <c r="DA10" s="287">
        <v>85228</v>
      </c>
      <c r="DB10" s="85">
        <v>102706.80000000002</v>
      </c>
      <c r="DC10" s="85">
        <v>66134</v>
      </c>
      <c r="DD10" s="85">
        <v>592122</v>
      </c>
      <c r="DE10" s="85">
        <v>89019</v>
      </c>
      <c r="DF10" s="85">
        <v>205780</v>
      </c>
      <c r="DG10" s="85">
        <v>529180</v>
      </c>
      <c r="DH10" s="85">
        <v>205802</v>
      </c>
      <c r="DI10" s="85">
        <v>71761</v>
      </c>
      <c r="DJ10" s="85">
        <v>55785</v>
      </c>
      <c r="DK10" s="85">
        <v>59379</v>
      </c>
      <c r="DL10" s="85">
        <v>44940</v>
      </c>
      <c r="DM10" s="288">
        <v>649616</v>
      </c>
    </row>
    <row r="11" spans="1:117" ht="15" customHeight="1" x14ac:dyDescent="0.45">
      <c r="A11" s="169" t="s">
        <v>192</v>
      </c>
      <c r="B11" s="169" t="s">
        <v>193</v>
      </c>
      <c r="C11" s="169" t="s">
        <v>194</v>
      </c>
      <c r="D11" s="85"/>
      <c r="E11" s="85"/>
      <c r="F11" s="85"/>
      <c r="G11" s="85"/>
      <c r="H11" s="85"/>
      <c r="I11" s="85"/>
      <c r="J11" s="85"/>
      <c r="K11" s="85"/>
      <c r="L11" s="85"/>
      <c r="M11" s="85"/>
      <c r="N11" s="85"/>
      <c r="O11" s="85">
        <v>7414</v>
      </c>
      <c r="P11" s="272"/>
      <c r="Q11" s="85"/>
      <c r="R11" s="85"/>
      <c r="S11" s="85"/>
      <c r="T11" s="85"/>
      <c r="U11" s="85"/>
      <c r="V11" s="85"/>
      <c r="W11" s="85"/>
      <c r="X11" s="85"/>
      <c r="Y11" s="85"/>
      <c r="Z11" s="85"/>
      <c r="AA11" s="85"/>
      <c r="AB11" s="273">
        <v>4236</v>
      </c>
      <c r="AC11" s="272"/>
      <c r="AD11" s="85"/>
      <c r="AE11" s="85"/>
      <c r="AF11" s="85"/>
      <c r="AG11" s="85"/>
      <c r="AH11" s="85"/>
      <c r="AI11" s="85"/>
      <c r="AJ11" s="85"/>
      <c r="AK11" s="85"/>
      <c r="AL11" s="85"/>
      <c r="AM11" s="85"/>
      <c r="AN11" s="85"/>
      <c r="AO11" s="273">
        <v>4236</v>
      </c>
      <c r="AP11" s="85"/>
      <c r="AQ11" s="85"/>
      <c r="AR11" s="85"/>
      <c r="AS11" s="85"/>
      <c r="AT11" s="85"/>
      <c r="AU11" s="85"/>
      <c r="AV11" s="85"/>
      <c r="AW11" s="85"/>
      <c r="AX11" s="85"/>
      <c r="AY11" s="85"/>
      <c r="AZ11" s="85"/>
      <c r="BA11" s="85">
        <v>224914</v>
      </c>
      <c r="BB11" s="272"/>
      <c r="BC11" s="85"/>
      <c r="BD11" s="85"/>
      <c r="BE11" s="85"/>
      <c r="BF11" s="85"/>
      <c r="BG11" s="85"/>
      <c r="BH11" s="85"/>
      <c r="BI11" s="85"/>
      <c r="BJ11" s="85"/>
      <c r="BK11" s="85"/>
      <c r="BL11" s="85"/>
      <c r="BM11" s="85"/>
      <c r="BN11" s="273">
        <v>128460</v>
      </c>
      <c r="BO11" s="272"/>
      <c r="BP11" s="85"/>
      <c r="BQ11" s="85"/>
      <c r="BR11" s="85"/>
      <c r="BS11" s="85"/>
      <c r="BT11" s="85"/>
      <c r="BU11" s="85"/>
      <c r="BV11" s="85"/>
      <c r="BW11" s="85"/>
      <c r="BX11" s="85"/>
      <c r="BY11" s="85"/>
      <c r="BZ11" s="85"/>
      <c r="CA11" s="273">
        <v>128460</v>
      </c>
      <c r="CB11" s="85"/>
      <c r="CC11" s="85"/>
      <c r="CD11" s="85"/>
      <c r="CE11" s="85"/>
      <c r="CF11" s="85"/>
      <c r="CG11" s="85"/>
      <c r="CH11" s="85"/>
      <c r="CI11" s="85"/>
      <c r="CJ11" s="85"/>
      <c r="CK11" s="85"/>
      <c r="CL11" s="85"/>
      <c r="CM11" s="85">
        <v>232328</v>
      </c>
      <c r="CN11" s="287"/>
      <c r="CO11" s="85"/>
      <c r="CP11" s="85"/>
      <c r="CQ11" s="85"/>
      <c r="CR11" s="85"/>
      <c r="CS11" s="85"/>
      <c r="CT11" s="85"/>
      <c r="CU11" s="85"/>
      <c r="CV11" s="85"/>
      <c r="CW11" s="85"/>
      <c r="CX11" s="85"/>
      <c r="CY11" s="85"/>
      <c r="CZ11" s="288">
        <v>132696</v>
      </c>
      <c r="DA11" s="287"/>
      <c r="DB11" s="85"/>
      <c r="DC11" s="85"/>
      <c r="DD11" s="85"/>
      <c r="DE11" s="85"/>
      <c r="DF11" s="85"/>
      <c r="DG11" s="85"/>
      <c r="DH11" s="85"/>
      <c r="DI11" s="85"/>
      <c r="DJ11" s="85"/>
      <c r="DK11" s="85"/>
      <c r="DL11" s="85"/>
      <c r="DM11" s="288">
        <v>132696</v>
      </c>
    </row>
    <row r="12" spans="1:117" ht="15" customHeight="1" x14ac:dyDescent="0.45">
      <c r="A12" s="169" t="s">
        <v>195</v>
      </c>
      <c r="B12" s="169" t="s">
        <v>196</v>
      </c>
      <c r="C12" s="169" t="s">
        <v>197</v>
      </c>
      <c r="D12" s="85"/>
      <c r="E12" s="85"/>
      <c r="F12" s="85"/>
      <c r="G12" s="85"/>
      <c r="H12" s="85"/>
      <c r="I12" s="85"/>
      <c r="J12" s="85"/>
      <c r="K12" s="85"/>
      <c r="L12" s="85"/>
      <c r="M12" s="85"/>
      <c r="N12" s="85"/>
      <c r="O12" s="85">
        <v>10647</v>
      </c>
      <c r="P12" s="272"/>
      <c r="Q12" s="85"/>
      <c r="R12" s="85"/>
      <c r="S12" s="85"/>
      <c r="T12" s="85"/>
      <c r="U12" s="85"/>
      <c r="V12" s="85"/>
      <c r="W12" s="85"/>
      <c r="X12" s="85"/>
      <c r="Y12" s="85"/>
      <c r="Z12" s="85"/>
      <c r="AA12" s="85"/>
      <c r="AB12" s="273">
        <v>5182</v>
      </c>
      <c r="AC12" s="272"/>
      <c r="AD12" s="85"/>
      <c r="AE12" s="85"/>
      <c r="AF12" s="85"/>
      <c r="AG12" s="85"/>
      <c r="AH12" s="85"/>
      <c r="AI12" s="85"/>
      <c r="AJ12" s="85"/>
      <c r="AK12" s="85"/>
      <c r="AL12" s="85"/>
      <c r="AM12" s="85"/>
      <c r="AN12" s="85"/>
      <c r="AO12" s="273">
        <v>5182</v>
      </c>
      <c r="AP12" s="85"/>
      <c r="AQ12" s="85"/>
      <c r="AR12" s="85"/>
      <c r="AS12" s="85"/>
      <c r="AT12" s="85"/>
      <c r="AU12" s="85"/>
      <c r="AV12" s="85"/>
      <c r="AW12" s="85"/>
      <c r="AX12" s="85"/>
      <c r="AY12" s="85"/>
      <c r="AZ12" s="85"/>
      <c r="BA12" s="85">
        <v>225310</v>
      </c>
      <c r="BB12" s="272"/>
      <c r="BC12" s="85"/>
      <c r="BD12" s="85"/>
      <c r="BE12" s="85"/>
      <c r="BF12" s="85"/>
      <c r="BG12" s="85"/>
      <c r="BH12" s="85"/>
      <c r="BI12" s="85"/>
      <c r="BJ12" s="85"/>
      <c r="BK12" s="85"/>
      <c r="BL12" s="85"/>
      <c r="BM12" s="85"/>
      <c r="BN12" s="273">
        <v>155189</v>
      </c>
      <c r="BO12" s="272"/>
      <c r="BP12" s="85"/>
      <c r="BQ12" s="85"/>
      <c r="BR12" s="85"/>
      <c r="BS12" s="85"/>
      <c r="BT12" s="85"/>
      <c r="BU12" s="85"/>
      <c r="BV12" s="85"/>
      <c r="BW12" s="85"/>
      <c r="BX12" s="85"/>
      <c r="BY12" s="85"/>
      <c r="BZ12" s="85"/>
      <c r="CA12" s="273">
        <v>155189</v>
      </c>
      <c r="CB12" s="85"/>
      <c r="CC12" s="85"/>
      <c r="CD12" s="85"/>
      <c r="CE12" s="85"/>
      <c r="CF12" s="85"/>
      <c r="CG12" s="85"/>
      <c r="CH12" s="85"/>
      <c r="CI12" s="85"/>
      <c r="CJ12" s="85"/>
      <c r="CK12" s="85"/>
      <c r="CL12" s="85"/>
      <c r="CM12" s="85">
        <v>235957</v>
      </c>
      <c r="CN12" s="287"/>
      <c r="CO12" s="85"/>
      <c r="CP12" s="85"/>
      <c r="CQ12" s="85"/>
      <c r="CR12" s="85"/>
      <c r="CS12" s="85"/>
      <c r="CT12" s="85"/>
      <c r="CU12" s="85"/>
      <c r="CV12" s="85"/>
      <c r="CW12" s="85"/>
      <c r="CX12" s="85"/>
      <c r="CY12" s="85"/>
      <c r="CZ12" s="288">
        <v>160371</v>
      </c>
      <c r="DA12" s="287"/>
      <c r="DB12" s="85"/>
      <c r="DC12" s="85"/>
      <c r="DD12" s="85"/>
      <c r="DE12" s="85"/>
      <c r="DF12" s="85"/>
      <c r="DG12" s="85"/>
      <c r="DH12" s="85"/>
      <c r="DI12" s="85"/>
      <c r="DJ12" s="85"/>
      <c r="DK12" s="85"/>
      <c r="DL12" s="85"/>
      <c r="DM12" s="288">
        <v>160371</v>
      </c>
    </row>
    <row r="13" spans="1:117" ht="15" customHeight="1" x14ac:dyDescent="0.45">
      <c r="A13" s="169" t="s">
        <v>198</v>
      </c>
      <c r="B13" s="169" t="s">
        <v>199</v>
      </c>
      <c r="C13" s="169" t="s">
        <v>200</v>
      </c>
      <c r="D13" s="85"/>
      <c r="E13" s="85"/>
      <c r="F13" s="85"/>
      <c r="G13" s="85"/>
      <c r="H13" s="85"/>
      <c r="I13" s="85"/>
      <c r="J13" s="85"/>
      <c r="K13" s="85"/>
      <c r="L13" s="85"/>
      <c r="M13" s="85"/>
      <c r="N13" s="85"/>
      <c r="O13" s="85">
        <v>15802</v>
      </c>
      <c r="P13" s="272"/>
      <c r="Q13" s="85"/>
      <c r="R13" s="85"/>
      <c r="S13" s="85"/>
      <c r="T13" s="85"/>
      <c r="U13" s="85"/>
      <c r="V13" s="85"/>
      <c r="W13" s="85"/>
      <c r="X13" s="85"/>
      <c r="Y13" s="85"/>
      <c r="Z13" s="85"/>
      <c r="AA13" s="85"/>
      <c r="AB13" s="273">
        <v>1507</v>
      </c>
      <c r="AC13" s="272"/>
      <c r="AD13" s="85"/>
      <c r="AE13" s="85"/>
      <c r="AF13" s="85"/>
      <c r="AG13" s="85"/>
      <c r="AH13" s="85"/>
      <c r="AI13" s="85"/>
      <c r="AJ13" s="85"/>
      <c r="AK13" s="85"/>
      <c r="AL13" s="85"/>
      <c r="AM13" s="85"/>
      <c r="AN13" s="85"/>
      <c r="AO13" s="273">
        <v>1507</v>
      </c>
      <c r="AP13" s="85"/>
      <c r="AQ13" s="85"/>
      <c r="AR13" s="85"/>
      <c r="AS13" s="85"/>
      <c r="AT13" s="85"/>
      <c r="AU13" s="85"/>
      <c r="AV13" s="85"/>
      <c r="AW13" s="85"/>
      <c r="AX13" s="85"/>
      <c r="AY13" s="85"/>
      <c r="AZ13" s="85"/>
      <c r="BA13" s="85">
        <v>304427</v>
      </c>
      <c r="BB13" s="272"/>
      <c r="BC13" s="85"/>
      <c r="BD13" s="85"/>
      <c r="BE13" s="85"/>
      <c r="BF13" s="85"/>
      <c r="BG13" s="85"/>
      <c r="BH13" s="85"/>
      <c r="BI13" s="85"/>
      <c r="BJ13" s="85"/>
      <c r="BK13" s="85"/>
      <c r="BL13" s="85"/>
      <c r="BM13" s="85"/>
      <c r="BN13" s="273">
        <v>3028</v>
      </c>
      <c r="BO13" s="272"/>
      <c r="BP13" s="85"/>
      <c r="BQ13" s="85"/>
      <c r="BR13" s="85"/>
      <c r="BS13" s="85"/>
      <c r="BT13" s="85"/>
      <c r="BU13" s="85"/>
      <c r="BV13" s="85"/>
      <c r="BW13" s="85"/>
      <c r="BX13" s="85"/>
      <c r="BY13" s="85"/>
      <c r="BZ13" s="85"/>
      <c r="CA13" s="273">
        <v>3028</v>
      </c>
      <c r="CB13" s="85"/>
      <c r="CC13" s="85"/>
      <c r="CD13" s="85"/>
      <c r="CE13" s="85"/>
      <c r="CF13" s="85"/>
      <c r="CG13" s="85"/>
      <c r="CH13" s="85"/>
      <c r="CI13" s="85"/>
      <c r="CJ13" s="85"/>
      <c r="CK13" s="85"/>
      <c r="CL13" s="85"/>
      <c r="CM13" s="85">
        <v>320229</v>
      </c>
      <c r="CN13" s="287"/>
      <c r="CO13" s="85"/>
      <c r="CP13" s="85"/>
      <c r="CQ13" s="85"/>
      <c r="CR13" s="85"/>
      <c r="CS13" s="85"/>
      <c r="CT13" s="85"/>
      <c r="CU13" s="85"/>
      <c r="CV13" s="85"/>
      <c r="CW13" s="85"/>
      <c r="CX13" s="85"/>
      <c r="CY13" s="85"/>
      <c r="CZ13" s="288">
        <v>4535</v>
      </c>
      <c r="DA13" s="287"/>
      <c r="DB13" s="85"/>
      <c r="DC13" s="85"/>
      <c r="DD13" s="85"/>
      <c r="DE13" s="85"/>
      <c r="DF13" s="85"/>
      <c r="DG13" s="85"/>
      <c r="DH13" s="85"/>
      <c r="DI13" s="85"/>
      <c r="DJ13" s="85"/>
      <c r="DK13" s="85"/>
      <c r="DL13" s="85"/>
      <c r="DM13" s="288">
        <v>4535</v>
      </c>
    </row>
    <row r="14" spans="1:117" ht="15" customHeight="1" x14ac:dyDescent="0.45">
      <c r="A14" s="169" t="s">
        <v>201</v>
      </c>
      <c r="B14" s="169" t="s">
        <v>199</v>
      </c>
      <c r="C14" s="169" t="s">
        <v>202</v>
      </c>
      <c r="D14" s="85"/>
      <c r="E14" s="85"/>
      <c r="F14" s="85"/>
      <c r="G14" s="85"/>
      <c r="H14" s="85"/>
      <c r="I14" s="85"/>
      <c r="J14" s="85"/>
      <c r="K14" s="85"/>
      <c r="L14" s="85"/>
      <c r="M14" s="85"/>
      <c r="N14" s="85"/>
      <c r="O14" s="85">
        <v>9893</v>
      </c>
      <c r="P14" s="272"/>
      <c r="Q14" s="85"/>
      <c r="R14" s="85"/>
      <c r="S14" s="85"/>
      <c r="T14" s="85"/>
      <c r="U14" s="85"/>
      <c r="V14" s="85"/>
      <c r="W14" s="85"/>
      <c r="X14" s="85"/>
      <c r="Y14" s="85"/>
      <c r="Z14" s="85"/>
      <c r="AA14" s="85"/>
      <c r="AB14" s="273">
        <v>2028</v>
      </c>
      <c r="AC14" s="272"/>
      <c r="AD14" s="85"/>
      <c r="AE14" s="85"/>
      <c r="AF14" s="85"/>
      <c r="AG14" s="85"/>
      <c r="AH14" s="85"/>
      <c r="AI14" s="85"/>
      <c r="AJ14" s="85"/>
      <c r="AK14" s="85"/>
      <c r="AL14" s="85"/>
      <c r="AM14" s="85"/>
      <c r="AN14" s="85"/>
      <c r="AO14" s="273">
        <v>406</v>
      </c>
      <c r="AP14" s="85"/>
      <c r="AQ14" s="85"/>
      <c r="AR14" s="85"/>
      <c r="AS14" s="85"/>
      <c r="AT14" s="85"/>
      <c r="AU14" s="85"/>
      <c r="AV14" s="85"/>
      <c r="AW14" s="85"/>
      <c r="AX14" s="85"/>
      <c r="AY14" s="85"/>
      <c r="AZ14" s="85"/>
      <c r="BA14" s="85">
        <v>190590</v>
      </c>
      <c r="BB14" s="272"/>
      <c r="BC14" s="85"/>
      <c r="BD14" s="85"/>
      <c r="BE14" s="85"/>
      <c r="BF14" s="85"/>
      <c r="BG14" s="85"/>
      <c r="BH14" s="85"/>
      <c r="BI14" s="85"/>
      <c r="BJ14" s="85"/>
      <c r="BK14" s="85"/>
      <c r="BL14" s="85"/>
      <c r="BM14" s="85"/>
      <c r="BN14" s="273">
        <v>948</v>
      </c>
      <c r="BO14" s="272"/>
      <c r="BP14" s="85"/>
      <c r="BQ14" s="85"/>
      <c r="BR14" s="85"/>
      <c r="BS14" s="85"/>
      <c r="BT14" s="85"/>
      <c r="BU14" s="85"/>
      <c r="BV14" s="85"/>
      <c r="BW14" s="85"/>
      <c r="BX14" s="85"/>
      <c r="BY14" s="85"/>
      <c r="BZ14" s="85"/>
      <c r="CA14" s="273">
        <v>189</v>
      </c>
      <c r="CB14" s="85"/>
      <c r="CC14" s="85"/>
      <c r="CD14" s="85"/>
      <c r="CE14" s="85"/>
      <c r="CF14" s="85"/>
      <c r="CG14" s="85"/>
      <c r="CH14" s="85"/>
      <c r="CI14" s="85"/>
      <c r="CJ14" s="85"/>
      <c r="CK14" s="85"/>
      <c r="CL14" s="85"/>
      <c r="CM14" s="85">
        <v>200483</v>
      </c>
      <c r="CN14" s="287"/>
      <c r="CO14" s="85"/>
      <c r="CP14" s="85"/>
      <c r="CQ14" s="85"/>
      <c r="CR14" s="85"/>
      <c r="CS14" s="85"/>
      <c r="CT14" s="85"/>
      <c r="CU14" s="85"/>
      <c r="CV14" s="85"/>
      <c r="CW14" s="85"/>
      <c r="CX14" s="85"/>
      <c r="CY14" s="85"/>
      <c r="CZ14" s="288">
        <v>2976</v>
      </c>
      <c r="DA14" s="287"/>
      <c r="DB14" s="85"/>
      <c r="DC14" s="85"/>
      <c r="DD14" s="85"/>
      <c r="DE14" s="85"/>
      <c r="DF14" s="85"/>
      <c r="DG14" s="85"/>
      <c r="DH14" s="85"/>
      <c r="DI14" s="85"/>
      <c r="DJ14" s="85"/>
      <c r="DK14" s="85"/>
      <c r="DL14" s="85"/>
      <c r="DM14" s="288">
        <v>595</v>
      </c>
    </row>
    <row r="15" spans="1:117" ht="15" customHeight="1" thickBot="1" x14ac:dyDescent="0.5">
      <c r="A15" s="307" t="s">
        <v>141</v>
      </c>
      <c r="B15" s="307"/>
      <c r="C15" s="307"/>
      <c r="D15" s="176"/>
      <c r="E15" s="86"/>
      <c r="F15" s="86"/>
      <c r="G15" s="86"/>
      <c r="H15" s="86"/>
      <c r="I15" s="86"/>
      <c r="J15" s="86"/>
      <c r="K15" s="86"/>
      <c r="L15" s="86"/>
      <c r="M15" s="86"/>
      <c r="N15" s="86"/>
      <c r="O15" s="86">
        <f>SUBTOTAL(109,Overall[spAll_idp_pin_adopted])</f>
        <v>2472575</v>
      </c>
      <c r="P15" s="274"/>
      <c r="Q15" s="86"/>
      <c r="R15" s="86"/>
      <c r="S15" s="86"/>
      <c r="T15" s="86"/>
      <c r="U15" s="86"/>
      <c r="V15" s="86"/>
      <c r="W15" s="86"/>
      <c r="X15" s="86"/>
      <c r="Y15" s="86"/>
      <c r="Z15" s="86"/>
      <c r="AA15" s="86"/>
      <c r="AB15" s="275">
        <f>SUBTOTAL(109,Overall[spAll_idp_target_joint])</f>
        <v>1222467</v>
      </c>
      <c r="AC15" s="274"/>
      <c r="AD15" s="86"/>
      <c r="AE15" s="86"/>
      <c r="AF15" s="86"/>
      <c r="AG15" s="86"/>
      <c r="AH15" s="86"/>
      <c r="AI15" s="86"/>
      <c r="AJ15" s="86"/>
      <c r="AK15" s="86"/>
      <c r="AL15" s="86"/>
      <c r="AM15" s="86"/>
      <c r="AN15" s="86"/>
      <c r="AO15" s="275">
        <f>SUBTOTAL(109,Overall[spAll_idp_targetPr_joint])</f>
        <v>1078945</v>
      </c>
      <c r="AP15" s="176"/>
      <c r="AQ15" s="86"/>
      <c r="AR15" s="86"/>
      <c r="AS15" s="86"/>
      <c r="AT15" s="86"/>
      <c r="AU15" s="86"/>
      <c r="AV15" s="86"/>
      <c r="AW15" s="86"/>
      <c r="AX15" s="86"/>
      <c r="AY15" s="86"/>
      <c r="AZ15" s="86"/>
      <c r="BA15" s="86">
        <f>SUBTOTAL(109,Overall[spAll_ndp_pin_adopted])</f>
        <v>8377122.2923931899</v>
      </c>
      <c r="BB15" s="274"/>
      <c r="BC15" s="86"/>
      <c r="BD15" s="86"/>
      <c r="BE15" s="86"/>
      <c r="BF15" s="86"/>
      <c r="BG15" s="86"/>
      <c r="BH15" s="86"/>
      <c r="BI15" s="86"/>
      <c r="BJ15" s="86"/>
      <c r="BK15" s="86"/>
      <c r="BL15" s="86"/>
      <c r="BM15" s="86"/>
      <c r="BN15" s="275">
        <f>SUBTOTAL(109,Overall[spAll_ndp_target_joint])</f>
        <v>2896487</v>
      </c>
      <c r="BO15" s="274"/>
      <c r="BP15" s="86"/>
      <c r="BQ15" s="86"/>
      <c r="BR15" s="86"/>
      <c r="BS15" s="86"/>
      <c r="BT15" s="86"/>
      <c r="BU15" s="86"/>
      <c r="BV15" s="86"/>
      <c r="BW15" s="86"/>
      <c r="BX15" s="86"/>
      <c r="BY15" s="86"/>
      <c r="BZ15" s="86"/>
      <c r="CA15" s="275">
        <f>SUBTOTAL(109,Overall[spAll_ndp_targetPr_joint])</f>
        <v>2536808</v>
      </c>
      <c r="CB15" s="176"/>
      <c r="CC15" s="86"/>
      <c r="CD15" s="86"/>
      <c r="CE15" s="86"/>
      <c r="CF15" s="86"/>
      <c r="CG15" s="86"/>
      <c r="CH15" s="86"/>
      <c r="CI15" s="86"/>
      <c r="CJ15" s="86"/>
      <c r="CK15" s="86"/>
      <c r="CL15" s="86"/>
      <c r="CM15" s="86">
        <f>SUBTOTAL(109,Overall[spAll_overall_pin_adopted])</f>
        <v>10849697.292393189</v>
      </c>
      <c r="CN15" s="289"/>
      <c r="CO15" s="290"/>
      <c r="CP15" s="290"/>
      <c r="CQ15" s="290"/>
      <c r="CR15" s="290"/>
      <c r="CS15" s="290"/>
      <c r="CT15" s="290"/>
      <c r="CU15" s="290"/>
      <c r="CV15" s="290"/>
      <c r="CW15" s="290"/>
      <c r="CX15" s="290"/>
      <c r="CY15" s="290"/>
      <c r="CZ15" s="291">
        <f>SUBTOTAL(109,Overall[spAll_overall_target_joint])</f>
        <v>4118954</v>
      </c>
      <c r="DA15" s="289"/>
      <c r="DB15" s="290"/>
      <c r="DC15" s="290"/>
      <c r="DD15" s="290"/>
      <c r="DE15" s="290"/>
      <c r="DF15" s="290"/>
      <c r="DG15" s="290"/>
      <c r="DH15" s="290"/>
      <c r="DI15" s="290"/>
      <c r="DJ15" s="290"/>
      <c r="DK15" s="290"/>
      <c r="DL15" s="290"/>
      <c r="DM15" s="291">
        <f>SUBTOTAL(109,Overall[spAll_overall_targetPr_joint])</f>
        <v>3615753</v>
      </c>
    </row>
    <row r="16" spans="1:117" x14ac:dyDescent="0.45">
      <c r="D16" s="24"/>
      <c r="E16" s="24"/>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row>
    <row r="17" spans="42:59" x14ac:dyDescent="0.45">
      <c r="AP17" s="169"/>
      <c r="AQ17" s="169"/>
      <c r="AR17" s="169"/>
      <c r="AS17" s="169"/>
      <c r="AT17" s="169"/>
      <c r="AU17" s="169"/>
      <c r="AV17" s="169"/>
      <c r="AW17" s="169"/>
      <c r="AX17" s="169"/>
      <c r="AY17" s="169"/>
      <c r="AZ17" s="169"/>
      <c r="BA17" s="169"/>
      <c r="BB17" s="169"/>
      <c r="BC17" s="169"/>
      <c r="BD17" s="169"/>
      <c r="BE17" s="169"/>
      <c r="BF17" s="169"/>
      <c r="BG17" s="169"/>
    </row>
  </sheetData>
  <mergeCells count="9">
    <mergeCell ref="AB5:AB6"/>
    <mergeCell ref="BA5:BA6"/>
    <mergeCell ref="AO5:AO6"/>
    <mergeCell ref="O5:O6"/>
    <mergeCell ref="DM5:DM6"/>
    <mergeCell ref="CZ5:CZ6"/>
    <mergeCell ref="CM5:CM6"/>
    <mergeCell ref="BN5:BN6"/>
    <mergeCell ref="CA5:CA6"/>
  </mergeCells>
  <phoneticPr fontId="2" type="noConversion"/>
  <pageMargins left="0.7" right="0.7" top="0.75" bottom="0.75" header="0.3" footer="0.3"/>
  <pageSetup paperSize="9" fitToHeight="0"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F25A5-3857-4AD4-A314-A51B2F7C4110}">
  <sheetPr codeName="Sheet12"/>
  <dimension ref="A1:AG72"/>
  <sheetViews>
    <sheetView showGridLines="0" zoomScaleNormal="100" workbookViewId="0">
      <pane xSplit="5" ySplit="7" topLeftCell="F8" activePane="bottomRight" state="frozen"/>
      <selection activeCell="F21" sqref="F21"/>
      <selection pane="topRight" activeCell="F21" sqref="F21"/>
      <selection pane="bottomLeft" activeCell="F21" sqref="F21"/>
      <selection pane="bottomRight"/>
    </sheetView>
  </sheetViews>
  <sheetFormatPr defaultRowHeight="15" customHeight="1" x14ac:dyDescent="0.45"/>
  <cols>
    <col min="1" max="1" width="15.53125" customWidth="1"/>
    <col min="2" max="2" width="12" customWidth="1"/>
    <col min="3" max="3" width="16" customWidth="1"/>
    <col min="4" max="4" width="9" customWidth="1"/>
    <col min="5" max="5" width="16.46484375" customWidth="1"/>
    <col min="6" max="6" width="13.9296875" customWidth="1"/>
    <col min="7" max="7" width="10.1328125" customWidth="1"/>
    <col min="8" max="10" width="13.19921875" customWidth="1"/>
    <col min="11" max="12" width="10.1328125" customWidth="1"/>
    <col min="13" max="16" width="9.86328125" customWidth="1"/>
    <col min="17" max="17" width="10.86328125" customWidth="1"/>
    <col min="18" max="18" width="10.19921875" customWidth="1"/>
    <col min="19" max="28" width="10.3984375" customWidth="1"/>
  </cols>
  <sheetData>
    <row r="1" spans="1:33" ht="16.8" customHeight="1" x14ac:dyDescent="0.45">
      <c r="A1" s="296" t="s">
        <v>730</v>
      </c>
    </row>
    <row r="2" spans="1:33" ht="19.899999999999999" x14ac:dyDescent="0.45">
      <c r="A2" s="297" t="s">
        <v>4278</v>
      </c>
    </row>
    <row r="3" spans="1:33" ht="14.25" x14ac:dyDescent="0.45">
      <c r="A3" s="5" t="str">
        <f>ActivityList!A3</f>
        <v>Release Date: 13 January 2026</v>
      </c>
      <c r="S3" s="143"/>
      <c r="T3" s="143"/>
      <c r="U3" s="143"/>
      <c r="V3" s="143"/>
      <c r="W3" s="143"/>
    </row>
    <row r="4" spans="1:33" ht="15.75" x14ac:dyDescent="0.5">
      <c r="G4" s="34"/>
      <c r="H4" s="34"/>
      <c r="I4" s="34"/>
      <c r="J4" s="34"/>
      <c r="K4" s="34"/>
      <c r="L4" s="34"/>
      <c r="M4" s="49" t="s">
        <v>154</v>
      </c>
      <c r="N4" s="49" t="s">
        <v>155</v>
      </c>
      <c r="O4" s="49" t="s">
        <v>156</v>
      </c>
      <c r="P4" s="49" t="s">
        <v>157</v>
      </c>
      <c r="Q4" s="49" t="s">
        <v>382</v>
      </c>
      <c r="R4" s="49" t="s">
        <v>158</v>
      </c>
    </row>
    <row r="5" spans="1:33" ht="16.25" customHeight="1" x14ac:dyDescent="0.45">
      <c r="A5" s="2" t="s">
        <v>159</v>
      </c>
      <c r="B5" s="2"/>
      <c r="C5" s="2" t="s">
        <v>160</v>
      </c>
      <c r="D5" s="2"/>
      <c r="E5" s="2"/>
      <c r="F5" s="165" t="s">
        <v>369</v>
      </c>
      <c r="G5" s="37" t="s">
        <v>396</v>
      </c>
      <c r="H5" s="38"/>
      <c r="I5" s="38"/>
      <c r="J5" s="38"/>
      <c r="K5" s="38"/>
      <c r="L5" s="39"/>
      <c r="M5" s="43" t="s">
        <v>224</v>
      </c>
      <c r="N5" s="43"/>
      <c r="O5" s="43"/>
      <c r="P5" s="43"/>
      <c r="Q5" s="43"/>
      <c r="R5" s="43"/>
      <c r="S5" s="35" t="s">
        <v>225</v>
      </c>
      <c r="T5" s="35"/>
      <c r="U5" s="35"/>
      <c r="V5" s="35"/>
      <c r="W5" s="35"/>
      <c r="X5" s="67" t="s">
        <v>226</v>
      </c>
      <c r="Y5" s="67"/>
      <c r="Z5" s="67"/>
      <c r="AA5" s="67"/>
      <c r="AB5" s="67"/>
      <c r="AC5" s="189" t="s">
        <v>4035</v>
      </c>
      <c r="AD5" s="189"/>
      <c r="AE5" s="189"/>
      <c r="AF5" s="189"/>
      <c r="AG5" s="189"/>
    </row>
    <row r="6" spans="1:33" s="80" customFormat="1" ht="14.25" x14ac:dyDescent="0.45">
      <c r="A6" s="146" t="s">
        <v>161</v>
      </c>
      <c r="B6" s="146" t="s">
        <v>162</v>
      </c>
      <c r="C6" s="146" t="s">
        <v>163</v>
      </c>
      <c r="D6" s="146" t="s">
        <v>4252</v>
      </c>
      <c r="E6" s="146" t="s">
        <v>138</v>
      </c>
      <c r="F6" s="166" t="s">
        <v>4253</v>
      </c>
      <c r="G6" s="147" t="s">
        <v>31</v>
      </c>
      <c r="H6" s="148" t="s">
        <v>36</v>
      </c>
      <c r="I6" s="148" t="s">
        <v>37</v>
      </c>
      <c r="J6" s="148" t="s">
        <v>38</v>
      </c>
      <c r="K6" s="148" t="s">
        <v>164</v>
      </c>
      <c r="L6" s="149" t="s">
        <v>11</v>
      </c>
      <c r="M6" s="69" t="s">
        <v>31</v>
      </c>
      <c r="N6" s="69" t="s">
        <v>36</v>
      </c>
      <c r="O6" s="69" t="s">
        <v>37</v>
      </c>
      <c r="P6" s="69" t="s">
        <v>38</v>
      </c>
      <c r="Q6" s="69" t="s">
        <v>164</v>
      </c>
      <c r="R6" s="69" t="s">
        <v>11</v>
      </c>
      <c r="S6" s="150" t="s">
        <v>31</v>
      </c>
      <c r="T6" s="150" t="s">
        <v>36</v>
      </c>
      <c r="U6" s="150" t="s">
        <v>37</v>
      </c>
      <c r="V6" s="150" t="s">
        <v>38</v>
      </c>
      <c r="W6" s="150" t="s">
        <v>11</v>
      </c>
      <c r="X6" s="151" t="s">
        <v>31</v>
      </c>
      <c r="Y6" s="151" t="s">
        <v>36</v>
      </c>
      <c r="Z6" s="151" t="s">
        <v>37</v>
      </c>
      <c r="AA6" s="151" t="s">
        <v>38</v>
      </c>
      <c r="AB6" s="151" t="s">
        <v>11</v>
      </c>
      <c r="AC6" s="261" t="s">
        <v>31</v>
      </c>
      <c r="AD6" s="261" t="s">
        <v>36</v>
      </c>
      <c r="AE6" s="261" t="s">
        <v>37</v>
      </c>
      <c r="AF6" s="261" t="s">
        <v>38</v>
      </c>
      <c r="AG6" s="261" t="s">
        <v>11</v>
      </c>
    </row>
    <row r="7" spans="1:33" ht="14.25" x14ac:dyDescent="0.45">
      <c r="A7" s="3" t="s">
        <v>165</v>
      </c>
      <c r="B7" s="3" t="s">
        <v>166</v>
      </c>
      <c r="C7" s="3" t="s">
        <v>167</v>
      </c>
      <c r="D7" s="3" t="s">
        <v>168</v>
      </c>
      <c r="E7" s="3" t="s">
        <v>169</v>
      </c>
      <c r="F7" s="25" t="s">
        <v>397</v>
      </c>
      <c r="G7" s="15" t="s">
        <v>398</v>
      </c>
      <c r="H7" s="16" t="s">
        <v>399</v>
      </c>
      <c r="I7" s="128" t="s">
        <v>400</v>
      </c>
      <c r="J7" s="128" t="s">
        <v>401</v>
      </c>
      <c r="K7" s="128" t="s">
        <v>402</v>
      </c>
      <c r="L7" s="128" t="s">
        <v>403</v>
      </c>
      <c r="M7" s="15" t="s">
        <v>227</v>
      </c>
      <c r="N7" s="45" t="s">
        <v>228</v>
      </c>
      <c r="O7" s="45" t="s">
        <v>229</v>
      </c>
      <c r="P7" s="45" t="s">
        <v>230</v>
      </c>
      <c r="Q7" s="45" t="s">
        <v>231</v>
      </c>
      <c r="R7" s="45" t="s">
        <v>232</v>
      </c>
      <c r="S7" s="47" t="s">
        <v>233</v>
      </c>
      <c r="T7" s="4" t="s">
        <v>234</v>
      </c>
      <c r="U7" s="4" t="s">
        <v>235</v>
      </c>
      <c r="V7" s="4" t="s">
        <v>236</v>
      </c>
      <c r="W7" s="7" t="s">
        <v>237</v>
      </c>
      <c r="X7" s="139" t="s">
        <v>238</v>
      </c>
      <c r="Y7" s="53" t="s">
        <v>239</v>
      </c>
      <c r="Z7" s="53" t="s">
        <v>240</v>
      </c>
      <c r="AA7" s="53" t="s">
        <v>241</v>
      </c>
      <c r="AB7" s="144" t="s">
        <v>242</v>
      </c>
      <c r="AC7" s="139" t="s">
        <v>4136</v>
      </c>
      <c r="AD7" s="53" t="s">
        <v>4137</v>
      </c>
      <c r="AE7" s="53" t="s">
        <v>4138</v>
      </c>
      <c r="AF7" s="53" t="s">
        <v>4139</v>
      </c>
      <c r="AG7" s="144" t="s">
        <v>4140</v>
      </c>
    </row>
    <row r="8" spans="1:33" ht="14.25" x14ac:dyDescent="0.45">
      <c r="A8" t="s">
        <v>243</v>
      </c>
      <c r="B8" t="s">
        <v>244</v>
      </c>
      <c r="C8" t="s">
        <v>245</v>
      </c>
      <c r="D8" t="s">
        <v>199</v>
      </c>
      <c r="E8" t="s">
        <v>246</v>
      </c>
      <c r="F8" s="8">
        <v>1346645</v>
      </c>
      <c r="G8" s="152">
        <v>0</v>
      </c>
      <c r="H8" s="153">
        <v>0</v>
      </c>
      <c r="I8" s="153">
        <v>0</v>
      </c>
      <c r="J8" s="154">
        <v>88646</v>
      </c>
      <c r="K8" s="155">
        <v>0</v>
      </c>
      <c r="L8" s="153">
        <v>0</v>
      </c>
      <c r="M8" s="152">
        <v>0</v>
      </c>
      <c r="N8" s="153">
        <v>0</v>
      </c>
      <c r="O8" s="153">
        <v>0</v>
      </c>
      <c r="P8" s="154">
        <v>71599</v>
      </c>
      <c r="Q8" s="155">
        <v>0</v>
      </c>
      <c r="R8" s="153">
        <v>0</v>
      </c>
      <c r="S8" s="156">
        <v>0</v>
      </c>
      <c r="T8" s="154">
        <v>0</v>
      </c>
      <c r="U8" s="154">
        <v>3</v>
      </c>
      <c r="V8" s="154">
        <v>3</v>
      </c>
      <c r="W8" s="154">
        <v>3</v>
      </c>
      <c r="X8" s="152">
        <v>0</v>
      </c>
      <c r="Y8" s="155">
        <v>0</v>
      </c>
      <c r="Z8" s="155">
        <v>0</v>
      </c>
      <c r="AA8" s="154">
        <v>34095</v>
      </c>
      <c r="AB8" s="161">
        <v>0</v>
      </c>
      <c r="AC8" s="152">
        <v>0</v>
      </c>
      <c r="AD8" s="155">
        <v>0</v>
      </c>
      <c r="AE8" s="155">
        <v>0</v>
      </c>
      <c r="AF8" s="154">
        <v>34095</v>
      </c>
      <c r="AG8" s="161">
        <v>0</v>
      </c>
    </row>
    <row r="9" spans="1:33" ht="14.25" x14ac:dyDescent="0.45">
      <c r="A9" t="s">
        <v>247</v>
      </c>
      <c r="B9" t="s">
        <v>248</v>
      </c>
      <c r="C9" t="s">
        <v>245</v>
      </c>
      <c r="D9" t="s">
        <v>199</v>
      </c>
      <c r="E9" t="s">
        <v>249</v>
      </c>
      <c r="F9" s="8">
        <v>915568</v>
      </c>
      <c r="G9" s="152">
        <v>0</v>
      </c>
      <c r="H9" s="153">
        <v>0</v>
      </c>
      <c r="I9" s="153">
        <v>0</v>
      </c>
      <c r="J9" s="154">
        <v>31262</v>
      </c>
      <c r="K9" s="155">
        <v>0</v>
      </c>
      <c r="L9" s="153">
        <v>0</v>
      </c>
      <c r="M9" s="152">
        <v>0</v>
      </c>
      <c r="N9" s="153">
        <v>0</v>
      </c>
      <c r="O9" s="153">
        <v>0</v>
      </c>
      <c r="P9" s="154">
        <v>26453</v>
      </c>
      <c r="Q9" s="155">
        <v>0</v>
      </c>
      <c r="R9" s="153">
        <v>0</v>
      </c>
      <c r="S9" s="156">
        <v>0</v>
      </c>
      <c r="T9" s="154">
        <v>0</v>
      </c>
      <c r="U9" s="154">
        <v>3</v>
      </c>
      <c r="V9" s="154">
        <v>3</v>
      </c>
      <c r="W9" s="154">
        <v>3</v>
      </c>
      <c r="X9" s="152">
        <v>0</v>
      </c>
      <c r="Y9" s="155">
        <v>0</v>
      </c>
      <c r="Z9" s="155">
        <v>0</v>
      </c>
      <c r="AA9" s="154">
        <v>11761</v>
      </c>
      <c r="AB9" s="161">
        <v>0</v>
      </c>
      <c r="AC9" s="152">
        <v>0</v>
      </c>
      <c r="AD9" s="155">
        <v>0</v>
      </c>
      <c r="AE9" s="155">
        <v>0</v>
      </c>
      <c r="AF9" s="154">
        <v>11761</v>
      </c>
      <c r="AG9" s="161">
        <v>0</v>
      </c>
    </row>
    <row r="10" spans="1:33" ht="14.25" x14ac:dyDescent="0.45">
      <c r="A10" t="s">
        <v>250</v>
      </c>
      <c r="B10" t="s">
        <v>251</v>
      </c>
      <c r="C10" t="s">
        <v>252</v>
      </c>
      <c r="D10" t="s">
        <v>193</v>
      </c>
      <c r="E10" t="s">
        <v>253</v>
      </c>
      <c r="F10" s="8">
        <v>228268</v>
      </c>
      <c r="G10" s="152">
        <v>228268</v>
      </c>
      <c r="H10" s="153">
        <v>0</v>
      </c>
      <c r="I10" s="153">
        <v>0</v>
      </c>
      <c r="J10" s="154">
        <v>228268</v>
      </c>
      <c r="K10" s="155">
        <v>0</v>
      </c>
      <c r="L10" s="153">
        <v>0</v>
      </c>
      <c r="M10" s="152">
        <v>210709</v>
      </c>
      <c r="N10" s="153">
        <v>0</v>
      </c>
      <c r="O10" s="153">
        <v>0</v>
      </c>
      <c r="P10" s="154">
        <v>89572</v>
      </c>
      <c r="Q10" s="155">
        <v>0</v>
      </c>
      <c r="R10" s="153">
        <v>0</v>
      </c>
      <c r="S10" s="156">
        <v>5</v>
      </c>
      <c r="T10" s="154">
        <v>4</v>
      </c>
      <c r="U10" s="154">
        <v>5</v>
      </c>
      <c r="V10" s="154">
        <v>5</v>
      </c>
      <c r="W10" s="154">
        <v>5</v>
      </c>
      <c r="X10" s="152">
        <v>210709</v>
      </c>
      <c r="Y10" s="155">
        <v>0</v>
      </c>
      <c r="Z10" s="155">
        <v>0</v>
      </c>
      <c r="AA10" s="154">
        <v>40036</v>
      </c>
      <c r="AB10" s="161">
        <v>0</v>
      </c>
      <c r="AC10" s="152">
        <v>210709</v>
      </c>
      <c r="AD10" s="155">
        <v>0</v>
      </c>
      <c r="AE10" s="155">
        <v>0</v>
      </c>
      <c r="AF10" s="154">
        <v>40036</v>
      </c>
      <c r="AG10" s="161">
        <v>0</v>
      </c>
    </row>
    <row r="11" spans="1:33" ht="14.25" x14ac:dyDescent="0.45">
      <c r="A11" t="s">
        <v>250</v>
      </c>
      <c r="B11" t="s">
        <v>251</v>
      </c>
      <c r="C11" t="s">
        <v>254</v>
      </c>
      <c r="D11" t="s">
        <v>196</v>
      </c>
      <c r="E11" t="s">
        <v>255</v>
      </c>
      <c r="F11" s="8">
        <v>164650</v>
      </c>
      <c r="G11" s="152">
        <v>98942.748157433001</v>
      </c>
      <c r="H11" s="153">
        <v>0</v>
      </c>
      <c r="I11" s="153">
        <v>0</v>
      </c>
      <c r="J11" s="154">
        <v>88538</v>
      </c>
      <c r="K11" s="155">
        <v>0</v>
      </c>
      <c r="L11" s="153">
        <v>0</v>
      </c>
      <c r="M11" s="152">
        <v>82212</v>
      </c>
      <c r="N11" s="153">
        <v>0</v>
      </c>
      <c r="O11" s="153">
        <v>0</v>
      </c>
      <c r="P11" s="154">
        <v>48204</v>
      </c>
      <c r="Q11" s="155">
        <v>0</v>
      </c>
      <c r="R11" s="153">
        <v>0</v>
      </c>
      <c r="S11" s="156">
        <v>4</v>
      </c>
      <c r="T11" s="154">
        <v>0</v>
      </c>
      <c r="U11" s="154">
        <v>4</v>
      </c>
      <c r="V11" s="154">
        <v>4</v>
      </c>
      <c r="W11" s="154">
        <v>4</v>
      </c>
      <c r="X11" s="152">
        <v>80620</v>
      </c>
      <c r="Y11" s="155">
        <v>0</v>
      </c>
      <c r="Z11" s="155">
        <v>0</v>
      </c>
      <c r="AA11" s="154">
        <v>36546</v>
      </c>
      <c r="AB11" s="161">
        <v>0</v>
      </c>
      <c r="AC11" s="152">
        <v>80620</v>
      </c>
      <c r="AD11" s="155">
        <v>0</v>
      </c>
      <c r="AE11" s="155">
        <v>0</v>
      </c>
      <c r="AF11" s="154">
        <v>36546</v>
      </c>
      <c r="AG11" s="161">
        <v>0</v>
      </c>
    </row>
    <row r="12" spans="1:33" ht="14.25" x14ac:dyDescent="0.45">
      <c r="A12" t="s">
        <v>250</v>
      </c>
      <c r="B12" t="s">
        <v>251</v>
      </c>
      <c r="C12" t="s">
        <v>256</v>
      </c>
      <c r="D12" t="s">
        <v>199</v>
      </c>
      <c r="E12" t="s">
        <v>257</v>
      </c>
      <c r="F12" s="8">
        <v>2785796</v>
      </c>
      <c r="G12" s="152">
        <v>0</v>
      </c>
      <c r="H12" s="153">
        <v>0</v>
      </c>
      <c r="I12" s="153">
        <v>0</v>
      </c>
      <c r="J12" s="154">
        <v>325353</v>
      </c>
      <c r="K12" s="155">
        <v>0</v>
      </c>
      <c r="L12" s="153">
        <v>0</v>
      </c>
      <c r="M12" s="152">
        <v>0</v>
      </c>
      <c r="N12" s="153">
        <v>0</v>
      </c>
      <c r="O12" s="153">
        <v>0</v>
      </c>
      <c r="P12" s="154">
        <v>276793</v>
      </c>
      <c r="Q12" s="155">
        <v>0</v>
      </c>
      <c r="R12" s="153">
        <v>0</v>
      </c>
      <c r="S12" s="156">
        <v>0</v>
      </c>
      <c r="T12" s="154">
        <v>0</v>
      </c>
      <c r="U12" s="154">
        <v>3</v>
      </c>
      <c r="V12" s="154">
        <v>4</v>
      </c>
      <c r="W12" s="154">
        <v>4</v>
      </c>
      <c r="X12" s="152">
        <v>0</v>
      </c>
      <c r="Y12" s="155">
        <v>0</v>
      </c>
      <c r="Z12" s="155">
        <v>0</v>
      </c>
      <c r="AA12" s="154">
        <v>138397</v>
      </c>
      <c r="AB12" s="161">
        <v>0</v>
      </c>
      <c r="AC12" s="152">
        <v>0</v>
      </c>
      <c r="AD12" s="155">
        <v>0</v>
      </c>
      <c r="AE12" s="155">
        <v>0</v>
      </c>
      <c r="AF12" s="154">
        <v>138397</v>
      </c>
      <c r="AG12" s="161">
        <v>0</v>
      </c>
    </row>
    <row r="13" spans="1:33" ht="14.25" x14ac:dyDescent="0.45">
      <c r="A13" t="s">
        <v>258</v>
      </c>
      <c r="B13" t="s">
        <v>259</v>
      </c>
      <c r="C13" t="s">
        <v>252</v>
      </c>
      <c r="D13" t="s">
        <v>193</v>
      </c>
      <c r="E13" t="s">
        <v>260</v>
      </c>
      <c r="F13" s="8">
        <v>180210</v>
      </c>
      <c r="G13" s="152">
        <v>180210</v>
      </c>
      <c r="H13" s="153">
        <v>0</v>
      </c>
      <c r="I13" s="153">
        <v>0</v>
      </c>
      <c r="J13" s="154">
        <v>180210</v>
      </c>
      <c r="K13" s="155">
        <v>0</v>
      </c>
      <c r="L13" s="153">
        <v>0</v>
      </c>
      <c r="M13" s="152">
        <v>167637</v>
      </c>
      <c r="N13" s="153">
        <v>0</v>
      </c>
      <c r="O13" s="153">
        <v>0</v>
      </c>
      <c r="P13" s="154">
        <v>79143</v>
      </c>
      <c r="Q13" s="155">
        <v>0</v>
      </c>
      <c r="R13" s="153">
        <v>0</v>
      </c>
      <c r="S13" s="156">
        <v>5</v>
      </c>
      <c r="T13" s="154">
        <v>4</v>
      </c>
      <c r="U13" s="154">
        <v>5</v>
      </c>
      <c r="V13" s="154">
        <v>5</v>
      </c>
      <c r="W13" s="154">
        <v>5</v>
      </c>
      <c r="X13" s="152">
        <v>167637</v>
      </c>
      <c r="Y13" s="155">
        <v>0</v>
      </c>
      <c r="Z13" s="155">
        <v>0</v>
      </c>
      <c r="AA13" s="154">
        <v>32596</v>
      </c>
      <c r="AB13" s="161">
        <v>0</v>
      </c>
      <c r="AC13" s="152">
        <v>167637</v>
      </c>
      <c r="AD13" s="155">
        <v>0</v>
      </c>
      <c r="AE13" s="155">
        <v>0</v>
      </c>
      <c r="AF13" s="154">
        <v>32596</v>
      </c>
      <c r="AG13" s="161">
        <v>0</v>
      </c>
    </row>
    <row r="14" spans="1:33" ht="14.25" x14ac:dyDescent="0.45">
      <c r="A14" t="s">
        <v>258</v>
      </c>
      <c r="B14" t="s">
        <v>259</v>
      </c>
      <c r="C14" t="s">
        <v>254</v>
      </c>
      <c r="D14" t="s">
        <v>196</v>
      </c>
      <c r="E14" t="s">
        <v>261</v>
      </c>
      <c r="F14" s="8">
        <v>61456</v>
      </c>
      <c r="G14" s="152">
        <v>45700.320498224006</v>
      </c>
      <c r="H14" s="153">
        <v>0</v>
      </c>
      <c r="I14" s="153">
        <v>0</v>
      </c>
      <c r="J14" s="154">
        <v>42803</v>
      </c>
      <c r="K14" s="155">
        <v>0</v>
      </c>
      <c r="L14" s="153">
        <v>0</v>
      </c>
      <c r="M14" s="152">
        <v>38016</v>
      </c>
      <c r="N14" s="153">
        <v>0</v>
      </c>
      <c r="O14" s="153">
        <v>0</v>
      </c>
      <c r="P14" s="154">
        <v>18019</v>
      </c>
      <c r="Q14" s="155">
        <v>0</v>
      </c>
      <c r="R14" s="153">
        <v>0</v>
      </c>
      <c r="S14" s="156">
        <v>5</v>
      </c>
      <c r="T14" s="154">
        <v>0</v>
      </c>
      <c r="U14" s="154">
        <v>4</v>
      </c>
      <c r="V14" s="154">
        <v>5</v>
      </c>
      <c r="W14" s="154">
        <v>5</v>
      </c>
      <c r="X14" s="152">
        <v>37090</v>
      </c>
      <c r="Y14" s="155">
        <v>0</v>
      </c>
      <c r="Z14" s="155">
        <v>0</v>
      </c>
      <c r="AA14" s="154">
        <v>15535</v>
      </c>
      <c r="AB14" s="161">
        <v>0</v>
      </c>
      <c r="AC14" s="152">
        <v>37090</v>
      </c>
      <c r="AD14" s="155">
        <v>0</v>
      </c>
      <c r="AE14" s="155">
        <v>0</v>
      </c>
      <c r="AF14" s="154">
        <v>15535</v>
      </c>
      <c r="AG14" s="161">
        <v>0</v>
      </c>
    </row>
    <row r="15" spans="1:33" ht="14.25" x14ac:dyDescent="0.45">
      <c r="A15" t="s">
        <v>262</v>
      </c>
      <c r="B15" t="s">
        <v>263</v>
      </c>
      <c r="C15" t="s">
        <v>245</v>
      </c>
      <c r="D15" t="s">
        <v>199</v>
      </c>
      <c r="E15" t="s">
        <v>264</v>
      </c>
      <c r="F15" s="8">
        <v>1081427</v>
      </c>
      <c r="G15" s="152">
        <v>0</v>
      </c>
      <c r="H15" s="153">
        <v>0</v>
      </c>
      <c r="I15" s="153">
        <v>0</v>
      </c>
      <c r="J15" s="154">
        <v>53364</v>
      </c>
      <c r="K15" s="155">
        <v>0</v>
      </c>
      <c r="L15" s="153">
        <v>0</v>
      </c>
      <c r="M15" s="152">
        <v>0</v>
      </c>
      <c r="N15" s="153">
        <v>0</v>
      </c>
      <c r="O15" s="153">
        <v>0</v>
      </c>
      <c r="P15" s="154">
        <v>42407</v>
      </c>
      <c r="Q15" s="155">
        <v>0</v>
      </c>
      <c r="R15" s="153">
        <v>0</v>
      </c>
      <c r="S15" s="156">
        <v>0</v>
      </c>
      <c r="T15" s="154">
        <v>0</v>
      </c>
      <c r="U15" s="154">
        <v>3</v>
      </c>
      <c r="V15" s="154">
        <v>3</v>
      </c>
      <c r="W15" s="154">
        <v>3</v>
      </c>
      <c r="X15" s="152">
        <v>0</v>
      </c>
      <c r="Y15" s="155">
        <v>0</v>
      </c>
      <c r="Z15" s="155">
        <v>0</v>
      </c>
      <c r="AA15" s="154">
        <v>10107</v>
      </c>
      <c r="AB15" s="161">
        <v>0</v>
      </c>
      <c r="AC15" s="152">
        <v>0</v>
      </c>
      <c r="AD15" s="155">
        <v>0</v>
      </c>
      <c r="AE15" s="155">
        <v>0</v>
      </c>
      <c r="AF15" s="154">
        <v>2021</v>
      </c>
      <c r="AG15" s="161">
        <v>0</v>
      </c>
    </row>
    <row r="16" spans="1:33" ht="14.25" x14ac:dyDescent="0.45">
      <c r="A16" t="s">
        <v>265</v>
      </c>
      <c r="B16" t="s">
        <v>266</v>
      </c>
      <c r="C16" t="s">
        <v>245</v>
      </c>
      <c r="D16" t="s">
        <v>199</v>
      </c>
      <c r="E16" t="s">
        <v>267</v>
      </c>
      <c r="F16" s="8">
        <v>841388</v>
      </c>
      <c r="G16" s="152">
        <v>0</v>
      </c>
      <c r="H16" s="153">
        <v>0</v>
      </c>
      <c r="I16" s="153">
        <v>0</v>
      </c>
      <c r="J16" s="154">
        <v>59270</v>
      </c>
      <c r="K16" s="155">
        <v>0</v>
      </c>
      <c r="L16" s="153">
        <v>0</v>
      </c>
      <c r="M16" s="152">
        <v>0</v>
      </c>
      <c r="N16" s="153">
        <v>0</v>
      </c>
      <c r="O16" s="153">
        <v>0</v>
      </c>
      <c r="P16" s="154">
        <v>52751</v>
      </c>
      <c r="Q16" s="155">
        <v>0</v>
      </c>
      <c r="R16" s="153">
        <v>0</v>
      </c>
      <c r="S16" s="156">
        <v>0</v>
      </c>
      <c r="T16" s="154">
        <v>0</v>
      </c>
      <c r="U16" s="154">
        <v>3</v>
      </c>
      <c r="V16" s="154">
        <v>3</v>
      </c>
      <c r="W16" s="154">
        <v>3</v>
      </c>
      <c r="X16" s="152">
        <v>0</v>
      </c>
      <c r="Y16" s="155">
        <v>0</v>
      </c>
      <c r="Z16" s="155">
        <v>0</v>
      </c>
      <c r="AA16" s="154">
        <v>10702</v>
      </c>
      <c r="AB16" s="161">
        <v>0</v>
      </c>
      <c r="AC16" s="152">
        <v>0</v>
      </c>
      <c r="AD16" s="155">
        <v>0</v>
      </c>
      <c r="AE16" s="155">
        <v>0</v>
      </c>
      <c r="AF16" s="154">
        <v>2140</v>
      </c>
      <c r="AG16" s="161">
        <v>0</v>
      </c>
    </row>
    <row r="17" spans="1:33" ht="14.25" x14ac:dyDescent="0.45">
      <c r="A17" t="s">
        <v>268</v>
      </c>
      <c r="B17" t="s">
        <v>269</v>
      </c>
      <c r="C17" t="s">
        <v>252</v>
      </c>
      <c r="D17" t="s">
        <v>193</v>
      </c>
      <c r="E17" t="s">
        <v>270</v>
      </c>
      <c r="F17" s="8">
        <v>57720</v>
      </c>
      <c r="G17" s="152">
        <v>57720</v>
      </c>
      <c r="H17" s="153">
        <v>0</v>
      </c>
      <c r="I17" s="153">
        <v>0</v>
      </c>
      <c r="J17" s="154">
        <v>57720</v>
      </c>
      <c r="K17" s="155">
        <v>0</v>
      </c>
      <c r="L17" s="153">
        <v>0</v>
      </c>
      <c r="M17" s="152">
        <v>57720</v>
      </c>
      <c r="N17" s="153">
        <v>0</v>
      </c>
      <c r="O17" s="153">
        <v>0</v>
      </c>
      <c r="P17" s="154">
        <v>25078</v>
      </c>
      <c r="Q17" s="155">
        <v>0</v>
      </c>
      <c r="R17" s="153">
        <v>0</v>
      </c>
      <c r="S17" s="156">
        <v>5</v>
      </c>
      <c r="T17" s="154">
        <v>4</v>
      </c>
      <c r="U17" s="154">
        <v>5</v>
      </c>
      <c r="V17" s="154">
        <v>5</v>
      </c>
      <c r="W17" s="154">
        <v>5</v>
      </c>
      <c r="X17" s="152">
        <v>57720</v>
      </c>
      <c r="Y17" s="155">
        <v>0</v>
      </c>
      <c r="Z17" s="155">
        <v>0</v>
      </c>
      <c r="AA17" s="154">
        <v>11040</v>
      </c>
      <c r="AB17" s="161">
        <v>0</v>
      </c>
      <c r="AC17" s="152">
        <v>57720</v>
      </c>
      <c r="AD17" s="155">
        <v>0</v>
      </c>
      <c r="AE17" s="155">
        <v>0</v>
      </c>
      <c r="AF17" s="154">
        <v>11040</v>
      </c>
      <c r="AG17" s="161">
        <v>0</v>
      </c>
    </row>
    <row r="18" spans="1:33" ht="14.25" x14ac:dyDescent="0.45">
      <c r="A18" t="s">
        <v>268</v>
      </c>
      <c r="B18" t="s">
        <v>269</v>
      </c>
      <c r="C18" t="s">
        <v>271</v>
      </c>
      <c r="D18" t="s">
        <v>196</v>
      </c>
      <c r="E18" t="s">
        <v>272</v>
      </c>
      <c r="F18" s="8">
        <v>72784</v>
      </c>
      <c r="G18" s="152">
        <v>42291.226344045768</v>
      </c>
      <c r="H18" s="153">
        <v>0</v>
      </c>
      <c r="I18" s="153">
        <v>0</v>
      </c>
      <c r="J18" s="154">
        <v>36140</v>
      </c>
      <c r="K18" s="155">
        <v>0</v>
      </c>
      <c r="L18" s="153">
        <v>0</v>
      </c>
      <c r="M18" s="152">
        <v>37016</v>
      </c>
      <c r="N18" s="153">
        <v>0</v>
      </c>
      <c r="O18" s="153">
        <v>0</v>
      </c>
      <c r="P18" s="154">
        <v>20859</v>
      </c>
      <c r="Q18" s="155">
        <v>0</v>
      </c>
      <c r="R18" s="153">
        <v>0</v>
      </c>
      <c r="S18" s="156">
        <v>4</v>
      </c>
      <c r="T18" s="154">
        <v>0</v>
      </c>
      <c r="U18" s="154">
        <v>4</v>
      </c>
      <c r="V18" s="154">
        <v>4</v>
      </c>
      <c r="W18" s="154">
        <v>4</v>
      </c>
      <c r="X18" s="152">
        <v>26257</v>
      </c>
      <c r="Y18" s="155">
        <v>0</v>
      </c>
      <c r="Z18" s="155">
        <v>0</v>
      </c>
      <c r="AA18" s="154">
        <v>14618</v>
      </c>
      <c r="AB18" s="161">
        <v>0</v>
      </c>
      <c r="AC18" s="152">
        <v>26257</v>
      </c>
      <c r="AD18" s="155">
        <v>0</v>
      </c>
      <c r="AE18" s="155">
        <v>0</v>
      </c>
      <c r="AF18" s="154">
        <v>14618</v>
      </c>
      <c r="AG18" s="161">
        <v>0</v>
      </c>
    </row>
    <row r="19" spans="1:33" ht="14.25" x14ac:dyDescent="0.45">
      <c r="A19" t="s">
        <v>268</v>
      </c>
      <c r="B19" t="s">
        <v>269</v>
      </c>
      <c r="C19" t="s">
        <v>256</v>
      </c>
      <c r="D19" t="s">
        <v>199</v>
      </c>
      <c r="E19" t="s">
        <v>273</v>
      </c>
      <c r="F19" s="8">
        <v>4512</v>
      </c>
      <c r="G19" s="152">
        <v>0</v>
      </c>
      <c r="H19" s="153">
        <v>0</v>
      </c>
      <c r="I19" s="153">
        <v>0</v>
      </c>
      <c r="J19" s="154">
        <v>1034</v>
      </c>
      <c r="K19" s="155">
        <v>0</v>
      </c>
      <c r="L19" s="153">
        <v>0</v>
      </c>
      <c r="M19" s="152">
        <v>0</v>
      </c>
      <c r="N19" s="153">
        <v>0</v>
      </c>
      <c r="O19" s="153">
        <v>0</v>
      </c>
      <c r="P19" s="154">
        <v>821</v>
      </c>
      <c r="Q19" s="155">
        <v>0</v>
      </c>
      <c r="R19" s="153">
        <v>0</v>
      </c>
      <c r="S19" s="156">
        <v>0</v>
      </c>
      <c r="T19" s="154">
        <v>0</v>
      </c>
      <c r="U19" s="154">
        <v>3</v>
      </c>
      <c r="V19" s="154">
        <v>4</v>
      </c>
      <c r="W19" s="154">
        <v>4</v>
      </c>
      <c r="X19" s="152">
        <v>0</v>
      </c>
      <c r="Y19" s="155">
        <v>0</v>
      </c>
      <c r="Z19" s="155">
        <v>0</v>
      </c>
      <c r="AA19" s="154">
        <v>290</v>
      </c>
      <c r="AB19" s="161">
        <v>0</v>
      </c>
      <c r="AC19" s="152">
        <v>0</v>
      </c>
      <c r="AD19" s="155">
        <v>0</v>
      </c>
      <c r="AE19" s="155">
        <v>0</v>
      </c>
      <c r="AF19" s="154">
        <v>290</v>
      </c>
      <c r="AG19" s="161">
        <v>0</v>
      </c>
    </row>
    <row r="20" spans="1:33" ht="14.25" x14ac:dyDescent="0.45">
      <c r="A20" t="s">
        <v>268</v>
      </c>
      <c r="B20" t="s">
        <v>269</v>
      </c>
      <c r="C20" t="s">
        <v>274</v>
      </c>
      <c r="D20" t="s">
        <v>196</v>
      </c>
      <c r="E20" t="s">
        <v>275</v>
      </c>
      <c r="F20" s="8">
        <v>662169</v>
      </c>
      <c r="G20" s="152">
        <v>378173.55813953432</v>
      </c>
      <c r="H20" s="153">
        <v>0</v>
      </c>
      <c r="I20" s="153">
        <v>0</v>
      </c>
      <c r="J20" s="154">
        <v>341870</v>
      </c>
      <c r="K20" s="155">
        <v>0</v>
      </c>
      <c r="L20" s="153">
        <v>0</v>
      </c>
      <c r="M20" s="152">
        <v>342542</v>
      </c>
      <c r="N20" s="153">
        <v>0</v>
      </c>
      <c r="O20" s="153">
        <v>0</v>
      </c>
      <c r="P20" s="154">
        <v>156198</v>
      </c>
      <c r="Q20" s="155">
        <v>0</v>
      </c>
      <c r="R20" s="153">
        <v>0</v>
      </c>
      <c r="S20" s="156">
        <v>4</v>
      </c>
      <c r="T20" s="154">
        <v>0</v>
      </c>
      <c r="U20" s="154">
        <v>4</v>
      </c>
      <c r="V20" s="154">
        <v>4</v>
      </c>
      <c r="W20" s="154">
        <v>4</v>
      </c>
      <c r="X20" s="152">
        <v>227145</v>
      </c>
      <c r="Y20" s="155">
        <v>0</v>
      </c>
      <c r="Z20" s="155">
        <v>0</v>
      </c>
      <c r="AA20" s="154">
        <v>61954</v>
      </c>
      <c r="AB20" s="161">
        <v>0</v>
      </c>
      <c r="AC20" s="152">
        <v>227145</v>
      </c>
      <c r="AD20" s="155">
        <v>0</v>
      </c>
      <c r="AE20" s="155">
        <v>0</v>
      </c>
      <c r="AF20" s="154">
        <v>61954</v>
      </c>
      <c r="AG20" s="161">
        <v>0</v>
      </c>
    </row>
    <row r="21" spans="1:33" ht="14.25" x14ac:dyDescent="0.45">
      <c r="A21" t="s">
        <v>276</v>
      </c>
      <c r="B21" t="s">
        <v>277</v>
      </c>
      <c r="C21" t="s">
        <v>245</v>
      </c>
      <c r="D21" t="s">
        <v>199</v>
      </c>
      <c r="E21" t="s">
        <v>278</v>
      </c>
      <c r="F21" s="8">
        <v>1017673</v>
      </c>
      <c r="G21" s="152">
        <v>0</v>
      </c>
      <c r="H21" s="153">
        <v>0</v>
      </c>
      <c r="I21" s="153">
        <v>0</v>
      </c>
      <c r="J21" s="154">
        <v>69755</v>
      </c>
      <c r="K21" s="155">
        <v>0</v>
      </c>
      <c r="L21" s="153">
        <v>0</v>
      </c>
      <c r="M21" s="152">
        <v>0</v>
      </c>
      <c r="N21" s="153">
        <v>0</v>
      </c>
      <c r="O21" s="153">
        <v>0</v>
      </c>
      <c r="P21" s="154">
        <v>62082</v>
      </c>
      <c r="Q21" s="155">
        <v>0</v>
      </c>
      <c r="R21" s="153">
        <v>0</v>
      </c>
      <c r="S21" s="156">
        <v>0</v>
      </c>
      <c r="T21" s="154">
        <v>0</v>
      </c>
      <c r="U21" s="154">
        <v>3</v>
      </c>
      <c r="V21" s="154">
        <v>3</v>
      </c>
      <c r="W21" s="154">
        <v>3</v>
      </c>
      <c r="X21" s="152">
        <v>0</v>
      </c>
      <c r="Y21" s="155">
        <v>0</v>
      </c>
      <c r="Z21" s="155">
        <v>0</v>
      </c>
      <c r="AA21" s="154">
        <v>9809</v>
      </c>
      <c r="AB21" s="161">
        <v>0</v>
      </c>
      <c r="AC21" s="152">
        <v>0</v>
      </c>
      <c r="AD21" s="155">
        <v>0</v>
      </c>
      <c r="AE21" s="155">
        <v>0</v>
      </c>
      <c r="AF21" s="154">
        <v>1962</v>
      </c>
      <c r="AG21" s="161">
        <v>0</v>
      </c>
    </row>
    <row r="22" spans="1:33" ht="14.25" x14ac:dyDescent="0.45">
      <c r="A22" t="s">
        <v>279</v>
      </c>
      <c r="B22" t="s">
        <v>280</v>
      </c>
      <c r="C22" t="s">
        <v>245</v>
      </c>
      <c r="D22" t="s">
        <v>199</v>
      </c>
      <c r="E22" t="s">
        <v>281</v>
      </c>
      <c r="F22" s="8">
        <v>2635448</v>
      </c>
      <c r="G22" s="152">
        <v>0</v>
      </c>
      <c r="H22" s="153">
        <v>0</v>
      </c>
      <c r="I22" s="153">
        <v>0</v>
      </c>
      <c r="J22" s="154">
        <v>198646</v>
      </c>
      <c r="K22" s="155">
        <v>0</v>
      </c>
      <c r="L22" s="153">
        <v>0</v>
      </c>
      <c r="M22" s="152">
        <v>0</v>
      </c>
      <c r="N22" s="153">
        <v>0</v>
      </c>
      <c r="O22" s="153">
        <v>0</v>
      </c>
      <c r="P22" s="154">
        <v>168548</v>
      </c>
      <c r="Q22" s="155">
        <v>0</v>
      </c>
      <c r="R22" s="153">
        <v>0</v>
      </c>
      <c r="S22" s="156">
        <v>0</v>
      </c>
      <c r="T22" s="154">
        <v>0</v>
      </c>
      <c r="U22" s="154">
        <v>3</v>
      </c>
      <c r="V22" s="154">
        <v>3</v>
      </c>
      <c r="W22" s="154">
        <v>3</v>
      </c>
      <c r="X22" s="152">
        <v>0</v>
      </c>
      <c r="Y22" s="155">
        <v>0</v>
      </c>
      <c r="Z22" s="155">
        <v>0</v>
      </c>
      <c r="AA22" s="154">
        <v>84209</v>
      </c>
      <c r="AB22" s="161">
        <v>0</v>
      </c>
      <c r="AC22" s="152">
        <v>0</v>
      </c>
      <c r="AD22" s="155">
        <v>0</v>
      </c>
      <c r="AE22" s="155">
        <v>0</v>
      </c>
      <c r="AF22" s="154">
        <v>84209</v>
      </c>
      <c r="AG22" s="161">
        <v>0</v>
      </c>
    </row>
    <row r="23" spans="1:33" ht="14.25" x14ac:dyDescent="0.45">
      <c r="A23" t="s">
        <v>282</v>
      </c>
      <c r="B23" t="s">
        <v>283</v>
      </c>
      <c r="C23" t="s">
        <v>245</v>
      </c>
      <c r="D23" t="s">
        <v>199</v>
      </c>
      <c r="E23" t="s">
        <v>284</v>
      </c>
      <c r="F23" s="8">
        <v>831830</v>
      </c>
      <c r="G23" s="152">
        <v>0</v>
      </c>
      <c r="H23" s="153">
        <v>0</v>
      </c>
      <c r="I23" s="153">
        <v>0</v>
      </c>
      <c r="J23" s="154">
        <v>61952</v>
      </c>
      <c r="K23" s="155">
        <v>0</v>
      </c>
      <c r="L23" s="153">
        <v>0</v>
      </c>
      <c r="M23" s="152">
        <v>0</v>
      </c>
      <c r="N23" s="153">
        <v>0</v>
      </c>
      <c r="O23" s="153">
        <v>0</v>
      </c>
      <c r="P23" s="154">
        <v>52171</v>
      </c>
      <c r="Q23" s="155">
        <v>0</v>
      </c>
      <c r="R23" s="153">
        <v>0</v>
      </c>
      <c r="S23" s="156">
        <v>0</v>
      </c>
      <c r="T23" s="154">
        <v>0</v>
      </c>
      <c r="U23" s="154">
        <v>3</v>
      </c>
      <c r="V23" s="154">
        <v>3</v>
      </c>
      <c r="W23" s="154">
        <v>3</v>
      </c>
      <c r="X23" s="152">
        <v>0</v>
      </c>
      <c r="Y23" s="155">
        <v>0</v>
      </c>
      <c r="Z23" s="155">
        <v>0</v>
      </c>
      <c r="AA23" s="154">
        <v>26086</v>
      </c>
      <c r="AB23" s="161">
        <v>0</v>
      </c>
      <c r="AC23" s="152">
        <v>0</v>
      </c>
      <c r="AD23" s="155">
        <v>0</v>
      </c>
      <c r="AE23" s="155">
        <v>0</v>
      </c>
      <c r="AF23" s="154">
        <v>26086</v>
      </c>
      <c r="AG23" s="161">
        <v>0</v>
      </c>
    </row>
    <row r="24" spans="1:33" ht="14.25" x14ac:dyDescent="0.45">
      <c r="A24" t="s">
        <v>285</v>
      </c>
      <c r="B24" t="s">
        <v>286</v>
      </c>
      <c r="C24" t="s">
        <v>245</v>
      </c>
      <c r="D24" t="s">
        <v>199</v>
      </c>
      <c r="E24" t="s">
        <v>287</v>
      </c>
      <c r="F24" s="8">
        <v>2287053</v>
      </c>
      <c r="G24" s="152">
        <v>0</v>
      </c>
      <c r="H24" s="153">
        <v>0</v>
      </c>
      <c r="I24" s="153">
        <v>0</v>
      </c>
      <c r="J24" s="154">
        <v>131461</v>
      </c>
      <c r="K24" s="155">
        <v>0</v>
      </c>
      <c r="L24" s="153">
        <v>0</v>
      </c>
      <c r="M24" s="152">
        <v>0</v>
      </c>
      <c r="N24" s="153">
        <v>0</v>
      </c>
      <c r="O24" s="153">
        <v>0</v>
      </c>
      <c r="P24" s="154">
        <v>117001</v>
      </c>
      <c r="Q24" s="155">
        <v>0</v>
      </c>
      <c r="R24" s="153">
        <v>0</v>
      </c>
      <c r="S24" s="156">
        <v>0</v>
      </c>
      <c r="T24" s="154">
        <v>0</v>
      </c>
      <c r="U24" s="154">
        <v>3</v>
      </c>
      <c r="V24" s="154">
        <v>3</v>
      </c>
      <c r="W24" s="154">
        <v>3</v>
      </c>
      <c r="X24" s="152">
        <v>0</v>
      </c>
      <c r="Y24" s="155">
        <v>0</v>
      </c>
      <c r="Z24" s="155">
        <v>0</v>
      </c>
      <c r="AA24" s="154">
        <v>58501</v>
      </c>
      <c r="AB24" s="161">
        <v>0</v>
      </c>
      <c r="AC24" s="152">
        <v>0</v>
      </c>
      <c r="AD24" s="155">
        <v>0</v>
      </c>
      <c r="AE24" s="155">
        <v>0</v>
      </c>
      <c r="AF24" s="154">
        <v>58501</v>
      </c>
      <c r="AG24" s="161">
        <v>0</v>
      </c>
    </row>
    <row r="25" spans="1:33" ht="14.25" x14ac:dyDescent="0.45">
      <c r="A25" t="s">
        <v>288</v>
      </c>
      <c r="B25" t="s">
        <v>289</v>
      </c>
      <c r="C25" t="s">
        <v>252</v>
      </c>
      <c r="D25" t="s">
        <v>193</v>
      </c>
      <c r="E25" t="s">
        <v>290</v>
      </c>
      <c r="F25" s="8">
        <v>25791</v>
      </c>
      <c r="G25" s="152">
        <v>25791</v>
      </c>
      <c r="H25" s="153">
        <v>0</v>
      </c>
      <c r="I25" s="153">
        <v>0</v>
      </c>
      <c r="J25" s="154">
        <v>25791</v>
      </c>
      <c r="K25" s="155">
        <v>0</v>
      </c>
      <c r="L25" s="153">
        <v>0</v>
      </c>
      <c r="M25" s="152">
        <v>20824</v>
      </c>
      <c r="N25" s="153">
        <v>0</v>
      </c>
      <c r="O25" s="153">
        <v>0</v>
      </c>
      <c r="P25" s="154">
        <v>8926</v>
      </c>
      <c r="Q25" s="155">
        <v>0</v>
      </c>
      <c r="R25" s="153">
        <v>0</v>
      </c>
      <c r="S25" s="156">
        <v>4</v>
      </c>
      <c r="T25" s="154">
        <v>4</v>
      </c>
      <c r="U25" s="154">
        <v>5</v>
      </c>
      <c r="V25" s="154">
        <v>5</v>
      </c>
      <c r="W25" s="154">
        <v>5</v>
      </c>
      <c r="X25" s="152">
        <v>15749</v>
      </c>
      <c r="Y25" s="155">
        <v>0</v>
      </c>
      <c r="Z25" s="155">
        <v>0</v>
      </c>
      <c r="AA25" s="154">
        <v>2373</v>
      </c>
      <c r="AB25" s="161">
        <v>0</v>
      </c>
      <c r="AC25" s="152">
        <v>15749</v>
      </c>
      <c r="AD25" s="155">
        <v>0</v>
      </c>
      <c r="AE25" s="155">
        <v>0</v>
      </c>
      <c r="AF25" s="154">
        <v>2373</v>
      </c>
      <c r="AG25" s="161">
        <v>0</v>
      </c>
    </row>
    <row r="26" spans="1:33" ht="14.25" x14ac:dyDescent="0.45">
      <c r="A26" t="s">
        <v>288</v>
      </c>
      <c r="B26" t="s">
        <v>289</v>
      </c>
      <c r="C26" t="s">
        <v>291</v>
      </c>
      <c r="D26" t="s">
        <v>196</v>
      </c>
      <c r="E26" t="s">
        <v>292</v>
      </c>
      <c r="F26" s="8">
        <v>57412</v>
      </c>
      <c r="G26" s="152">
        <v>32718.662456261645</v>
      </c>
      <c r="H26" s="153">
        <v>0</v>
      </c>
      <c r="I26" s="153">
        <v>0</v>
      </c>
      <c r="J26" s="154">
        <v>30431</v>
      </c>
      <c r="K26" s="155">
        <v>0</v>
      </c>
      <c r="L26" s="153">
        <v>0</v>
      </c>
      <c r="M26" s="152">
        <v>25383</v>
      </c>
      <c r="N26" s="153">
        <v>0</v>
      </c>
      <c r="O26" s="153">
        <v>0</v>
      </c>
      <c r="P26" s="154">
        <v>10283</v>
      </c>
      <c r="Q26" s="155">
        <v>0</v>
      </c>
      <c r="R26" s="153">
        <v>0</v>
      </c>
      <c r="S26" s="156">
        <v>4</v>
      </c>
      <c r="T26" s="154">
        <v>0</v>
      </c>
      <c r="U26" s="154">
        <v>4</v>
      </c>
      <c r="V26" s="154">
        <v>4</v>
      </c>
      <c r="W26" s="154">
        <v>4</v>
      </c>
      <c r="X26" s="152">
        <v>13512</v>
      </c>
      <c r="Y26" s="155">
        <v>0</v>
      </c>
      <c r="Z26" s="155">
        <v>0</v>
      </c>
      <c r="AA26" s="154">
        <v>7408</v>
      </c>
      <c r="AB26" s="161">
        <v>0</v>
      </c>
      <c r="AC26" s="152">
        <v>9925</v>
      </c>
      <c r="AD26" s="155">
        <v>0</v>
      </c>
      <c r="AE26" s="155">
        <v>0</v>
      </c>
      <c r="AF26" s="154">
        <v>3967</v>
      </c>
      <c r="AG26" s="161">
        <v>0</v>
      </c>
    </row>
    <row r="27" spans="1:33" ht="14.25" x14ac:dyDescent="0.45">
      <c r="A27" t="s">
        <v>288</v>
      </c>
      <c r="B27" t="s">
        <v>289</v>
      </c>
      <c r="C27" t="s">
        <v>256</v>
      </c>
      <c r="D27" t="s">
        <v>199</v>
      </c>
      <c r="E27" t="s">
        <v>293</v>
      </c>
      <c r="F27" s="8">
        <v>342065</v>
      </c>
      <c r="G27" s="152">
        <v>0</v>
      </c>
      <c r="H27" s="153">
        <v>0</v>
      </c>
      <c r="I27" s="153">
        <v>0</v>
      </c>
      <c r="J27" s="154">
        <v>25821</v>
      </c>
      <c r="K27" s="155">
        <v>0</v>
      </c>
      <c r="L27" s="153">
        <v>0</v>
      </c>
      <c r="M27" s="152">
        <v>0</v>
      </c>
      <c r="N27" s="153">
        <v>0</v>
      </c>
      <c r="O27" s="153">
        <v>0</v>
      </c>
      <c r="P27" s="154">
        <v>22133</v>
      </c>
      <c r="Q27" s="155">
        <v>0</v>
      </c>
      <c r="R27" s="153">
        <v>0</v>
      </c>
      <c r="S27" s="156">
        <v>0</v>
      </c>
      <c r="T27" s="154">
        <v>0</v>
      </c>
      <c r="U27" s="154">
        <v>3</v>
      </c>
      <c r="V27" s="154">
        <v>3</v>
      </c>
      <c r="W27" s="154">
        <v>3</v>
      </c>
      <c r="X27" s="152">
        <v>0</v>
      </c>
      <c r="Y27" s="155">
        <v>0</v>
      </c>
      <c r="Z27" s="155">
        <v>0</v>
      </c>
      <c r="AA27" s="154">
        <v>11067</v>
      </c>
      <c r="AB27" s="161">
        <v>0</v>
      </c>
      <c r="AC27" s="152">
        <v>0</v>
      </c>
      <c r="AD27" s="155">
        <v>0</v>
      </c>
      <c r="AE27" s="155">
        <v>0</v>
      </c>
      <c r="AF27" s="154">
        <v>11067</v>
      </c>
      <c r="AG27" s="161">
        <v>0</v>
      </c>
    </row>
    <row r="28" spans="1:33" ht="14.25" x14ac:dyDescent="0.45">
      <c r="A28" t="s">
        <v>288</v>
      </c>
      <c r="B28" t="s">
        <v>289</v>
      </c>
      <c r="C28" t="s">
        <v>294</v>
      </c>
      <c r="D28" t="s">
        <v>196</v>
      </c>
      <c r="E28" t="s">
        <v>295</v>
      </c>
      <c r="F28" s="8">
        <v>363791</v>
      </c>
      <c r="G28" s="152">
        <v>178444.71428571464</v>
      </c>
      <c r="H28" s="153">
        <v>0</v>
      </c>
      <c r="I28" s="153">
        <v>0</v>
      </c>
      <c r="J28" s="154">
        <v>167659</v>
      </c>
      <c r="K28" s="155">
        <v>0</v>
      </c>
      <c r="L28" s="153">
        <v>0</v>
      </c>
      <c r="M28" s="152">
        <v>163150</v>
      </c>
      <c r="N28" s="153">
        <v>0</v>
      </c>
      <c r="O28" s="153">
        <v>0</v>
      </c>
      <c r="P28" s="154">
        <v>47187</v>
      </c>
      <c r="Q28" s="155">
        <v>0</v>
      </c>
      <c r="R28" s="153">
        <v>0</v>
      </c>
      <c r="S28" s="156">
        <v>4</v>
      </c>
      <c r="T28" s="154">
        <v>0</v>
      </c>
      <c r="U28" s="154">
        <v>4</v>
      </c>
      <c r="V28" s="154">
        <v>4</v>
      </c>
      <c r="W28" s="154">
        <v>4</v>
      </c>
      <c r="X28" s="152">
        <v>163150</v>
      </c>
      <c r="Y28" s="155">
        <v>0</v>
      </c>
      <c r="Z28" s="155">
        <v>0</v>
      </c>
      <c r="AA28" s="154">
        <v>19490</v>
      </c>
      <c r="AB28" s="161">
        <v>0</v>
      </c>
      <c r="AC28" s="152">
        <v>163150</v>
      </c>
      <c r="AD28" s="155">
        <v>0</v>
      </c>
      <c r="AE28" s="155">
        <v>0</v>
      </c>
      <c r="AF28" s="154">
        <v>19490</v>
      </c>
      <c r="AG28" s="161">
        <v>0</v>
      </c>
    </row>
    <row r="29" spans="1:33" ht="14.25" x14ac:dyDescent="0.45">
      <c r="A29" t="s">
        <v>296</v>
      </c>
      <c r="B29" t="s">
        <v>297</v>
      </c>
      <c r="C29" t="s">
        <v>245</v>
      </c>
      <c r="D29" t="s">
        <v>199</v>
      </c>
      <c r="E29" t="s">
        <v>298</v>
      </c>
      <c r="F29" s="8">
        <v>2125236</v>
      </c>
      <c r="G29" s="152">
        <v>0</v>
      </c>
      <c r="H29" s="153">
        <v>0</v>
      </c>
      <c r="I29" s="153">
        <v>0</v>
      </c>
      <c r="J29" s="154">
        <v>155031</v>
      </c>
      <c r="K29" s="155">
        <v>0</v>
      </c>
      <c r="L29" s="153">
        <v>0</v>
      </c>
      <c r="M29" s="152">
        <v>0</v>
      </c>
      <c r="N29" s="153">
        <v>0</v>
      </c>
      <c r="O29" s="153">
        <v>0</v>
      </c>
      <c r="P29" s="154">
        <v>137977</v>
      </c>
      <c r="Q29" s="155">
        <v>0</v>
      </c>
      <c r="R29" s="153">
        <v>0</v>
      </c>
      <c r="S29" s="156">
        <v>0</v>
      </c>
      <c r="T29" s="154">
        <v>0</v>
      </c>
      <c r="U29" s="154">
        <v>3</v>
      </c>
      <c r="V29" s="154">
        <v>3</v>
      </c>
      <c r="W29" s="154">
        <v>3</v>
      </c>
      <c r="X29" s="152">
        <v>0</v>
      </c>
      <c r="Y29" s="155">
        <v>0</v>
      </c>
      <c r="Z29" s="155">
        <v>0</v>
      </c>
      <c r="AA29" s="154">
        <v>68989</v>
      </c>
      <c r="AB29" s="161">
        <v>0</v>
      </c>
      <c r="AC29" s="152">
        <v>0</v>
      </c>
      <c r="AD29" s="155">
        <v>0</v>
      </c>
      <c r="AE29" s="155">
        <v>0</v>
      </c>
      <c r="AF29" s="154">
        <v>68989</v>
      </c>
      <c r="AG29" s="161">
        <v>0</v>
      </c>
    </row>
    <row r="30" spans="1:33" ht="14.25" x14ac:dyDescent="0.45">
      <c r="A30" t="s">
        <v>299</v>
      </c>
      <c r="B30" t="s">
        <v>300</v>
      </c>
      <c r="C30" t="s">
        <v>245</v>
      </c>
      <c r="D30" t="s">
        <v>199</v>
      </c>
      <c r="E30" t="s">
        <v>301</v>
      </c>
      <c r="F30" s="8">
        <v>1339398</v>
      </c>
      <c r="G30" s="152">
        <v>0</v>
      </c>
      <c r="H30" s="153">
        <v>0</v>
      </c>
      <c r="I30" s="153">
        <v>0</v>
      </c>
      <c r="J30" s="154">
        <v>125118</v>
      </c>
      <c r="K30" s="155">
        <v>0</v>
      </c>
      <c r="L30" s="153">
        <v>0</v>
      </c>
      <c r="M30" s="152">
        <v>0</v>
      </c>
      <c r="N30" s="153">
        <v>0</v>
      </c>
      <c r="O30" s="153">
        <v>0</v>
      </c>
      <c r="P30" s="154">
        <v>108114</v>
      </c>
      <c r="Q30" s="155">
        <v>0</v>
      </c>
      <c r="R30" s="153">
        <v>0</v>
      </c>
      <c r="S30" s="156">
        <v>0</v>
      </c>
      <c r="T30" s="154">
        <v>0</v>
      </c>
      <c r="U30" s="154">
        <v>3</v>
      </c>
      <c r="V30" s="154">
        <v>3</v>
      </c>
      <c r="W30" s="154">
        <v>3</v>
      </c>
      <c r="X30" s="152">
        <v>0</v>
      </c>
      <c r="Y30" s="155">
        <v>0</v>
      </c>
      <c r="Z30" s="155">
        <v>0</v>
      </c>
      <c r="AA30" s="154">
        <v>54057</v>
      </c>
      <c r="AB30" s="161">
        <v>0</v>
      </c>
      <c r="AC30" s="152">
        <v>0</v>
      </c>
      <c r="AD30" s="155">
        <v>0</v>
      </c>
      <c r="AE30" s="155">
        <v>0</v>
      </c>
      <c r="AF30" s="154">
        <v>54057</v>
      </c>
      <c r="AG30" s="161">
        <v>0</v>
      </c>
    </row>
    <row r="31" spans="1:33" ht="14.25" x14ac:dyDescent="0.45">
      <c r="A31" t="s">
        <v>302</v>
      </c>
      <c r="B31" t="s">
        <v>303</v>
      </c>
      <c r="C31" t="s">
        <v>245</v>
      </c>
      <c r="D31" t="s">
        <v>199</v>
      </c>
      <c r="E31" t="s">
        <v>304</v>
      </c>
      <c r="F31" s="8">
        <v>958785</v>
      </c>
      <c r="G31" s="152">
        <v>0</v>
      </c>
      <c r="H31" s="153">
        <v>0</v>
      </c>
      <c r="I31" s="153">
        <v>0</v>
      </c>
      <c r="J31" s="154">
        <v>39571</v>
      </c>
      <c r="K31" s="155">
        <v>0</v>
      </c>
      <c r="L31" s="153">
        <v>0</v>
      </c>
      <c r="M31" s="152">
        <v>0</v>
      </c>
      <c r="N31" s="153">
        <v>0</v>
      </c>
      <c r="O31" s="153">
        <v>0</v>
      </c>
      <c r="P31" s="154">
        <v>35218</v>
      </c>
      <c r="Q31" s="155">
        <v>0</v>
      </c>
      <c r="R31" s="153">
        <v>0</v>
      </c>
      <c r="S31" s="156">
        <v>0</v>
      </c>
      <c r="T31" s="154">
        <v>0</v>
      </c>
      <c r="U31" s="154">
        <v>3</v>
      </c>
      <c r="V31" s="154">
        <v>3</v>
      </c>
      <c r="W31" s="154">
        <v>3</v>
      </c>
      <c r="X31" s="152">
        <v>0</v>
      </c>
      <c r="Y31" s="155">
        <v>0</v>
      </c>
      <c r="Z31" s="155">
        <v>0</v>
      </c>
      <c r="AA31" s="154">
        <v>6925</v>
      </c>
      <c r="AB31" s="161">
        <v>0</v>
      </c>
      <c r="AC31" s="152">
        <v>0</v>
      </c>
      <c r="AD31" s="155">
        <v>0</v>
      </c>
      <c r="AE31" s="155">
        <v>0</v>
      </c>
      <c r="AF31" s="154">
        <v>1385</v>
      </c>
      <c r="AG31" s="161">
        <v>0</v>
      </c>
    </row>
    <row r="32" spans="1:33" ht="14.25" x14ac:dyDescent="0.45">
      <c r="A32" t="s">
        <v>305</v>
      </c>
      <c r="B32" t="s">
        <v>306</v>
      </c>
      <c r="C32" t="s">
        <v>307</v>
      </c>
      <c r="D32" t="s">
        <v>193</v>
      </c>
      <c r="E32" t="s">
        <v>308</v>
      </c>
      <c r="F32" s="8">
        <v>121491</v>
      </c>
      <c r="G32" s="152">
        <v>121491</v>
      </c>
      <c r="H32" s="153">
        <v>0</v>
      </c>
      <c r="I32" s="153">
        <v>0</v>
      </c>
      <c r="J32" s="154">
        <v>121491</v>
      </c>
      <c r="K32" s="155">
        <v>0</v>
      </c>
      <c r="L32" s="153">
        <v>0</v>
      </c>
      <c r="M32" s="152">
        <v>101717</v>
      </c>
      <c r="N32" s="153">
        <v>0</v>
      </c>
      <c r="O32" s="153">
        <v>0</v>
      </c>
      <c r="P32" s="154">
        <v>21375</v>
      </c>
      <c r="Q32" s="155">
        <v>0</v>
      </c>
      <c r="R32" s="153">
        <v>0</v>
      </c>
      <c r="S32" s="156">
        <v>5</v>
      </c>
      <c r="T32" s="154">
        <v>0</v>
      </c>
      <c r="U32" s="154">
        <v>5</v>
      </c>
      <c r="V32" s="154">
        <v>5</v>
      </c>
      <c r="W32" s="154">
        <v>5</v>
      </c>
      <c r="X32" s="152">
        <v>83471</v>
      </c>
      <c r="Y32" s="155">
        <v>0</v>
      </c>
      <c r="Z32" s="155">
        <v>0</v>
      </c>
      <c r="AA32" s="154">
        <v>9925</v>
      </c>
      <c r="AB32" s="161">
        <v>0</v>
      </c>
      <c r="AC32" s="152">
        <v>83471</v>
      </c>
      <c r="AD32" s="155">
        <v>0</v>
      </c>
      <c r="AE32" s="155">
        <v>0</v>
      </c>
      <c r="AF32" s="154">
        <v>9925</v>
      </c>
      <c r="AG32" s="161">
        <v>0</v>
      </c>
    </row>
    <row r="33" spans="1:33" ht="14.25" x14ac:dyDescent="0.45">
      <c r="A33" t="s">
        <v>305</v>
      </c>
      <c r="B33" t="s">
        <v>306</v>
      </c>
      <c r="C33" t="s">
        <v>254</v>
      </c>
      <c r="D33" t="s">
        <v>196</v>
      </c>
      <c r="E33" t="s">
        <v>309</v>
      </c>
      <c r="F33" s="8">
        <v>226732</v>
      </c>
      <c r="G33" s="152">
        <v>118914.10395922486</v>
      </c>
      <c r="H33" s="153">
        <v>0</v>
      </c>
      <c r="I33" s="153">
        <v>0</v>
      </c>
      <c r="J33" s="154">
        <v>111798</v>
      </c>
      <c r="K33" s="155">
        <v>0</v>
      </c>
      <c r="L33" s="153">
        <v>0</v>
      </c>
      <c r="M33" s="152">
        <v>92251</v>
      </c>
      <c r="N33" s="153">
        <v>0</v>
      </c>
      <c r="O33" s="153">
        <v>0</v>
      </c>
      <c r="P33" s="154">
        <v>33034</v>
      </c>
      <c r="Q33" s="155">
        <v>0</v>
      </c>
      <c r="R33" s="153">
        <v>0</v>
      </c>
      <c r="S33" s="156">
        <v>4</v>
      </c>
      <c r="T33" s="154">
        <v>0</v>
      </c>
      <c r="U33" s="154">
        <v>4</v>
      </c>
      <c r="V33" s="154">
        <v>4</v>
      </c>
      <c r="W33" s="154">
        <v>4</v>
      </c>
      <c r="X33" s="152">
        <v>63720</v>
      </c>
      <c r="Y33" s="155">
        <v>0</v>
      </c>
      <c r="Z33" s="155">
        <v>0</v>
      </c>
      <c r="AA33" s="154">
        <v>16517</v>
      </c>
      <c r="AB33" s="161">
        <v>0</v>
      </c>
      <c r="AC33" s="152">
        <v>63720</v>
      </c>
      <c r="AD33" s="155">
        <v>0</v>
      </c>
      <c r="AE33" s="155">
        <v>0</v>
      </c>
      <c r="AF33" s="154">
        <v>10746</v>
      </c>
      <c r="AG33" s="161">
        <v>0</v>
      </c>
    </row>
    <row r="34" spans="1:33" ht="14.25" x14ac:dyDescent="0.45">
      <c r="A34" t="s">
        <v>305</v>
      </c>
      <c r="B34" t="s">
        <v>306</v>
      </c>
      <c r="C34" t="s">
        <v>256</v>
      </c>
      <c r="D34" t="s">
        <v>199</v>
      </c>
      <c r="E34" t="s">
        <v>310</v>
      </c>
      <c r="F34" s="8">
        <v>185948</v>
      </c>
      <c r="G34" s="152">
        <v>0</v>
      </c>
      <c r="H34" s="153">
        <v>0</v>
      </c>
      <c r="I34" s="153">
        <v>0</v>
      </c>
      <c r="J34" s="154">
        <v>8838</v>
      </c>
      <c r="K34" s="155">
        <v>0</v>
      </c>
      <c r="L34" s="153">
        <v>0</v>
      </c>
      <c r="M34" s="152">
        <v>0</v>
      </c>
      <c r="N34" s="153">
        <v>0</v>
      </c>
      <c r="O34" s="153">
        <v>0</v>
      </c>
      <c r="P34" s="154">
        <v>7023</v>
      </c>
      <c r="Q34" s="155">
        <v>0</v>
      </c>
      <c r="R34" s="153">
        <v>0</v>
      </c>
      <c r="S34" s="156">
        <v>0</v>
      </c>
      <c r="T34" s="154">
        <v>0</v>
      </c>
      <c r="U34" s="154">
        <v>3</v>
      </c>
      <c r="V34" s="154">
        <v>3</v>
      </c>
      <c r="W34" s="154">
        <v>3</v>
      </c>
      <c r="X34" s="152">
        <v>0</v>
      </c>
      <c r="Y34" s="155">
        <v>0</v>
      </c>
      <c r="Z34" s="155">
        <v>0</v>
      </c>
      <c r="AA34" s="154">
        <v>2921</v>
      </c>
      <c r="AB34" s="161">
        <v>0</v>
      </c>
      <c r="AC34" s="152">
        <v>0</v>
      </c>
      <c r="AD34" s="155">
        <v>0</v>
      </c>
      <c r="AE34" s="155">
        <v>0</v>
      </c>
      <c r="AF34" s="154">
        <v>2921</v>
      </c>
      <c r="AG34" s="161">
        <v>0</v>
      </c>
    </row>
    <row r="35" spans="1:33" ht="14.25" x14ac:dyDescent="0.45">
      <c r="A35" t="s">
        <v>305</v>
      </c>
      <c r="B35" t="s">
        <v>306</v>
      </c>
      <c r="C35" t="s">
        <v>311</v>
      </c>
      <c r="D35" t="s">
        <v>193</v>
      </c>
      <c r="E35" t="s">
        <v>312</v>
      </c>
      <c r="F35" s="8">
        <v>257187</v>
      </c>
      <c r="G35" s="152">
        <v>257187</v>
      </c>
      <c r="H35" s="153">
        <v>0</v>
      </c>
      <c r="I35" s="153">
        <v>0</v>
      </c>
      <c r="J35" s="154">
        <v>257187</v>
      </c>
      <c r="K35" s="155">
        <v>0</v>
      </c>
      <c r="L35" s="153">
        <v>0</v>
      </c>
      <c r="M35" s="152">
        <v>257187</v>
      </c>
      <c r="N35" s="153">
        <v>0</v>
      </c>
      <c r="O35" s="153">
        <v>0</v>
      </c>
      <c r="P35" s="154">
        <v>33264</v>
      </c>
      <c r="Q35" s="155">
        <v>0</v>
      </c>
      <c r="R35" s="153">
        <v>0</v>
      </c>
      <c r="S35" s="156">
        <v>4</v>
      </c>
      <c r="T35" s="154">
        <v>0</v>
      </c>
      <c r="U35" s="154">
        <v>5</v>
      </c>
      <c r="V35" s="154">
        <v>5</v>
      </c>
      <c r="W35" s="154">
        <v>5</v>
      </c>
      <c r="X35" s="152">
        <v>257187</v>
      </c>
      <c r="Y35" s="155">
        <v>0</v>
      </c>
      <c r="Z35" s="155">
        <v>0</v>
      </c>
      <c r="AA35" s="154">
        <v>3326</v>
      </c>
      <c r="AB35" s="161">
        <v>0</v>
      </c>
      <c r="AC35" s="152">
        <v>257187</v>
      </c>
      <c r="AD35" s="155">
        <v>0</v>
      </c>
      <c r="AE35" s="155">
        <v>0</v>
      </c>
      <c r="AF35" s="154">
        <v>3326</v>
      </c>
      <c r="AG35" s="161">
        <v>0</v>
      </c>
    </row>
    <row r="36" spans="1:33" ht="14.25" x14ac:dyDescent="0.45">
      <c r="A36" t="s">
        <v>313</v>
      </c>
      <c r="B36" t="s">
        <v>314</v>
      </c>
      <c r="C36" t="s">
        <v>245</v>
      </c>
      <c r="D36" t="s">
        <v>199</v>
      </c>
      <c r="E36" t="s">
        <v>315</v>
      </c>
      <c r="F36" s="8">
        <v>729060</v>
      </c>
      <c r="G36" s="152">
        <v>0</v>
      </c>
      <c r="H36" s="153">
        <v>0</v>
      </c>
      <c r="I36" s="153">
        <v>0</v>
      </c>
      <c r="J36" s="154">
        <v>53239</v>
      </c>
      <c r="K36" s="155">
        <v>0</v>
      </c>
      <c r="L36" s="153">
        <v>0</v>
      </c>
      <c r="M36" s="152">
        <v>0</v>
      </c>
      <c r="N36" s="153">
        <v>0</v>
      </c>
      <c r="O36" s="153">
        <v>0</v>
      </c>
      <c r="P36" s="154">
        <v>47383</v>
      </c>
      <c r="Q36" s="155">
        <v>0</v>
      </c>
      <c r="R36" s="153">
        <v>0</v>
      </c>
      <c r="S36" s="156">
        <v>0</v>
      </c>
      <c r="T36" s="154">
        <v>0</v>
      </c>
      <c r="U36" s="154">
        <v>3</v>
      </c>
      <c r="V36" s="154">
        <v>3</v>
      </c>
      <c r="W36" s="154">
        <v>3</v>
      </c>
      <c r="X36" s="152">
        <v>0</v>
      </c>
      <c r="Y36" s="155">
        <v>0</v>
      </c>
      <c r="Z36" s="155">
        <v>0</v>
      </c>
      <c r="AA36" s="154">
        <v>10238</v>
      </c>
      <c r="AB36" s="161">
        <v>0</v>
      </c>
      <c r="AC36" s="152">
        <v>0</v>
      </c>
      <c r="AD36" s="155">
        <v>0</v>
      </c>
      <c r="AE36" s="155">
        <v>0</v>
      </c>
      <c r="AF36" s="154">
        <v>2048</v>
      </c>
      <c r="AG36" s="161">
        <v>0</v>
      </c>
    </row>
    <row r="37" spans="1:33" ht="14.25" x14ac:dyDescent="0.45">
      <c r="A37" t="s">
        <v>316</v>
      </c>
      <c r="B37" t="s">
        <v>317</v>
      </c>
      <c r="C37" t="s">
        <v>252</v>
      </c>
      <c r="D37" t="s">
        <v>193</v>
      </c>
      <c r="E37" t="s">
        <v>318</v>
      </c>
      <c r="F37" s="8">
        <v>202615</v>
      </c>
      <c r="G37" s="152">
        <v>202615</v>
      </c>
      <c r="H37" s="153">
        <v>0</v>
      </c>
      <c r="I37" s="153">
        <v>0</v>
      </c>
      <c r="J37" s="154">
        <v>202615</v>
      </c>
      <c r="K37" s="155">
        <v>0</v>
      </c>
      <c r="L37" s="153">
        <v>0</v>
      </c>
      <c r="M37" s="152">
        <v>161160</v>
      </c>
      <c r="N37" s="153">
        <v>0</v>
      </c>
      <c r="O37" s="153">
        <v>0</v>
      </c>
      <c r="P37" s="154">
        <v>74880</v>
      </c>
      <c r="Q37" s="155">
        <v>0</v>
      </c>
      <c r="R37" s="153">
        <v>0</v>
      </c>
      <c r="S37" s="156">
        <v>5</v>
      </c>
      <c r="T37" s="154">
        <v>4</v>
      </c>
      <c r="U37" s="154">
        <v>5</v>
      </c>
      <c r="V37" s="154">
        <v>5</v>
      </c>
      <c r="W37" s="154">
        <v>5</v>
      </c>
      <c r="X37" s="152">
        <v>158381</v>
      </c>
      <c r="Y37" s="155">
        <v>0</v>
      </c>
      <c r="Z37" s="155">
        <v>0</v>
      </c>
      <c r="AA37" s="154">
        <v>26469</v>
      </c>
      <c r="AB37" s="161">
        <v>0</v>
      </c>
      <c r="AC37" s="152">
        <v>158381</v>
      </c>
      <c r="AD37" s="155">
        <v>0</v>
      </c>
      <c r="AE37" s="155">
        <v>0</v>
      </c>
      <c r="AF37" s="154">
        <v>26469</v>
      </c>
      <c r="AG37" s="161">
        <v>0</v>
      </c>
    </row>
    <row r="38" spans="1:33" ht="14.25" x14ac:dyDescent="0.45">
      <c r="A38" t="s">
        <v>316</v>
      </c>
      <c r="B38" t="s">
        <v>317</v>
      </c>
      <c r="C38" t="s">
        <v>319</v>
      </c>
      <c r="D38" t="s">
        <v>196</v>
      </c>
      <c r="E38" t="s">
        <v>320</v>
      </c>
      <c r="F38" s="8">
        <v>247556</v>
      </c>
      <c r="G38" s="152">
        <v>171666.95618501361</v>
      </c>
      <c r="H38" s="153">
        <v>0</v>
      </c>
      <c r="I38" s="153">
        <v>0</v>
      </c>
      <c r="J38" s="154">
        <v>148576</v>
      </c>
      <c r="K38" s="155">
        <v>0</v>
      </c>
      <c r="L38" s="153">
        <v>0</v>
      </c>
      <c r="M38" s="152">
        <v>133175</v>
      </c>
      <c r="N38" s="153">
        <v>0</v>
      </c>
      <c r="O38" s="153">
        <v>0</v>
      </c>
      <c r="P38" s="154">
        <v>80069</v>
      </c>
      <c r="Q38" s="155">
        <v>0</v>
      </c>
      <c r="R38" s="153">
        <v>0</v>
      </c>
      <c r="S38" s="156">
        <v>4</v>
      </c>
      <c r="T38" s="154">
        <v>0</v>
      </c>
      <c r="U38" s="154">
        <v>4</v>
      </c>
      <c r="V38" s="154">
        <v>4</v>
      </c>
      <c r="W38" s="154">
        <v>4</v>
      </c>
      <c r="X38" s="152">
        <v>110707</v>
      </c>
      <c r="Y38" s="155">
        <v>0</v>
      </c>
      <c r="Z38" s="155">
        <v>0</v>
      </c>
      <c r="AA38" s="154">
        <v>40323</v>
      </c>
      <c r="AB38" s="161">
        <v>0</v>
      </c>
      <c r="AC38" s="152">
        <v>110707</v>
      </c>
      <c r="AD38" s="155">
        <v>0</v>
      </c>
      <c r="AE38" s="155">
        <v>0</v>
      </c>
      <c r="AF38" s="154">
        <v>40323</v>
      </c>
      <c r="AG38" s="161">
        <v>0</v>
      </c>
    </row>
    <row r="39" spans="1:33" ht="14.25" x14ac:dyDescent="0.45">
      <c r="A39" t="s">
        <v>316</v>
      </c>
      <c r="B39" t="s">
        <v>317</v>
      </c>
      <c r="C39" t="s">
        <v>256</v>
      </c>
      <c r="D39" t="s">
        <v>199</v>
      </c>
      <c r="E39" t="s">
        <v>321</v>
      </c>
      <c r="F39" s="8">
        <v>277427</v>
      </c>
      <c r="G39" s="152">
        <v>0</v>
      </c>
      <c r="H39" s="153">
        <v>0</v>
      </c>
      <c r="I39" s="153">
        <v>0</v>
      </c>
      <c r="J39" s="154">
        <v>48737</v>
      </c>
      <c r="K39" s="155">
        <v>0</v>
      </c>
      <c r="L39" s="153">
        <v>0</v>
      </c>
      <c r="M39" s="152">
        <v>0</v>
      </c>
      <c r="N39" s="153">
        <v>0</v>
      </c>
      <c r="O39" s="153">
        <v>0</v>
      </c>
      <c r="P39" s="154">
        <v>38730</v>
      </c>
      <c r="Q39" s="155">
        <v>0</v>
      </c>
      <c r="R39" s="153">
        <v>0</v>
      </c>
      <c r="S39" s="156">
        <v>0</v>
      </c>
      <c r="T39" s="154">
        <v>0</v>
      </c>
      <c r="U39" s="154">
        <v>3</v>
      </c>
      <c r="V39" s="154">
        <v>3</v>
      </c>
      <c r="W39" s="154">
        <v>3</v>
      </c>
      <c r="X39" s="152">
        <v>0</v>
      </c>
      <c r="Y39" s="155">
        <v>0</v>
      </c>
      <c r="Z39" s="155">
        <v>0</v>
      </c>
      <c r="AA39" s="154">
        <v>17058</v>
      </c>
      <c r="AB39" s="161">
        <v>0</v>
      </c>
      <c r="AC39" s="152">
        <v>0</v>
      </c>
      <c r="AD39" s="155">
        <v>0</v>
      </c>
      <c r="AE39" s="155">
        <v>0</v>
      </c>
      <c r="AF39" s="154">
        <v>17058</v>
      </c>
      <c r="AG39" s="161">
        <v>0</v>
      </c>
    </row>
    <row r="40" spans="1:33" ht="14.25" x14ac:dyDescent="0.45">
      <c r="A40" t="s">
        <v>316</v>
      </c>
      <c r="B40" t="s">
        <v>317</v>
      </c>
      <c r="C40" t="s">
        <v>322</v>
      </c>
      <c r="D40" t="s">
        <v>196</v>
      </c>
      <c r="E40" t="s">
        <v>323</v>
      </c>
      <c r="F40" s="8">
        <v>1075855</v>
      </c>
      <c r="G40" s="152">
        <v>644760.6862745079</v>
      </c>
      <c r="H40" s="153">
        <v>0</v>
      </c>
      <c r="I40" s="153">
        <v>0</v>
      </c>
      <c r="J40" s="154">
        <v>607797</v>
      </c>
      <c r="K40" s="155">
        <v>0</v>
      </c>
      <c r="L40" s="153">
        <v>0</v>
      </c>
      <c r="M40" s="152">
        <v>573837</v>
      </c>
      <c r="N40" s="153">
        <v>0</v>
      </c>
      <c r="O40" s="153">
        <v>0</v>
      </c>
      <c r="P40" s="154">
        <v>188952</v>
      </c>
      <c r="Q40" s="155">
        <v>0</v>
      </c>
      <c r="R40" s="153">
        <v>0</v>
      </c>
      <c r="S40" s="156">
        <v>4</v>
      </c>
      <c r="T40" s="154">
        <v>0</v>
      </c>
      <c r="U40" s="154">
        <v>4</v>
      </c>
      <c r="V40" s="154">
        <v>4</v>
      </c>
      <c r="W40" s="154">
        <v>4</v>
      </c>
      <c r="X40" s="152">
        <v>573837</v>
      </c>
      <c r="Y40" s="155">
        <v>0</v>
      </c>
      <c r="Z40" s="155">
        <v>0</v>
      </c>
      <c r="AA40" s="154">
        <v>70476</v>
      </c>
      <c r="AB40" s="161">
        <v>0</v>
      </c>
      <c r="AC40" s="152">
        <v>573837</v>
      </c>
      <c r="AD40" s="155">
        <v>0</v>
      </c>
      <c r="AE40" s="155">
        <v>0</v>
      </c>
      <c r="AF40" s="154">
        <v>70476</v>
      </c>
      <c r="AG40" s="161">
        <v>0</v>
      </c>
    </row>
    <row r="41" spans="1:33" ht="14.25" x14ac:dyDescent="0.45">
      <c r="A41" t="s">
        <v>324</v>
      </c>
      <c r="B41" t="s">
        <v>325</v>
      </c>
      <c r="C41" t="s">
        <v>326</v>
      </c>
      <c r="D41" t="s">
        <v>193</v>
      </c>
      <c r="E41" t="s">
        <v>327</v>
      </c>
      <c r="F41" s="8">
        <v>23570</v>
      </c>
      <c r="G41" s="152">
        <v>23570</v>
      </c>
      <c r="H41" s="153">
        <v>0</v>
      </c>
      <c r="I41" s="153">
        <v>0</v>
      </c>
      <c r="J41" s="154">
        <v>23570</v>
      </c>
      <c r="K41" s="155">
        <v>0</v>
      </c>
      <c r="L41" s="153">
        <v>0</v>
      </c>
      <c r="M41" s="152">
        <v>22627</v>
      </c>
      <c r="N41" s="153">
        <v>0</v>
      </c>
      <c r="O41" s="153">
        <v>0</v>
      </c>
      <c r="P41" s="154">
        <v>7812</v>
      </c>
      <c r="Q41" s="155">
        <v>0</v>
      </c>
      <c r="R41" s="153">
        <v>0</v>
      </c>
      <c r="S41" s="156">
        <v>5</v>
      </c>
      <c r="T41" s="154">
        <v>4</v>
      </c>
      <c r="U41" s="154">
        <v>5</v>
      </c>
      <c r="V41" s="154">
        <v>5</v>
      </c>
      <c r="W41" s="154">
        <v>5</v>
      </c>
      <c r="X41" s="152">
        <v>22176</v>
      </c>
      <c r="Y41" s="155">
        <v>0</v>
      </c>
      <c r="Z41" s="155">
        <v>0</v>
      </c>
      <c r="AA41" s="154">
        <v>3906</v>
      </c>
      <c r="AB41" s="161">
        <v>0</v>
      </c>
      <c r="AC41" s="152">
        <v>22176</v>
      </c>
      <c r="AD41" s="155">
        <v>0</v>
      </c>
      <c r="AE41" s="155">
        <v>0</v>
      </c>
      <c r="AF41" s="154">
        <v>3906</v>
      </c>
      <c r="AG41" s="161">
        <v>0</v>
      </c>
    </row>
    <row r="42" spans="1:33" ht="14.25" x14ac:dyDescent="0.45">
      <c r="A42" t="s">
        <v>324</v>
      </c>
      <c r="B42" t="s">
        <v>325</v>
      </c>
      <c r="C42" t="s">
        <v>254</v>
      </c>
      <c r="D42" t="s">
        <v>196</v>
      </c>
      <c r="E42" t="s">
        <v>328</v>
      </c>
      <c r="F42" s="8">
        <v>6317</v>
      </c>
      <c r="G42" s="152">
        <v>5273.7298994067223</v>
      </c>
      <c r="H42" s="153">
        <v>0</v>
      </c>
      <c r="I42" s="153">
        <v>0</v>
      </c>
      <c r="J42" s="154">
        <v>4740</v>
      </c>
      <c r="K42" s="155">
        <v>0</v>
      </c>
      <c r="L42" s="153">
        <v>0</v>
      </c>
      <c r="M42" s="152">
        <v>4746</v>
      </c>
      <c r="N42" s="153">
        <v>0</v>
      </c>
      <c r="O42" s="153">
        <v>0</v>
      </c>
      <c r="P42" s="154">
        <v>2494</v>
      </c>
      <c r="Q42" s="155">
        <v>0</v>
      </c>
      <c r="R42" s="153">
        <v>0</v>
      </c>
      <c r="S42" s="156">
        <v>4</v>
      </c>
      <c r="T42" s="154">
        <v>0</v>
      </c>
      <c r="U42" s="154">
        <v>4</v>
      </c>
      <c r="V42" s="154">
        <v>4</v>
      </c>
      <c r="W42" s="154">
        <v>4</v>
      </c>
      <c r="X42" s="152">
        <v>4394</v>
      </c>
      <c r="Y42" s="155">
        <v>0</v>
      </c>
      <c r="Z42" s="155">
        <v>0</v>
      </c>
      <c r="AA42" s="154">
        <v>2253</v>
      </c>
      <c r="AB42" s="161">
        <v>0</v>
      </c>
      <c r="AC42" s="152">
        <v>4394</v>
      </c>
      <c r="AD42" s="155">
        <v>0</v>
      </c>
      <c r="AE42" s="155">
        <v>0</v>
      </c>
      <c r="AF42" s="154">
        <v>2253</v>
      </c>
      <c r="AG42" s="161">
        <v>0</v>
      </c>
    </row>
    <row r="43" spans="1:33" ht="14.25" x14ac:dyDescent="0.45">
      <c r="A43" t="s">
        <v>324</v>
      </c>
      <c r="B43" t="s">
        <v>325</v>
      </c>
      <c r="C43" t="s">
        <v>256</v>
      </c>
      <c r="D43" t="s">
        <v>199</v>
      </c>
      <c r="E43" t="s">
        <v>329</v>
      </c>
      <c r="F43" s="8">
        <v>535</v>
      </c>
      <c r="G43" s="152">
        <v>0</v>
      </c>
      <c r="H43" s="153">
        <v>0</v>
      </c>
      <c r="I43" s="153">
        <v>0</v>
      </c>
      <c r="J43" s="154">
        <v>72</v>
      </c>
      <c r="K43" s="155">
        <v>0</v>
      </c>
      <c r="L43" s="153">
        <v>0</v>
      </c>
      <c r="M43" s="152">
        <v>0</v>
      </c>
      <c r="N43" s="153">
        <v>0</v>
      </c>
      <c r="O43" s="153">
        <v>0</v>
      </c>
      <c r="P43" s="154">
        <v>69</v>
      </c>
      <c r="Q43" s="155">
        <v>0</v>
      </c>
      <c r="R43" s="153">
        <v>0</v>
      </c>
      <c r="S43" s="156">
        <v>0</v>
      </c>
      <c r="T43" s="154">
        <v>0</v>
      </c>
      <c r="U43" s="154">
        <v>3</v>
      </c>
      <c r="V43" s="154">
        <v>4</v>
      </c>
      <c r="W43" s="154">
        <v>4</v>
      </c>
      <c r="X43" s="152">
        <v>0</v>
      </c>
      <c r="Y43" s="155">
        <v>0</v>
      </c>
      <c r="Z43" s="155">
        <v>0</v>
      </c>
      <c r="AA43" s="154">
        <v>35</v>
      </c>
      <c r="AB43" s="161">
        <v>0</v>
      </c>
      <c r="AC43" s="152">
        <v>0</v>
      </c>
      <c r="AD43" s="155">
        <v>0</v>
      </c>
      <c r="AE43" s="155">
        <v>0</v>
      </c>
      <c r="AF43" s="154">
        <v>35</v>
      </c>
      <c r="AG43" s="161">
        <v>0</v>
      </c>
    </row>
    <row r="44" spans="1:33" ht="14.25" x14ac:dyDescent="0.45">
      <c r="A44" t="s">
        <v>324</v>
      </c>
      <c r="B44" t="s">
        <v>325</v>
      </c>
      <c r="C44" t="s">
        <v>330</v>
      </c>
      <c r="D44" t="s">
        <v>193</v>
      </c>
      <c r="E44" t="s">
        <v>331</v>
      </c>
      <c r="F44" s="8">
        <v>76930</v>
      </c>
      <c r="G44" s="152">
        <v>76930</v>
      </c>
      <c r="H44" s="153">
        <v>0</v>
      </c>
      <c r="I44" s="153">
        <v>0</v>
      </c>
      <c r="J44" s="154">
        <v>76930</v>
      </c>
      <c r="K44" s="155">
        <v>0</v>
      </c>
      <c r="L44" s="153">
        <v>0</v>
      </c>
      <c r="M44" s="152">
        <v>76930</v>
      </c>
      <c r="N44" s="153">
        <v>0</v>
      </c>
      <c r="O44" s="153">
        <v>0</v>
      </c>
      <c r="P44" s="154">
        <v>25798</v>
      </c>
      <c r="Q44" s="155">
        <v>0</v>
      </c>
      <c r="R44" s="153">
        <v>0</v>
      </c>
      <c r="S44" s="156">
        <v>5</v>
      </c>
      <c r="T44" s="154">
        <v>4</v>
      </c>
      <c r="U44" s="154">
        <v>5</v>
      </c>
      <c r="V44" s="154">
        <v>5</v>
      </c>
      <c r="W44" s="154">
        <v>5</v>
      </c>
      <c r="X44" s="152">
        <v>76930</v>
      </c>
      <c r="Y44" s="155">
        <v>0</v>
      </c>
      <c r="Z44" s="155">
        <v>0</v>
      </c>
      <c r="AA44" s="154">
        <v>11902</v>
      </c>
      <c r="AB44" s="161">
        <v>0</v>
      </c>
      <c r="AC44" s="152">
        <v>76930</v>
      </c>
      <c r="AD44" s="155">
        <v>0</v>
      </c>
      <c r="AE44" s="155">
        <v>0</v>
      </c>
      <c r="AF44" s="154">
        <v>11902</v>
      </c>
      <c r="AG44" s="161">
        <v>0</v>
      </c>
    </row>
    <row r="45" spans="1:33" ht="14.25" x14ac:dyDescent="0.45">
      <c r="A45" t="s">
        <v>332</v>
      </c>
      <c r="B45" t="s">
        <v>333</v>
      </c>
      <c r="C45" t="s">
        <v>245</v>
      </c>
      <c r="D45" t="s">
        <v>199</v>
      </c>
      <c r="E45" t="s">
        <v>334</v>
      </c>
      <c r="F45" s="8">
        <v>1050318</v>
      </c>
      <c r="G45" s="152">
        <v>0</v>
      </c>
      <c r="H45" s="153">
        <v>0</v>
      </c>
      <c r="I45" s="153">
        <v>0</v>
      </c>
      <c r="J45" s="154">
        <v>65112</v>
      </c>
      <c r="K45" s="155">
        <v>0</v>
      </c>
      <c r="L45" s="153">
        <v>0</v>
      </c>
      <c r="M45" s="152">
        <v>0</v>
      </c>
      <c r="N45" s="153">
        <v>0</v>
      </c>
      <c r="O45" s="153">
        <v>0</v>
      </c>
      <c r="P45" s="154">
        <v>60289</v>
      </c>
      <c r="Q45" s="155">
        <v>0</v>
      </c>
      <c r="R45" s="153">
        <v>0</v>
      </c>
      <c r="S45" s="156">
        <v>0</v>
      </c>
      <c r="T45" s="154">
        <v>0</v>
      </c>
      <c r="U45" s="154">
        <v>3</v>
      </c>
      <c r="V45" s="154">
        <v>3</v>
      </c>
      <c r="W45" s="154">
        <v>3</v>
      </c>
      <c r="X45" s="152">
        <v>0</v>
      </c>
      <c r="Y45" s="155">
        <v>0</v>
      </c>
      <c r="Z45" s="155">
        <v>0</v>
      </c>
      <c r="AA45" s="154">
        <v>15072</v>
      </c>
      <c r="AB45" s="161">
        <v>0</v>
      </c>
      <c r="AC45" s="152">
        <v>0</v>
      </c>
      <c r="AD45" s="155">
        <v>0</v>
      </c>
      <c r="AE45" s="155">
        <v>0</v>
      </c>
      <c r="AF45" s="154">
        <v>3014</v>
      </c>
      <c r="AG45" s="161">
        <v>0</v>
      </c>
    </row>
    <row r="46" spans="1:33" ht="14.25" x14ac:dyDescent="0.45">
      <c r="A46" t="s">
        <v>335</v>
      </c>
      <c r="B46" t="s">
        <v>336</v>
      </c>
      <c r="C46" t="s">
        <v>245</v>
      </c>
      <c r="D46" t="s">
        <v>199</v>
      </c>
      <c r="E46" t="s">
        <v>337</v>
      </c>
      <c r="F46" s="8">
        <v>1144765</v>
      </c>
      <c r="G46" s="152">
        <v>0</v>
      </c>
      <c r="H46" s="153">
        <v>0</v>
      </c>
      <c r="I46" s="153">
        <v>0</v>
      </c>
      <c r="J46" s="154">
        <v>92461</v>
      </c>
      <c r="K46" s="155">
        <v>0</v>
      </c>
      <c r="L46" s="153">
        <v>0</v>
      </c>
      <c r="M46" s="152">
        <v>0</v>
      </c>
      <c r="N46" s="153">
        <v>0</v>
      </c>
      <c r="O46" s="153">
        <v>0</v>
      </c>
      <c r="P46" s="154">
        <v>78628</v>
      </c>
      <c r="Q46" s="155">
        <v>0</v>
      </c>
      <c r="R46" s="153">
        <v>0</v>
      </c>
      <c r="S46" s="156">
        <v>0</v>
      </c>
      <c r="T46" s="154">
        <v>0</v>
      </c>
      <c r="U46" s="154">
        <v>3</v>
      </c>
      <c r="V46" s="154">
        <v>3</v>
      </c>
      <c r="W46" s="154">
        <v>3</v>
      </c>
      <c r="X46" s="152">
        <v>0</v>
      </c>
      <c r="Y46" s="155">
        <v>0</v>
      </c>
      <c r="Z46" s="155">
        <v>0</v>
      </c>
      <c r="AA46" s="154">
        <v>11794</v>
      </c>
      <c r="AB46" s="161">
        <v>0</v>
      </c>
      <c r="AC46" s="152">
        <v>0</v>
      </c>
      <c r="AD46" s="155">
        <v>0</v>
      </c>
      <c r="AE46" s="155">
        <v>0</v>
      </c>
      <c r="AF46" s="154">
        <v>2359</v>
      </c>
      <c r="AG46" s="161">
        <v>0</v>
      </c>
    </row>
    <row r="47" spans="1:33" ht="14.25" x14ac:dyDescent="0.45">
      <c r="A47" t="s">
        <v>338</v>
      </c>
      <c r="B47" t="s">
        <v>339</v>
      </c>
      <c r="C47" t="s">
        <v>245</v>
      </c>
      <c r="D47" t="s">
        <v>199</v>
      </c>
      <c r="E47" t="s">
        <v>340</v>
      </c>
      <c r="F47" s="8">
        <v>654523</v>
      </c>
      <c r="G47" s="152">
        <v>0</v>
      </c>
      <c r="H47" s="153">
        <v>0</v>
      </c>
      <c r="I47" s="153">
        <v>0</v>
      </c>
      <c r="J47" s="154">
        <v>40403</v>
      </c>
      <c r="K47" s="155">
        <v>0</v>
      </c>
      <c r="L47" s="153">
        <v>0</v>
      </c>
      <c r="M47" s="152">
        <v>0</v>
      </c>
      <c r="N47" s="153">
        <v>0</v>
      </c>
      <c r="O47" s="153">
        <v>0</v>
      </c>
      <c r="P47" s="154">
        <v>34246</v>
      </c>
      <c r="Q47" s="155">
        <v>0</v>
      </c>
      <c r="R47" s="153">
        <v>0</v>
      </c>
      <c r="S47" s="156">
        <v>0</v>
      </c>
      <c r="T47" s="154">
        <v>0</v>
      </c>
      <c r="U47" s="154">
        <v>3</v>
      </c>
      <c r="V47" s="154">
        <v>3</v>
      </c>
      <c r="W47" s="154">
        <v>3</v>
      </c>
      <c r="X47" s="152">
        <v>0</v>
      </c>
      <c r="Y47" s="155">
        <v>0</v>
      </c>
      <c r="Z47" s="155">
        <v>0</v>
      </c>
      <c r="AA47" s="154">
        <v>16161</v>
      </c>
      <c r="AB47" s="161">
        <v>0</v>
      </c>
      <c r="AC47" s="152">
        <v>0</v>
      </c>
      <c r="AD47" s="155">
        <v>0</v>
      </c>
      <c r="AE47" s="155">
        <v>0</v>
      </c>
      <c r="AF47" s="154">
        <v>16161</v>
      </c>
      <c r="AG47" s="161">
        <v>0</v>
      </c>
    </row>
    <row r="48" spans="1:33" ht="14.25" x14ac:dyDescent="0.45">
      <c r="A48" t="s">
        <v>341</v>
      </c>
      <c r="B48" t="s">
        <v>342</v>
      </c>
      <c r="C48" t="s">
        <v>252</v>
      </c>
      <c r="D48" t="s">
        <v>193</v>
      </c>
      <c r="E48" t="s">
        <v>343</v>
      </c>
      <c r="F48" s="8">
        <v>84516</v>
      </c>
      <c r="G48" s="152">
        <v>84516</v>
      </c>
      <c r="H48" s="153">
        <v>0</v>
      </c>
      <c r="I48" s="153">
        <v>0</v>
      </c>
      <c r="J48" s="154">
        <v>84516</v>
      </c>
      <c r="K48" s="155">
        <v>0</v>
      </c>
      <c r="L48" s="153">
        <v>0</v>
      </c>
      <c r="M48" s="152">
        <v>70892</v>
      </c>
      <c r="N48" s="153">
        <v>0</v>
      </c>
      <c r="O48" s="153">
        <v>0</v>
      </c>
      <c r="P48" s="154">
        <v>11991</v>
      </c>
      <c r="Q48" s="155">
        <v>0</v>
      </c>
      <c r="R48" s="153">
        <v>0</v>
      </c>
      <c r="S48" s="156">
        <v>5</v>
      </c>
      <c r="T48" s="154">
        <v>0</v>
      </c>
      <c r="U48" s="154">
        <v>5</v>
      </c>
      <c r="V48" s="154">
        <v>5</v>
      </c>
      <c r="W48" s="154">
        <v>5</v>
      </c>
      <c r="X48" s="152">
        <v>70576</v>
      </c>
      <c r="Y48" s="155">
        <v>0</v>
      </c>
      <c r="Z48" s="155">
        <v>0</v>
      </c>
      <c r="AA48" s="154">
        <v>2855</v>
      </c>
      <c r="AB48" s="161">
        <v>0</v>
      </c>
      <c r="AC48" s="152">
        <v>70576</v>
      </c>
      <c r="AD48" s="155">
        <v>0</v>
      </c>
      <c r="AE48" s="155">
        <v>0</v>
      </c>
      <c r="AF48" s="154">
        <v>2855</v>
      </c>
      <c r="AG48" s="161">
        <v>0</v>
      </c>
    </row>
    <row r="49" spans="1:33" ht="14.25" x14ac:dyDescent="0.45">
      <c r="A49" t="s">
        <v>341</v>
      </c>
      <c r="B49" t="s">
        <v>342</v>
      </c>
      <c r="C49" t="s">
        <v>254</v>
      </c>
      <c r="D49" t="s">
        <v>196</v>
      </c>
      <c r="E49" t="s">
        <v>344</v>
      </c>
      <c r="F49" s="8">
        <v>15275</v>
      </c>
      <c r="G49" s="152">
        <v>6036.4750933325968</v>
      </c>
      <c r="H49" s="153">
        <v>0</v>
      </c>
      <c r="I49" s="153">
        <v>0</v>
      </c>
      <c r="J49" s="154">
        <v>5841</v>
      </c>
      <c r="K49" s="155">
        <v>0</v>
      </c>
      <c r="L49" s="153">
        <v>0</v>
      </c>
      <c r="M49" s="152">
        <v>4771</v>
      </c>
      <c r="N49" s="153">
        <v>0</v>
      </c>
      <c r="O49" s="153">
        <v>0</v>
      </c>
      <c r="P49" s="154">
        <v>955</v>
      </c>
      <c r="Q49" s="155">
        <v>0</v>
      </c>
      <c r="R49" s="153">
        <v>0</v>
      </c>
      <c r="S49" s="156">
        <v>3</v>
      </c>
      <c r="T49" s="154">
        <v>0</v>
      </c>
      <c r="U49" s="154">
        <v>4</v>
      </c>
      <c r="V49" s="154">
        <v>4</v>
      </c>
      <c r="W49" s="154">
        <v>4</v>
      </c>
      <c r="X49" s="152">
        <v>3260</v>
      </c>
      <c r="Y49" s="155">
        <v>0</v>
      </c>
      <c r="Z49" s="155">
        <v>0</v>
      </c>
      <c r="AA49" s="154">
        <v>513</v>
      </c>
      <c r="AB49" s="161">
        <v>0</v>
      </c>
      <c r="AC49" s="152">
        <v>3260</v>
      </c>
      <c r="AD49" s="155">
        <v>0</v>
      </c>
      <c r="AE49" s="155">
        <v>0</v>
      </c>
      <c r="AF49" s="154">
        <v>335</v>
      </c>
      <c r="AG49" s="161">
        <v>0</v>
      </c>
    </row>
    <row r="50" spans="1:33" ht="14.25" x14ac:dyDescent="0.45">
      <c r="A50" t="s">
        <v>341</v>
      </c>
      <c r="B50" t="s">
        <v>342</v>
      </c>
      <c r="C50" t="s">
        <v>256</v>
      </c>
      <c r="D50" t="s">
        <v>199</v>
      </c>
      <c r="E50" t="s">
        <v>345</v>
      </c>
      <c r="F50" s="8">
        <v>777660</v>
      </c>
      <c r="G50" s="152">
        <v>0</v>
      </c>
      <c r="H50" s="153">
        <v>0</v>
      </c>
      <c r="I50" s="153">
        <v>0</v>
      </c>
      <c r="J50" s="154">
        <v>22199</v>
      </c>
      <c r="K50" s="155">
        <v>0</v>
      </c>
      <c r="L50" s="153">
        <v>0</v>
      </c>
      <c r="M50" s="152">
        <v>0</v>
      </c>
      <c r="N50" s="153">
        <v>0</v>
      </c>
      <c r="O50" s="153">
        <v>0</v>
      </c>
      <c r="P50" s="154">
        <v>19102</v>
      </c>
      <c r="Q50" s="155">
        <v>0</v>
      </c>
      <c r="R50" s="153">
        <v>0</v>
      </c>
      <c r="S50" s="156">
        <v>0</v>
      </c>
      <c r="T50" s="154">
        <v>0</v>
      </c>
      <c r="U50" s="154">
        <v>3</v>
      </c>
      <c r="V50" s="154">
        <v>3</v>
      </c>
      <c r="W50" s="154">
        <v>3</v>
      </c>
      <c r="X50" s="152">
        <v>0</v>
      </c>
      <c r="Y50" s="155">
        <v>0</v>
      </c>
      <c r="Z50" s="155">
        <v>0</v>
      </c>
      <c r="AA50" s="154">
        <v>4481</v>
      </c>
      <c r="AB50" s="161">
        <v>0</v>
      </c>
      <c r="AC50" s="152">
        <v>0</v>
      </c>
      <c r="AD50" s="155">
        <v>0</v>
      </c>
      <c r="AE50" s="155">
        <v>0</v>
      </c>
      <c r="AF50" s="154">
        <v>1242</v>
      </c>
      <c r="AG50" s="161">
        <v>0</v>
      </c>
    </row>
    <row r="51" spans="1:33" ht="14.25" x14ac:dyDescent="0.45">
      <c r="A51" t="s">
        <v>346</v>
      </c>
      <c r="B51" t="s">
        <v>347</v>
      </c>
      <c r="C51" t="s">
        <v>245</v>
      </c>
      <c r="D51" t="s">
        <v>199</v>
      </c>
      <c r="E51" t="s">
        <v>348</v>
      </c>
      <c r="F51" s="8">
        <v>3394193</v>
      </c>
      <c r="G51" s="152">
        <v>0</v>
      </c>
      <c r="H51" s="153">
        <v>0</v>
      </c>
      <c r="I51" s="153">
        <v>0</v>
      </c>
      <c r="J51" s="154">
        <v>213148</v>
      </c>
      <c r="K51" s="155">
        <v>0</v>
      </c>
      <c r="L51" s="153">
        <v>0</v>
      </c>
      <c r="M51" s="152">
        <v>0</v>
      </c>
      <c r="N51" s="153">
        <v>0</v>
      </c>
      <c r="O51" s="153">
        <v>0</v>
      </c>
      <c r="P51" s="154">
        <v>184996</v>
      </c>
      <c r="Q51" s="155">
        <v>0</v>
      </c>
      <c r="R51" s="153">
        <v>0</v>
      </c>
      <c r="S51" s="156">
        <v>0</v>
      </c>
      <c r="T51" s="154">
        <v>0</v>
      </c>
      <c r="U51" s="154">
        <v>3</v>
      </c>
      <c r="V51" s="154">
        <v>3</v>
      </c>
      <c r="W51" s="154">
        <v>3</v>
      </c>
      <c r="X51" s="152">
        <v>0</v>
      </c>
      <c r="Y51" s="155">
        <v>0</v>
      </c>
      <c r="Z51" s="155">
        <v>0</v>
      </c>
      <c r="AA51" s="154">
        <v>42875</v>
      </c>
      <c r="AB51" s="161">
        <v>0</v>
      </c>
      <c r="AC51" s="152">
        <v>0</v>
      </c>
      <c r="AD51" s="155">
        <v>0</v>
      </c>
      <c r="AE51" s="155">
        <v>0</v>
      </c>
      <c r="AF51" s="154">
        <v>11453</v>
      </c>
      <c r="AG51" s="161">
        <v>0</v>
      </c>
    </row>
    <row r="52" spans="1:33" ht="14.25" x14ac:dyDescent="0.45">
      <c r="A52" t="s">
        <v>33</v>
      </c>
      <c r="B52" t="s">
        <v>191</v>
      </c>
      <c r="C52" t="s">
        <v>192</v>
      </c>
      <c r="D52" t="s">
        <v>193</v>
      </c>
      <c r="E52" t="s">
        <v>194</v>
      </c>
      <c r="F52" s="8">
        <v>232328</v>
      </c>
      <c r="G52" s="152">
        <v>232328</v>
      </c>
      <c r="H52" s="153">
        <v>0</v>
      </c>
      <c r="I52" s="154">
        <v>15524</v>
      </c>
      <c r="J52" s="154">
        <v>232328</v>
      </c>
      <c r="K52" s="155">
        <v>0</v>
      </c>
      <c r="L52" s="154">
        <v>232328</v>
      </c>
      <c r="M52" s="152">
        <v>232328</v>
      </c>
      <c r="N52" s="153">
        <v>0</v>
      </c>
      <c r="O52" s="154">
        <v>15524</v>
      </c>
      <c r="P52" s="154">
        <v>7414</v>
      </c>
      <c r="Q52" s="155">
        <v>0</v>
      </c>
      <c r="R52" s="154">
        <v>232328</v>
      </c>
      <c r="S52" s="156">
        <v>5</v>
      </c>
      <c r="T52" s="153">
        <v>0</v>
      </c>
      <c r="U52" s="154">
        <v>5</v>
      </c>
      <c r="V52" s="154">
        <v>5</v>
      </c>
      <c r="W52" s="154">
        <v>5</v>
      </c>
      <c r="X52" s="152">
        <v>132696</v>
      </c>
      <c r="Y52" s="155">
        <v>0</v>
      </c>
      <c r="Z52" s="154">
        <v>7762</v>
      </c>
      <c r="AA52" s="154">
        <v>1207</v>
      </c>
      <c r="AB52" s="159">
        <v>132696</v>
      </c>
      <c r="AC52" s="152">
        <v>132696</v>
      </c>
      <c r="AD52" s="155">
        <v>0</v>
      </c>
      <c r="AE52" s="154">
        <v>7762</v>
      </c>
      <c r="AF52" s="154">
        <v>1207</v>
      </c>
      <c r="AG52" s="159">
        <v>132696</v>
      </c>
    </row>
    <row r="53" spans="1:33" ht="14.25" x14ac:dyDescent="0.45">
      <c r="A53" t="s">
        <v>33</v>
      </c>
      <c r="B53" t="s">
        <v>191</v>
      </c>
      <c r="C53" t="s">
        <v>195</v>
      </c>
      <c r="D53" t="s">
        <v>196</v>
      </c>
      <c r="E53" t="s">
        <v>197</v>
      </c>
      <c r="F53" s="8">
        <v>235957</v>
      </c>
      <c r="G53" s="152">
        <v>235957</v>
      </c>
      <c r="H53" s="153">
        <v>0</v>
      </c>
      <c r="I53" s="154">
        <v>6791</v>
      </c>
      <c r="J53" s="154">
        <v>235957</v>
      </c>
      <c r="K53" s="155">
        <v>0</v>
      </c>
      <c r="L53" s="154">
        <v>235957</v>
      </c>
      <c r="M53" s="152">
        <v>235957</v>
      </c>
      <c r="N53" s="153">
        <v>0</v>
      </c>
      <c r="O53" s="154">
        <v>6791</v>
      </c>
      <c r="P53" s="154">
        <v>10647</v>
      </c>
      <c r="Q53" s="155">
        <v>0</v>
      </c>
      <c r="R53" s="154">
        <v>235957</v>
      </c>
      <c r="S53" s="152">
        <v>4</v>
      </c>
      <c r="T53" s="153">
        <v>0</v>
      </c>
      <c r="U53" s="154">
        <v>4</v>
      </c>
      <c r="V53" s="154">
        <v>4</v>
      </c>
      <c r="W53" s="154">
        <v>4</v>
      </c>
      <c r="X53" s="152">
        <v>157128</v>
      </c>
      <c r="Y53" s="155">
        <v>0</v>
      </c>
      <c r="Z53" s="154">
        <v>3396</v>
      </c>
      <c r="AA53" s="154">
        <v>1734</v>
      </c>
      <c r="AB53" s="159">
        <v>160371</v>
      </c>
      <c r="AC53" s="152">
        <v>157128</v>
      </c>
      <c r="AD53" s="155">
        <v>0</v>
      </c>
      <c r="AE53" s="154">
        <v>3396</v>
      </c>
      <c r="AF53" s="154">
        <v>1734</v>
      </c>
      <c r="AG53" s="159">
        <v>160371</v>
      </c>
    </row>
    <row r="54" spans="1:33" ht="14.25" x14ac:dyDescent="0.45">
      <c r="A54" t="s">
        <v>33</v>
      </c>
      <c r="B54" t="s">
        <v>191</v>
      </c>
      <c r="C54" t="s">
        <v>198</v>
      </c>
      <c r="D54" t="s">
        <v>199</v>
      </c>
      <c r="E54" t="s">
        <v>200</v>
      </c>
      <c r="F54" s="8">
        <v>320229</v>
      </c>
      <c r="G54" s="152">
        <v>0</v>
      </c>
      <c r="H54" s="153">
        <v>0</v>
      </c>
      <c r="I54" s="154">
        <v>6369</v>
      </c>
      <c r="J54" s="154">
        <v>15802</v>
      </c>
      <c r="K54" s="158">
        <v>304427</v>
      </c>
      <c r="L54" s="154">
        <v>320229</v>
      </c>
      <c r="M54" s="152">
        <v>0</v>
      </c>
      <c r="N54" s="153">
        <v>0</v>
      </c>
      <c r="O54" s="154">
        <v>6369</v>
      </c>
      <c r="P54" s="154">
        <v>15802</v>
      </c>
      <c r="Q54" s="158">
        <v>304427</v>
      </c>
      <c r="R54" s="154">
        <v>320229</v>
      </c>
      <c r="S54" s="152">
        <v>0</v>
      </c>
      <c r="T54" s="153">
        <v>0</v>
      </c>
      <c r="U54" s="154">
        <v>4</v>
      </c>
      <c r="V54" s="154">
        <v>4</v>
      </c>
      <c r="W54" s="154">
        <v>4</v>
      </c>
      <c r="X54" s="152">
        <v>0</v>
      </c>
      <c r="Y54" s="155">
        <v>0</v>
      </c>
      <c r="Z54" s="154">
        <v>3185</v>
      </c>
      <c r="AA54" s="154">
        <v>1350</v>
      </c>
      <c r="AB54" s="159">
        <v>4535</v>
      </c>
      <c r="AC54" s="152">
        <v>0</v>
      </c>
      <c r="AD54" s="155">
        <v>0</v>
      </c>
      <c r="AE54" s="154">
        <v>3185</v>
      </c>
      <c r="AF54" s="154">
        <v>1350</v>
      </c>
      <c r="AG54" s="159">
        <v>4535</v>
      </c>
    </row>
    <row r="55" spans="1:33" ht="14.25" x14ac:dyDescent="0.45">
      <c r="A55" t="s">
        <v>33</v>
      </c>
      <c r="B55" t="s">
        <v>191</v>
      </c>
      <c r="C55" t="s">
        <v>201</v>
      </c>
      <c r="D55" t="s">
        <v>199</v>
      </c>
      <c r="E55" t="s">
        <v>202</v>
      </c>
      <c r="F55" s="8">
        <v>200483</v>
      </c>
      <c r="G55" s="152">
        <v>0</v>
      </c>
      <c r="H55" s="153">
        <v>0</v>
      </c>
      <c r="I55" s="154">
        <v>3988</v>
      </c>
      <c r="J55" s="154">
        <v>9893</v>
      </c>
      <c r="K55" s="158">
        <v>190590</v>
      </c>
      <c r="L55" s="154">
        <v>200483</v>
      </c>
      <c r="M55" s="152">
        <v>0</v>
      </c>
      <c r="N55" s="153">
        <v>0</v>
      </c>
      <c r="O55" s="154">
        <v>3987</v>
      </c>
      <c r="P55" s="154">
        <v>9893</v>
      </c>
      <c r="Q55" s="158">
        <v>190590</v>
      </c>
      <c r="R55" s="154">
        <v>200483</v>
      </c>
      <c r="S55" s="152">
        <v>0</v>
      </c>
      <c r="T55" s="153">
        <v>0</v>
      </c>
      <c r="U55" s="154">
        <v>3</v>
      </c>
      <c r="V55" s="154">
        <v>3</v>
      </c>
      <c r="W55" s="154">
        <v>3</v>
      </c>
      <c r="X55" s="152">
        <v>0</v>
      </c>
      <c r="Y55" s="155">
        <v>0</v>
      </c>
      <c r="Z55" s="154">
        <v>997</v>
      </c>
      <c r="AA55" s="154">
        <v>1979</v>
      </c>
      <c r="AB55" s="159">
        <v>2976</v>
      </c>
      <c r="AC55" s="152">
        <v>0</v>
      </c>
      <c r="AD55" s="155">
        <v>0</v>
      </c>
      <c r="AE55" s="154">
        <v>199</v>
      </c>
      <c r="AF55" s="154">
        <v>396</v>
      </c>
      <c r="AG55" s="159">
        <v>595</v>
      </c>
    </row>
    <row r="56" spans="1:33" ht="14.25" x14ac:dyDescent="0.45">
      <c r="A56" t="s">
        <v>203</v>
      </c>
      <c r="B56" t="s">
        <v>204</v>
      </c>
      <c r="C56" t="s">
        <v>205</v>
      </c>
      <c r="D56" t="s">
        <v>193</v>
      </c>
      <c r="E56" t="s">
        <v>206</v>
      </c>
      <c r="F56" s="163">
        <v>1258298</v>
      </c>
      <c r="G56" s="163">
        <v>1258298</v>
      </c>
      <c r="H56" s="158">
        <v>504240</v>
      </c>
      <c r="I56" s="158">
        <v>488720</v>
      </c>
      <c r="J56" s="162">
        <v>1258298</v>
      </c>
      <c r="K56" s="155">
        <v>0</v>
      </c>
      <c r="L56" s="154">
        <v>1258298</v>
      </c>
      <c r="M56" s="163">
        <v>1147403</v>
      </c>
      <c r="N56" s="158">
        <v>504240</v>
      </c>
      <c r="O56" s="158">
        <v>488720</v>
      </c>
      <c r="P56" s="162">
        <v>377839</v>
      </c>
      <c r="Q56" s="155">
        <v>0</v>
      </c>
      <c r="R56" s="154">
        <v>1147403</v>
      </c>
      <c r="S56" s="160">
        <v>0</v>
      </c>
      <c r="T56" s="154">
        <v>4</v>
      </c>
      <c r="U56" s="154">
        <v>5</v>
      </c>
      <c r="V56" s="155">
        <v>0</v>
      </c>
      <c r="W56" s="155">
        <v>0</v>
      </c>
      <c r="X56" s="163">
        <v>1120536</v>
      </c>
      <c r="Y56" s="158">
        <v>504240</v>
      </c>
      <c r="Z56" s="154">
        <v>244360</v>
      </c>
      <c r="AA56" s="162">
        <v>144428</v>
      </c>
      <c r="AB56" s="159">
        <v>1120536</v>
      </c>
      <c r="AC56" s="163">
        <v>1120536</v>
      </c>
      <c r="AD56" s="158">
        <v>504240</v>
      </c>
      <c r="AE56" s="154">
        <v>244360</v>
      </c>
      <c r="AF56" s="162">
        <v>144428</v>
      </c>
      <c r="AG56" s="159">
        <v>1120536</v>
      </c>
    </row>
    <row r="57" spans="1:33" ht="15" customHeight="1" x14ac:dyDescent="0.45">
      <c r="A57" t="s">
        <v>207</v>
      </c>
      <c r="B57" t="s">
        <v>204</v>
      </c>
      <c r="C57" t="s">
        <v>208</v>
      </c>
      <c r="D57" t="s">
        <v>196</v>
      </c>
      <c r="E57" t="s">
        <v>209</v>
      </c>
      <c r="F57" s="163">
        <v>2953997</v>
      </c>
      <c r="G57" s="163">
        <v>1722923.181292699</v>
      </c>
      <c r="H57" s="153">
        <v>0</v>
      </c>
      <c r="I57" s="158">
        <v>345681</v>
      </c>
      <c r="J57" s="162">
        <v>1586193</v>
      </c>
      <c r="K57" s="155">
        <v>0</v>
      </c>
      <c r="L57" s="154">
        <v>2020532.181292699</v>
      </c>
      <c r="M57" s="163">
        <v>1497099</v>
      </c>
      <c r="N57" s="153">
        <v>0</v>
      </c>
      <c r="O57" s="158">
        <v>345681</v>
      </c>
      <c r="P57" s="162">
        <v>606254</v>
      </c>
      <c r="Q57" s="155">
        <v>0</v>
      </c>
      <c r="R57" s="154">
        <v>1794708</v>
      </c>
      <c r="S57" s="160">
        <v>0</v>
      </c>
      <c r="T57" s="155">
        <v>0</v>
      </c>
      <c r="U57" s="154">
        <v>4</v>
      </c>
      <c r="V57" s="155">
        <v>0</v>
      </c>
      <c r="W57" s="155">
        <v>0</v>
      </c>
      <c r="X57" s="163">
        <v>1303692</v>
      </c>
      <c r="Y57" s="155">
        <v>0</v>
      </c>
      <c r="Z57" s="154">
        <v>177252</v>
      </c>
      <c r="AA57" s="162">
        <v>285633</v>
      </c>
      <c r="AB57" s="159">
        <v>1560382</v>
      </c>
      <c r="AC57" s="163">
        <v>1300105</v>
      </c>
      <c r="AD57" s="155">
        <v>0</v>
      </c>
      <c r="AE57" s="154">
        <v>177252</v>
      </c>
      <c r="AF57" s="162">
        <v>276243</v>
      </c>
      <c r="AG57" s="159">
        <v>1547404</v>
      </c>
    </row>
    <row r="58" spans="1:33" ht="15" customHeight="1" x14ac:dyDescent="0.45">
      <c r="A58" t="s">
        <v>214</v>
      </c>
      <c r="B58" t="s">
        <v>204</v>
      </c>
      <c r="C58" t="s">
        <v>349</v>
      </c>
      <c r="D58" t="s">
        <v>199</v>
      </c>
      <c r="E58" t="s">
        <v>210</v>
      </c>
      <c r="F58" s="163">
        <v>26727253</v>
      </c>
      <c r="G58" s="157">
        <v>0</v>
      </c>
      <c r="H58" s="153">
        <v>0</v>
      </c>
      <c r="I58" s="158">
        <v>1868838</v>
      </c>
      <c r="J58" s="162">
        <v>1910493</v>
      </c>
      <c r="K58" s="158">
        <v>6407206.9555557044</v>
      </c>
      <c r="L58" s="154">
        <v>8543410.9555557035</v>
      </c>
      <c r="M58" s="157">
        <v>0</v>
      </c>
      <c r="N58" s="153">
        <v>0</v>
      </c>
      <c r="O58" s="158">
        <v>1868838</v>
      </c>
      <c r="P58" s="162">
        <v>1644534</v>
      </c>
      <c r="Q58" s="158">
        <v>5048344.2923931861</v>
      </c>
      <c r="R58" s="154">
        <v>6918589.2923931861</v>
      </c>
      <c r="S58" s="160">
        <v>0</v>
      </c>
      <c r="T58" s="155">
        <v>0</v>
      </c>
      <c r="U58" s="154">
        <v>3</v>
      </c>
      <c r="V58" s="155">
        <v>0</v>
      </c>
      <c r="W58" s="155">
        <v>0</v>
      </c>
      <c r="X58" s="160">
        <v>0</v>
      </c>
      <c r="Y58" s="155">
        <v>0</v>
      </c>
      <c r="Z58" s="154">
        <v>491828</v>
      </c>
      <c r="AA58" s="162">
        <v>645630</v>
      </c>
      <c r="AB58" s="159">
        <v>1137458</v>
      </c>
      <c r="AC58" s="160">
        <v>0</v>
      </c>
      <c r="AD58" s="155">
        <v>0</v>
      </c>
      <c r="AE58" s="154">
        <v>98365</v>
      </c>
      <c r="AF58" s="162">
        <v>551251</v>
      </c>
      <c r="AG58" s="159">
        <v>649616</v>
      </c>
    </row>
    <row r="59" spans="1:33" ht="15" customHeight="1" x14ac:dyDescent="0.45">
      <c r="A59" t="s">
        <v>141</v>
      </c>
      <c r="F59" s="8">
        <f>SUM(F8:F55)</f>
        <v>31928545</v>
      </c>
      <c r="G59" s="20">
        <f>SUM(G8:G55)</f>
        <v>3449506.1812926992</v>
      </c>
      <c r="H59" s="13">
        <f>SUBTOTAL(109,overall_total[overall_aff_sp2_joint])</f>
        <v>504240</v>
      </c>
      <c r="I59" s="13">
        <f>SUBTOTAL(109,overall_total[overall_aff_sp3_joint])</f>
        <v>2735911</v>
      </c>
      <c r="J59" s="13">
        <f>SUM(J8:J55)</f>
        <v>5248964</v>
      </c>
      <c r="K59" s="13">
        <f>SUBTOTAL(109,overall_total[overall_aff_sp5_joint])</f>
        <v>6902223.9555557044</v>
      </c>
      <c r="L59" s="13">
        <f>SUBTOTAL(109,overall_total[overall_aff_total_joint])</f>
        <v>12811238.136848401</v>
      </c>
      <c r="M59" s="140">
        <f>SUM(M8:M55)</f>
        <v>3112787</v>
      </c>
      <c r="N59" s="14">
        <f>SUBTOTAL(109,overall_total[overall_pin_sp2_joint])</f>
        <v>504240</v>
      </c>
      <c r="O59" s="14">
        <f>SUBTOTAL(109,overall_total[overall_pin_sp3_joint])</f>
        <v>2735910</v>
      </c>
      <c r="P59" s="14">
        <f>SUM(P8:P55)</f>
        <v>2672383</v>
      </c>
      <c r="Q59" s="14">
        <f>SUBTOTAL(109,overall_total[overall_pin_sp5_joint])</f>
        <v>5543361.2923931861</v>
      </c>
      <c r="R59" s="168">
        <f>SUBTOTAL(109,overall_total[overall_pin_total_joint])</f>
        <v>10849697.292393185</v>
      </c>
      <c r="S59" s="59"/>
      <c r="T59" s="12"/>
      <c r="U59" s="12"/>
      <c r="V59" s="12"/>
      <c r="W59" s="11"/>
      <c r="X59" s="10">
        <f>SUM(X8:X55)</f>
        <v>2714052</v>
      </c>
      <c r="Y59" s="8">
        <f>SUBTOTAL(109,overall_total[overall_target_sp2_joint])</f>
        <v>504240</v>
      </c>
      <c r="Z59" s="8">
        <f>SUBTOTAL(109,overall_total[overall_target_sp3_joint])</f>
        <v>928780</v>
      </c>
      <c r="AA59" s="8">
        <f>SUM(AA8:AA55)</f>
        <v>1081961</v>
      </c>
      <c r="AB59" s="135">
        <f>SUBTOTAL(109,overall_total[overall_target_total_joint])</f>
        <v>4118954</v>
      </c>
      <c r="AC59" s="10">
        <f>SUM(AC8:AC55)</f>
        <v>2710465</v>
      </c>
      <c r="AD59" s="8">
        <f>SUBTOTAL(109,overall_total[overall_targetPr_sp2_joint])</f>
        <v>504240</v>
      </c>
      <c r="AE59" s="8">
        <f>SUBTOTAL(109,overall_total[overall_targetPr_sp3_joint])</f>
        <v>534519</v>
      </c>
      <c r="AF59" s="8">
        <f>SUM(AF8:AF55)</f>
        <v>976609</v>
      </c>
      <c r="AG59" s="135">
        <f>SUBTOTAL(109,overall_total[overall_targetPr_total_joint])</f>
        <v>3615753</v>
      </c>
    </row>
    <row r="61" spans="1:33" ht="15" customHeight="1" x14ac:dyDescent="0.45">
      <c r="F61" s="378" t="s">
        <v>4267</v>
      </c>
      <c r="G61" s="378"/>
      <c r="H61" s="378"/>
      <c r="I61" s="378"/>
      <c r="J61" s="378"/>
      <c r="K61" s="378"/>
      <c r="L61" s="378"/>
      <c r="M61" s="378"/>
      <c r="N61" s="378"/>
      <c r="O61" s="378"/>
      <c r="P61" s="378"/>
      <c r="Q61" s="378"/>
      <c r="R61" s="378"/>
      <c r="S61" s="378"/>
      <c r="T61" s="378"/>
      <c r="U61" s="378"/>
      <c r="V61" s="378"/>
      <c r="W61" s="378"/>
      <c r="X61" s="378"/>
      <c r="Y61" s="378"/>
      <c r="Z61" s="378"/>
      <c r="AA61" s="378"/>
      <c r="AB61" s="378"/>
      <c r="AC61" s="378"/>
      <c r="AD61" s="378"/>
      <c r="AE61" s="378"/>
      <c r="AF61" s="378"/>
      <c r="AG61" s="378"/>
    </row>
    <row r="62" spans="1:33" ht="15" customHeight="1" x14ac:dyDescent="0.45">
      <c r="M62" s="50"/>
    </row>
    <row r="63" spans="1:33" ht="15" customHeight="1" x14ac:dyDescent="0.45">
      <c r="F63" s="24"/>
      <c r="G63" s="24"/>
      <c r="H63" s="24"/>
      <c r="I63" s="24"/>
      <c r="M63" s="50"/>
    </row>
    <row r="64" spans="1:33" ht="15" customHeight="1" x14ac:dyDescent="0.45">
      <c r="G64" s="50"/>
      <c r="H64" s="50"/>
      <c r="I64" s="50"/>
    </row>
    <row r="66" spans="6:18" ht="15" customHeight="1" x14ac:dyDescent="0.45">
      <c r="G66" s="61"/>
      <c r="H66" s="61"/>
      <c r="I66" s="61"/>
      <c r="J66" s="61"/>
    </row>
    <row r="67" spans="6:18" ht="15" customHeight="1" x14ac:dyDescent="0.45">
      <c r="H67" s="181"/>
      <c r="I67" s="181"/>
      <c r="J67" s="181"/>
      <c r="M67" s="61"/>
    </row>
    <row r="68" spans="6:18" ht="14.25" x14ac:dyDescent="0.45">
      <c r="F68" s="180"/>
      <c r="H68" s="181"/>
      <c r="I68" s="79"/>
      <c r="J68" s="79"/>
      <c r="M68" s="61"/>
      <c r="N68" s="183"/>
      <c r="O68" s="183"/>
      <c r="P68" s="183"/>
      <c r="Q68" s="185"/>
      <c r="R68" s="185"/>
    </row>
    <row r="69" spans="6:18" ht="15" customHeight="1" x14ac:dyDescent="0.45">
      <c r="H69" s="181"/>
      <c r="I69" s="182"/>
      <c r="J69" s="182"/>
      <c r="N69" s="187"/>
      <c r="O69" s="187"/>
      <c r="P69" s="187"/>
      <c r="Q69" s="182"/>
      <c r="R69" s="179"/>
    </row>
    <row r="70" spans="6:18" ht="15" customHeight="1" x14ac:dyDescent="0.45">
      <c r="H70" s="181"/>
      <c r="I70" s="182"/>
      <c r="J70" s="182"/>
      <c r="N70" s="187"/>
      <c r="O70" s="187"/>
      <c r="P70" s="187"/>
      <c r="Q70" s="182"/>
      <c r="R70" s="179"/>
    </row>
    <row r="71" spans="6:18" ht="15" customHeight="1" x14ac:dyDescent="0.45">
      <c r="H71" s="181"/>
      <c r="I71" s="182"/>
      <c r="J71" s="182"/>
      <c r="M71" s="61"/>
      <c r="N71" s="188"/>
      <c r="O71" s="188"/>
      <c r="P71" s="188"/>
      <c r="Q71" s="184"/>
      <c r="R71" s="186"/>
    </row>
    <row r="72" spans="6:18" ht="15" customHeight="1" x14ac:dyDescent="0.45">
      <c r="G72" s="24"/>
      <c r="H72" s="24"/>
      <c r="I72" s="24"/>
    </row>
  </sheetData>
  <mergeCells count="1">
    <mergeCell ref="F61:AG61"/>
  </mergeCells>
  <conditionalFormatting sqref="G56:G58">
    <cfRule type="expression" dxfId="3" priority="5">
      <formula>G56&gt;$F56</formula>
    </cfRule>
  </conditionalFormatting>
  <conditionalFormatting sqref="M56:M57">
    <cfRule type="expression" dxfId="2" priority="4">
      <formula>M56&gt;$F56</formula>
    </cfRule>
  </conditionalFormatting>
  <conditionalFormatting sqref="X56:X57">
    <cfRule type="expression" dxfId="1" priority="3">
      <formula>X56&gt;$F56</formula>
    </cfRule>
  </conditionalFormatting>
  <conditionalFormatting sqref="AC56:AC57">
    <cfRule type="expression" dxfId="0" priority="1">
      <formula>AC56&gt;$F56</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5725D-CCC8-401F-9BB8-376B06543966}">
  <sheetPr codeName="Sheet10"/>
  <dimension ref="A1:AG61"/>
  <sheetViews>
    <sheetView showGridLines="0" zoomScaleNormal="100" workbookViewId="0">
      <pane xSplit="5" ySplit="7" topLeftCell="F19" activePane="bottomRight" state="frozen"/>
      <selection activeCell="F21" sqref="F21"/>
      <selection pane="topRight" activeCell="F21" sqref="F21"/>
      <selection pane="bottomLeft" activeCell="F21" sqref="F21"/>
      <selection pane="bottomRight"/>
    </sheetView>
  </sheetViews>
  <sheetFormatPr defaultRowHeight="15" customHeight="1" x14ac:dyDescent="0.45"/>
  <cols>
    <col min="1" max="1" width="17.46484375" customWidth="1"/>
    <col min="2" max="2" width="11.19921875" customWidth="1"/>
    <col min="3" max="3" width="15.19921875" customWidth="1"/>
    <col min="4" max="4" width="11.53125" customWidth="1"/>
    <col min="5" max="5" width="14.1328125" customWidth="1"/>
    <col min="6" max="6" width="12.1328125" customWidth="1"/>
    <col min="7" max="26" width="10.3984375" customWidth="1"/>
  </cols>
  <sheetData>
    <row r="1" spans="1:31" ht="15" customHeight="1" x14ac:dyDescent="0.45">
      <c r="A1" s="296" t="s">
        <v>730</v>
      </c>
    </row>
    <row r="2" spans="1:31" ht="19.899999999999999" x14ac:dyDescent="0.45">
      <c r="A2" s="297" t="s">
        <v>4279</v>
      </c>
    </row>
    <row r="3" spans="1:31" ht="14.25" x14ac:dyDescent="0.45">
      <c r="A3" s="5" t="str">
        <f>ActivityList!A3</f>
        <v>Release Date: 13 January 2026</v>
      </c>
      <c r="Q3" s="143"/>
      <c r="R3" s="143"/>
      <c r="S3" s="143"/>
      <c r="T3" s="143"/>
      <c r="U3" s="143"/>
    </row>
    <row r="4" spans="1:31" ht="15.75" x14ac:dyDescent="0.5">
      <c r="G4" s="34"/>
      <c r="H4" s="34"/>
      <c r="I4" s="34"/>
      <c r="J4" s="34"/>
      <c r="K4" s="34"/>
      <c r="L4" s="49" t="s">
        <v>154</v>
      </c>
      <c r="M4" s="49" t="s">
        <v>155</v>
      </c>
      <c r="N4" s="49" t="s">
        <v>156</v>
      </c>
      <c r="O4" s="49" t="s">
        <v>157</v>
      </c>
      <c r="P4" s="49" t="s">
        <v>158</v>
      </c>
    </row>
    <row r="5" spans="1:31" ht="16.25" customHeight="1" x14ac:dyDescent="0.45">
      <c r="A5" s="2" t="s">
        <v>159</v>
      </c>
      <c r="B5" s="2"/>
      <c r="C5" s="2" t="s">
        <v>160</v>
      </c>
      <c r="D5" s="2"/>
      <c r="E5" s="2"/>
      <c r="F5" s="165" t="s">
        <v>369</v>
      </c>
      <c r="G5" s="37" t="s">
        <v>370</v>
      </c>
      <c r="H5" s="38"/>
      <c r="I5" s="38"/>
      <c r="J5" s="38"/>
      <c r="K5" s="39"/>
      <c r="L5" s="43" t="s">
        <v>224</v>
      </c>
      <c r="M5" s="43"/>
      <c r="N5" s="43"/>
      <c r="O5" s="43"/>
      <c r="P5" s="43"/>
      <c r="Q5" s="35" t="s">
        <v>225</v>
      </c>
      <c r="R5" s="35"/>
      <c r="S5" s="35"/>
      <c r="T5" s="35"/>
      <c r="U5" s="35"/>
      <c r="V5" s="67" t="s">
        <v>226</v>
      </c>
      <c r="W5" s="67"/>
      <c r="X5" s="67"/>
      <c r="Y5" s="67"/>
      <c r="Z5" s="67"/>
      <c r="AA5" s="189" t="s">
        <v>4035</v>
      </c>
      <c r="AB5" s="189"/>
      <c r="AC5" s="189"/>
      <c r="AD5" s="189"/>
      <c r="AE5" s="189"/>
    </row>
    <row r="6" spans="1:31" s="80" customFormat="1" ht="14.25" x14ac:dyDescent="0.45">
      <c r="A6" s="146" t="s">
        <v>161</v>
      </c>
      <c r="B6" s="146" t="s">
        <v>162</v>
      </c>
      <c r="C6" s="146" t="s">
        <v>163</v>
      </c>
      <c r="D6" s="146" t="s">
        <v>4252</v>
      </c>
      <c r="E6" s="146" t="s">
        <v>138</v>
      </c>
      <c r="F6" s="166" t="s">
        <v>9</v>
      </c>
      <c r="G6" s="147" t="s">
        <v>31</v>
      </c>
      <c r="H6" s="148" t="s">
        <v>36</v>
      </c>
      <c r="I6" s="148" t="s">
        <v>37</v>
      </c>
      <c r="J6" s="148" t="s">
        <v>38</v>
      </c>
      <c r="K6" s="149" t="s">
        <v>11</v>
      </c>
      <c r="L6" s="69" t="s">
        <v>31</v>
      </c>
      <c r="M6" s="69" t="s">
        <v>36</v>
      </c>
      <c r="N6" s="69" t="s">
        <v>37</v>
      </c>
      <c r="O6" s="69" t="s">
        <v>38</v>
      </c>
      <c r="P6" s="69" t="s">
        <v>11</v>
      </c>
      <c r="Q6" s="150" t="s">
        <v>31</v>
      </c>
      <c r="R6" s="150" t="s">
        <v>36</v>
      </c>
      <c r="S6" s="150" t="s">
        <v>37</v>
      </c>
      <c r="T6" s="150" t="s">
        <v>38</v>
      </c>
      <c r="U6" s="150" t="s">
        <v>11</v>
      </c>
      <c r="V6" s="151" t="s">
        <v>31</v>
      </c>
      <c r="W6" s="151" t="s">
        <v>36</v>
      </c>
      <c r="X6" s="151" t="s">
        <v>37</v>
      </c>
      <c r="Y6" s="151" t="s">
        <v>38</v>
      </c>
      <c r="Z6" s="151" t="s">
        <v>11</v>
      </c>
      <c r="AA6" s="261" t="s">
        <v>31</v>
      </c>
      <c r="AB6" s="261" t="s">
        <v>36</v>
      </c>
      <c r="AC6" s="261" t="s">
        <v>37</v>
      </c>
      <c r="AD6" s="261" t="s">
        <v>38</v>
      </c>
      <c r="AE6" s="261" t="s">
        <v>11</v>
      </c>
    </row>
    <row r="7" spans="1:31" ht="14.25" x14ac:dyDescent="0.45">
      <c r="A7" s="3" t="s">
        <v>165</v>
      </c>
      <c r="B7" s="3" t="s">
        <v>166</v>
      </c>
      <c r="C7" s="3" t="s">
        <v>167</v>
      </c>
      <c r="D7" s="3" t="s">
        <v>168</v>
      </c>
      <c r="E7" s="3" t="s">
        <v>169</v>
      </c>
      <c r="F7" s="25" t="s">
        <v>371</v>
      </c>
      <c r="G7" s="15" t="s">
        <v>372</v>
      </c>
      <c r="H7" s="16" t="s">
        <v>373</v>
      </c>
      <c r="I7" s="128" t="s">
        <v>374</v>
      </c>
      <c r="J7" s="128" t="s">
        <v>375</v>
      </c>
      <c r="K7" s="128" t="s">
        <v>376</v>
      </c>
      <c r="L7" s="15" t="s">
        <v>170</v>
      </c>
      <c r="M7" s="45" t="s">
        <v>171</v>
      </c>
      <c r="N7" s="45" t="s">
        <v>172</v>
      </c>
      <c r="O7" s="45" t="s">
        <v>173</v>
      </c>
      <c r="P7" s="45" t="s">
        <v>174</v>
      </c>
      <c r="Q7" s="47" t="s">
        <v>175</v>
      </c>
      <c r="R7" s="4" t="s">
        <v>176</v>
      </c>
      <c r="S7" s="4" t="s">
        <v>177</v>
      </c>
      <c r="T7" s="4" t="s">
        <v>178</v>
      </c>
      <c r="U7" s="7" t="s">
        <v>179</v>
      </c>
      <c r="V7" s="139" t="s">
        <v>377</v>
      </c>
      <c r="W7" s="53" t="s">
        <v>378</v>
      </c>
      <c r="X7" s="53" t="s">
        <v>379</v>
      </c>
      <c r="Y7" s="53" t="s">
        <v>380</v>
      </c>
      <c r="Z7" s="144" t="s">
        <v>381</v>
      </c>
      <c r="AA7" s="139" t="s">
        <v>4126</v>
      </c>
      <c r="AB7" s="53" t="s">
        <v>4127</v>
      </c>
      <c r="AC7" s="53" t="s">
        <v>4128</v>
      </c>
      <c r="AD7" s="53" t="s">
        <v>4129</v>
      </c>
      <c r="AE7" s="144" t="s">
        <v>4130</v>
      </c>
    </row>
    <row r="8" spans="1:31" ht="14.25" x14ac:dyDescent="0.45">
      <c r="A8" t="s">
        <v>243</v>
      </c>
      <c r="B8" t="s">
        <v>244</v>
      </c>
      <c r="C8" t="s">
        <v>245</v>
      </c>
      <c r="D8" t="s">
        <v>199</v>
      </c>
      <c r="E8" t="s">
        <v>246</v>
      </c>
      <c r="F8" s="8">
        <v>124404</v>
      </c>
      <c r="G8" s="152">
        <v>0</v>
      </c>
      <c r="H8" s="153">
        <v>0</v>
      </c>
      <c r="I8" s="153">
        <v>0</v>
      </c>
      <c r="J8" s="154">
        <v>88646</v>
      </c>
      <c r="K8" s="153">
        <v>0</v>
      </c>
      <c r="L8" s="152">
        <v>0</v>
      </c>
      <c r="M8" s="153">
        <v>0</v>
      </c>
      <c r="N8" s="153">
        <v>0</v>
      </c>
      <c r="O8" s="154">
        <v>71599</v>
      </c>
      <c r="P8" s="153"/>
      <c r="Q8" s="156">
        <v>0</v>
      </c>
      <c r="R8" s="154">
        <v>0</v>
      </c>
      <c r="S8" s="154">
        <v>3</v>
      </c>
      <c r="T8" s="154">
        <v>3</v>
      </c>
      <c r="U8" s="154">
        <v>3</v>
      </c>
      <c r="V8" s="152">
        <v>0</v>
      </c>
      <c r="W8" s="155">
        <v>0</v>
      </c>
      <c r="X8" s="155">
        <v>0</v>
      </c>
      <c r="Y8" s="154">
        <v>34095</v>
      </c>
      <c r="Z8" s="161">
        <v>0</v>
      </c>
      <c r="AA8" s="152">
        <v>0</v>
      </c>
      <c r="AB8" s="155"/>
      <c r="AC8" s="155"/>
      <c r="AD8" s="154">
        <v>34095</v>
      </c>
      <c r="AE8" s="161"/>
    </row>
    <row r="9" spans="1:31" ht="14.25" x14ac:dyDescent="0.45">
      <c r="A9" t="s">
        <v>247</v>
      </c>
      <c r="B9" t="s">
        <v>248</v>
      </c>
      <c r="C9" t="s">
        <v>245</v>
      </c>
      <c r="D9" t="s">
        <v>199</v>
      </c>
      <c r="E9" t="s">
        <v>249</v>
      </c>
      <c r="F9" s="8">
        <v>44950</v>
      </c>
      <c r="G9" s="152">
        <v>0</v>
      </c>
      <c r="H9" s="153">
        <v>0</v>
      </c>
      <c r="I9" s="153">
        <v>0</v>
      </c>
      <c r="J9" s="154">
        <v>31262</v>
      </c>
      <c r="K9" s="153">
        <v>0</v>
      </c>
      <c r="L9" s="152">
        <v>0</v>
      </c>
      <c r="M9" s="153">
        <v>0</v>
      </c>
      <c r="N9" s="153">
        <v>0</v>
      </c>
      <c r="O9" s="154">
        <v>26453</v>
      </c>
      <c r="P9" s="153">
        <v>0</v>
      </c>
      <c r="Q9" s="156">
        <v>0</v>
      </c>
      <c r="R9" s="154">
        <v>0</v>
      </c>
      <c r="S9" s="154">
        <v>3</v>
      </c>
      <c r="T9" s="154">
        <v>3</v>
      </c>
      <c r="U9" s="154">
        <v>3</v>
      </c>
      <c r="V9" s="152">
        <v>0</v>
      </c>
      <c r="W9" s="155">
        <v>0</v>
      </c>
      <c r="X9" s="155">
        <v>0</v>
      </c>
      <c r="Y9" s="154">
        <v>11761</v>
      </c>
      <c r="Z9" s="161">
        <v>0</v>
      </c>
      <c r="AA9" s="152">
        <v>0</v>
      </c>
      <c r="AB9" s="155"/>
      <c r="AC9" s="155"/>
      <c r="AD9" s="154">
        <v>11761</v>
      </c>
      <c r="AE9" s="161"/>
    </row>
    <row r="10" spans="1:31" ht="14.25" x14ac:dyDescent="0.45">
      <c r="A10" t="s">
        <v>250</v>
      </c>
      <c r="B10" t="s">
        <v>251</v>
      </c>
      <c r="C10" t="s">
        <v>252</v>
      </c>
      <c r="D10" t="s">
        <v>193</v>
      </c>
      <c r="E10" t="s">
        <v>253</v>
      </c>
      <c r="F10" s="8">
        <v>23346</v>
      </c>
      <c r="G10" s="152">
        <v>23346</v>
      </c>
      <c r="H10" s="153">
        <v>0</v>
      </c>
      <c r="I10" s="153">
        <v>0</v>
      </c>
      <c r="J10" s="154">
        <v>23346</v>
      </c>
      <c r="K10" s="153">
        <v>0</v>
      </c>
      <c r="L10" s="152">
        <v>21550</v>
      </c>
      <c r="M10" s="153">
        <v>0</v>
      </c>
      <c r="N10" s="153">
        <v>0</v>
      </c>
      <c r="O10" s="154">
        <v>9161</v>
      </c>
      <c r="P10" s="153">
        <v>0</v>
      </c>
      <c r="Q10" s="156">
        <v>5</v>
      </c>
      <c r="R10" s="154">
        <v>4</v>
      </c>
      <c r="S10" s="154">
        <v>5</v>
      </c>
      <c r="T10" s="154">
        <v>5</v>
      </c>
      <c r="U10" s="154">
        <v>5</v>
      </c>
      <c r="V10" s="152">
        <v>21550</v>
      </c>
      <c r="W10" s="155">
        <v>0</v>
      </c>
      <c r="X10" s="155">
        <v>0</v>
      </c>
      <c r="Y10" s="154">
        <v>1745</v>
      </c>
      <c r="Z10" s="161">
        <v>0</v>
      </c>
      <c r="AA10" s="152">
        <v>21550</v>
      </c>
      <c r="AB10" s="155"/>
      <c r="AC10" s="155"/>
      <c r="AD10" s="154">
        <v>1745</v>
      </c>
      <c r="AE10" s="161"/>
    </row>
    <row r="11" spans="1:31" ht="14.25" x14ac:dyDescent="0.45">
      <c r="A11" t="s">
        <v>250</v>
      </c>
      <c r="B11" t="s">
        <v>251</v>
      </c>
      <c r="C11" t="s">
        <v>254</v>
      </c>
      <c r="D11" t="s">
        <v>196</v>
      </c>
      <c r="E11" t="s">
        <v>255</v>
      </c>
      <c r="F11" s="8">
        <v>37607</v>
      </c>
      <c r="G11" s="152">
        <v>37607</v>
      </c>
      <c r="H11" s="153">
        <v>0</v>
      </c>
      <c r="I11" s="153">
        <v>0</v>
      </c>
      <c r="J11" s="154">
        <v>27202</v>
      </c>
      <c r="K11" s="153">
        <v>0</v>
      </c>
      <c r="L11" s="152">
        <v>32235</v>
      </c>
      <c r="M11" s="153">
        <v>0</v>
      </c>
      <c r="N11" s="153">
        <v>0</v>
      </c>
      <c r="O11" s="154">
        <v>25648</v>
      </c>
      <c r="P11" s="153">
        <v>0</v>
      </c>
      <c r="Q11" s="156">
        <v>4</v>
      </c>
      <c r="R11" s="154">
        <v>0</v>
      </c>
      <c r="S11" s="154">
        <v>4</v>
      </c>
      <c r="T11" s="154">
        <v>4</v>
      </c>
      <c r="U11" s="154">
        <v>4</v>
      </c>
      <c r="V11" s="152">
        <v>30643</v>
      </c>
      <c r="W11" s="155">
        <v>0</v>
      </c>
      <c r="X11" s="155">
        <v>0</v>
      </c>
      <c r="Y11" s="154">
        <v>13990</v>
      </c>
      <c r="Z11" s="161">
        <v>0</v>
      </c>
      <c r="AA11" s="152">
        <v>30643</v>
      </c>
      <c r="AB11" s="155"/>
      <c r="AC11" s="155"/>
      <c r="AD11" s="154">
        <v>13990</v>
      </c>
      <c r="AE11" s="161"/>
    </row>
    <row r="12" spans="1:31" ht="14.25" x14ac:dyDescent="0.45">
      <c r="A12" t="s">
        <v>250</v>
      </c>
      <c r="B12" t="s">
        <v>251</v>
      </c>
      <c r="C12" t="s">
        <v>256</v>
      </c>
      <c r="D12" t="s">
        <v>199</v>
      </c>
      <c r="E12" t="s">
        <v>257</v>
      </c>
      <c r="F12" s="8">
        <v>456409</v>
      </c>
      <c r="G12" s="152">
        <v>0</v>
      </c>
      <c r="H12" s="153">
        <v>0</v>
      </c>
      <c r="I12" s="153">
        <v>0</v>
      </c>
      <c r="J12" s="154">
        <v>325353</v>
      </c>
      <c r="K12" s="153">
        <v>0</v>
      </c>
      <c r="L12" s="152">
        <v>0</v>
      </c>
      <c r="M12" s="153">
        <v>0</v>
      </c>
      <c r="N12" s="153">
        <v>0</v>
      </c>
      <c r="O12" s="154">
        <v>276793</v>
      </c>
      <c r="P12" s="153">
        <v>0</v>
      </c>
      <c r="Q12" s="156">
        <v>0</v>
      </c>
      <c r="R12" s="154">
        <v>0</v>
      </c>
      <c r="S12" s="154">
        <v>3</v>
      </c>
      <c r="T12" s="154">
        <v>4</v>
      </c>
      <c r="U12" s="154">
        <v>4</v>
      </c>
      <c r="V12" s="152">
        <v>0</v>
      </c>
      <c r="W12" s="155">
        <v>0</v>
      </c>
      <c r="X12" s="155">
        <v>0</v>
      </c>
      <c r="Y12" s="154">
        <v>138397</v>
      </c>
      <c r="Z12" s="161">
        <v>0</v>
      </c>
      <c r="AA12" s="152">
        <v>0</v>
      </c>
      <c r="AB12" s="155"/>
      <c r="AC12" s="155"/>
      <c r="AD12" s="154">
        <v>138397</v>
      </c>
      <c r="AE12" s="161"/>
    </row>
    <row r="13" spans="1:31" ht="14.25" x14ac:dyDescent="0.45">
      <c r="A13" t="s">
        <v>258</v>
      </c>
      <c r="B13" t="s">
        <v>259</v>
      </c>
      <c r="C13" t="s">
        <v>252</v>
      </c>
      <c r="D13" t="s">
        <v>193</v>
      </c>
      <c r="E13" t="s">
        <v>260</v>
      </c>
      <c r="F13" s="8">
        <v>28205</v>
      </c>
      <c r="G13" s="152">
        <v>28205</v>
      </c>
      <c r="H13" s="153">
        <v>0</v>
      </c>
      <c r="I13" s="153">
        <v>0</v>
      </c>
      <c r="J13" s="154">
        <v>28205</v>
      </c>
      <c r="K13" s="153">
        <v>0</v>
      </c>
      <c r="L13" s="152">
        <v>26237</v>
      </c>
      <c r="M13" s="153">
        <v>0</v>
      </c>
      <c r="N13" s="153">
        <v>0</v>
      </c>
      <c r="O13" s="154">
        <v>12387</v>
      </c>
      <c r="P13" s="153">
        <v>0</v>
      </c>
      <c r="Q13" s="156">
        <v>5</v>
      </c>
      <c r="R13" s="154">
        <v>4</v>
      </c>
      <c r="S13" s="154">
        <v>5</v>
      </c>
      <c r="T13" s="154">
        <v>5</v>
      </c>
      <c r="U13" s="154">
        <v>5</v>
      </c>
      <c r="V13" s="152">
        <v>26237</v>
      </c>
      <c r="W13" s="155">
        <v>0</v>
      </c>
      <c r="X13" s="155">
        <v>0</v>
      </c>
      <c r="Y13" s="154">
        <v>2252</v>
      </c>
      <c r="Z13" s="161">
        <v>0</v>
      </c>
      <c r="AA13" s="152">
        <v>26237</v>
      </c>
      <c r="AB13" s="155"/>
      <c r="AC13" s="155"/>
      <c r="AD13" s="154">
        <v>2252</v>
      </c>
      <c r="AE13" s="161"/>
    </row>
    <row r="14" spans="1:31" ht="14.25" x14ac:dyDescent="0.45">
      <c r="A14" t="s">
        <v>258</v>
      </c>
      <c r="B14" t="s">
        <v>259</v>
      </c>
      <c r="C14" t="s">
        <v>254</v>
      </c>
      <c r="D14" t="s">
        <v>196</v>
      </c>
      <c r="E14" t="s">
        <v>261</v>
      </c>
      <c r="F14" s="8">
        <v>10472</v>
      </c>
      <c r="G14" s="152">
        <v>10472</v>
      </c>
      <c r="H14" s="153">
        <v>0</v>
      </c>
      <c r="I14" s="153">
        <v>0</v>
      </c>
      <c r="J14" s="154">
        <v>7575</v>
      </c>
      <c r="K14" s="153">
        <v>0</v>
      </c>
      <c r="L14" s="152">
        <v>9425</v>
      </c>
      <c r="M14" s="153">
        <v>0</v>
      </c>
      <c r="N14" s="153">
        <v>0</v>
      </c>
      <c r="O14" s="154">
        <v>7236</v>
      </c>
      <c r="P14" s="153">
        <v>0</v>
      </c>
      <c r="Q14" s="156">
        <v>5</v>
      </c>
      <c r="R14" s="154">
        <v>0</v>
      </c>
      <c r="S14" s="154">
        <v>4</v>
      </c>
      <c r="T14" s="154">
        <v>5</v>
      </c>
      <c r="U14" s="154">
        <v>5</v>
      </c>
      <c r="V14" s="152">
        <v>8499</v>
      </c>
      <c r="W14" s="155">
        <v>0</v>
      </c>
      <c r="X14" s="155">
        <v>0</v>
      </c>
      <c r="Y14" s="154">
        <v>4752</v>
      </c>
      <c r="Z14" s="161">
        <v>0</v>
      </c>
      <c r="AA14" s="152">
        <v>8499</v>
      </c>
      <c r="AB14" s="155"/>
      <c r="AC14" s="155"/>
      <c r="AD14" s="154">
        <v>4752</v>
      </c>
      <c r="AE14" s="161"/>
    </row>
    <row r="15" spans="1:31" ht="14.25" x14ac:dyDescent="0.45">
      <c r="A15" t="s">
        <v>262</v>
      </c>
      <c r="B15" t="s">
        <v>263</v>
      </c>
      <c r="C15" t="s">
        <v>245</v>
      </c>
      <c r="D15" t="s">
        <v>199</v>
      </c>
      <c r="E15" t="s">
        <v>264</v>
      </c>
      <c r="F15" s="8">
        <v>80718</v>
      </c>
      <c r="G15" s="152">
        <v>0</v>
      </c>
      <c r="H15" s="153">
        <v>0</v>
      </c>
      <c r="I15" s="153">
        <v>0</v>
      </c>
      <c r="J15" s="154">
        <v>53364</v>
      </c>
      <c r="K15" s="153">
        <v>0</v>
      </c>
      <c r="L15" s="152">
        <v>0</v>
      </c>
      <c r="M15" s="153">
        <v>0</v>
      </c>
      <c r="N15" s="153">
        <v>0</v>
      </c>
      <c r="O15" s="154">
        <v>42407</v>
      </c>
      <c r="P15" s="153">
        <v>0</v>
      </c>
      <c r="Q15" s="156">
        <v>0</v>
      </c>
      <c r="R15" s="154">
        <v>0</v>
      </c>
      <c r="S15" s="154">
        <v>3</v>
      </c>
      <c r="T15" s="154">
        <v>3</v>
      </c>
      <c r="U15" s="154">
        <v>3</v>
      </c>
      <c r="V15" s="152">
        <v>0</v>
      </c>
      <c r="W15" s="155">
        <v>0</v>
      </c>
      <c r="X15" s="155">
        <v>0</v>
      </c>
      <c r="Y15" s="154">
        <v>10107</v>
      </c>
      <c r="Z15" s="161">
        <v>0</v>
      </c>
      <c r="AA15" s="152">
        <v>0</v>
      </c>
      <c r="AB15" s="155"/>
      <c r="AC15" s="155"/>
      <c r="AD15" s="154">
        <v>2021</v>
      </c>
      <c r="AE15" s="161"/>
    </row>
    <row r="16" spans="1:31" ht="14.25" x14ac:dyDescent="0.45">
      <c r="A16" t="s">
        <v>265</v>
      </c>
      <c r="B16" t="s">
        <v>266</v>
      </c>
      <c r="C16" t="s">
        <v>245</v>
      </c>
      <c r="D16" t="s">
        <v>199</v>
      </c>
      <c r="E16" t="s">
        <v>267</v>
      </c>
      <c r="F16" s="8">
        <v>85221</v>
      </c>
      <c r="G16" s="152">
        <v>0</v>
      </c>
      <c r="H16" s="153">
        <v>0</v>
      </c>
      <c r="I16" s="153">
        <v>0</v>
      </c>
      <c r="J16" s="154">
        <v>59270</v>
      </c>
      <c r="K16" s="153">
        <v>0</v>
      </c>
      <c r="L16" s="152">
        <v>0</v>
      </c>
      <c r="M16" s="153">
        <v>0</v>
      </c>
      <c r="N16" s="153">
        <v>0</v>
      </c>
      <c r="O16" s="154">
        <v>52751</v>
      </c>
      <c r="P16" s="153">
        <v>0</v>
      </c>
      <c r="Q16" s="156">
        <v>0</v>
      </c>
      <c r="R16" s="154">
        <v>0</v>
      </c>
      <c r="S16" s="154">
        <v>3</v>
      </c>
      <c r="T16" s="154">
        <v>3</v>
      </c>
      <c r="U16" s="154">
        <v>3</v>
      </c>
      <c r="V16" s="152">
        <v>0</v>
      </c>
      <c r="W16" s="155">
        <v>0</v>
      </c>
      <c r="X16" s="155">
        <v>0</v>
      </c>
      <c r="Y16" s="154">
        <v>10702</v>
      </c>
      <c r="Z16" s="161">
        <v>0</v>
      </c>
      <c r="AA16" s="152">
        <v>0</v>
      </c>
      <c r="AB16" s="155"/>
      <c r="AC16" s="155"/>
      <c r="AD16" s="154">
        <v>2140</v>
      </c>
      <c r="AE16" s="161"/>
    </row>
    <row r="17" spans="1:31" ht="14.25" x14ac:dyDescent="0.45">
      <c r="A17" t="s">
        <v>268</v>
      </c>
      <c r="B17" t="s">
        <v>269</v>
      </c>
      <c r="C17" t="s">
        <v>252</v>
      </c>
      <c r="D17" t="s">
        <v>193</v>
      </c>
      <c r="E17" t="s">
        <v>270</v>
      </c>
      <c r="F17" s="8">
        <v>7270</v>
      </c>
      <c r="G17" s="152">
        <v>7270</v>
      </c>
      <c r="H17" s="153">
        <v>0</v>
      </c>
      <c r="I17" s="153">
        <v>0</v>
      </c>
      <c r="J17" s="154">
        <v>7270</v>
      </c>
      <c r="K17" s="153">
        <v>0</v>
      </c>
      <c r="L17" s="152">
        <v>7270</v>
      </c>
      <c r="M17" s="153">
        <v>0</v>
      </c>
      <c r="N17" s="153">
        <v>0</v>
      </c>
      <c r="O17" s="154">
        <v>3159</v>
      </c>
      <c r="P17" s="153">
        <v>0</v>
      </c>
      <c r="Q17" s="156">
        <v>5</v>
      </c>
      <c r="R17" s="154">
        <v>4</v>
      </c>
      <c r="S17" s="154">
        <v>5</v>
      </c>
      <c r="T17" s="154">
        <v>5</v>
      </c>
      <c r="U17" s="154">
        <v>5</v>
      </c>
      <c r="V17" s="152">
        <v>7270</v>
      </c>
      <c r="W17" s="155">
        <v>0</v>
      </c>
      <c r="X17" s="155">
        <v>0</v>
      </c>
      <c r="Y17" s="154">
        <v>602</v>
      </c>
      <c r="Z17" s="161">
        <v>0</v>
      </c>
      <c r="AA17" s="152">
        <v>7270</v>
      </c>
      <c r="AB17" s="155"/>
      <c r="AC17" s="155"/>
      <c r="AD17" s="154">
        <v>602</v>
      </c>
      <c r="AE17" s="161"/>
    </row>
    <row r="18" spans="1:31" ht="14.25" x14ac:dyDescent="0.45">
      <c r="A18" t="s">
        <v>268</v>
      </c>
      <c r="B18" t="s">
        <v>269</v>
      </c>
      <c r="C18" t="s">
        <v>271</v>
      </c>
      <c r="D18" t="s">
        <v>196</v>
      </c>
      <c r="E18" t="s">
        <v>272</v>
      </c>
      <c r="F18" s="8">
        <v>22234</v>
      </c>
      <c r="G18" s="152">
        <v>22234</v>
      </c>
      <c r="H18" s="153">
        <v>0</v>
      </c>
      <c r="I18" s="153">
        <v>0</v>
      </c>
      <c r="J18" s="154">
        <v>16083</v>
      </c>
      <c r="K18" s="153">
        <v>0</v>
      </c>
      <c r="L18" s="152">
        <v>18964</v>
      </c>
      <c r="M18" s="153">
        <v>0</v>
      </c>
      <c r="N18" s="153">
        <v>0</v>
      </c>
      <c r="O18" s="154">
        <v>14621</v>
      </c>
      <c r="P18" s="153">
        <v>0</v>
      </c>
      <c r="Q18" s="156">
        <v>4</v>
      </c>
      <c r="R18" s="154">
        <v>0</v>
      </c>
      <c r="S18" s="154">
        <v>4</v>
      </c>
      <c r="T18" s="154">
        <v>4</v>
      </c>
      <c r="U18" s="154">
        <v>4</v>
      </c>
      <c r="V18" s="152">
        <v>14223</v>
      </c>
      <c r="W18" s="155">
        <v>0</v>
      </c>
      <c r="X18" s="155">
        <v>0</v>
      </c>
      <c r="Y18" s="154">
        <v>8380</v>
      </c>
      <c r="Z18" s="161">
        <v>0</v>
      </c>
      <c r="AA18" s="152">
        <v>14223</v>
      </c>
      <c r="AB18" s="155"/>
      <c r="AC18" s="155"/>
      <c r="AD18" s="154">
        <v>8380</v>
      </c>
      <c r="AE18" s="161"/>
    </row>
    <row r="19" spans="1:31" ht="14.25" x14ac:dyDescent="0.45">
      <c r="A19" t="s">
        <v>268</v>
      </c>
      <c r="B19" t="s">
        <v>269</v>
      </c>
      <c r="C19" t="s">
        <v>256</v>
      </c>
      <c r="D19" t="s">
        <v>199</v>
      </c>
      <c r="E19" t="s">
        <v>273</v>
      </c>
      <c r="F19" s="8">
        <v>1450</v>
      </c>
      <c r="G19" s="152">
        <v>0</v>
      </c>
      <c r="H19" s="153">
        <v>0</v>
      </c>
      <c r="I19" s="153">
        <v>0</v>
      </c>
      <c r="J19" s="154">
        <v>1034</v>
      </c>
      <c r="K19" s="153">
        <v>0</v>
      </c>
      <c r="L19" s="152">
        <v>0</v>
      </c>
      <c r="M19" s="153">
        <v>0</v>
      </c>
      <c r="N19" s="153">
        <v>0</v>
      </c>
      <c r="O19" s="154">
        <v>821</v>
      </c>
      <c r="P19" s="153">
        <v>0</v>
      </c>
      <c r="Q19" s="156">
        <v>0</v>
      </c>
      <c r="R19" s="154">
        <v>0</v>
      </c>
      <c r="S19" s="154">
        <v>3</v>
      </c>
      <c r="T19" s="154">
        <v>4</v>
      </c>
      <c r="U19" s="154">
        <v>4</v>
      </c>
      <c r="V19" s="152">
        <v>0</v>
      </c>
      <c r="W19" s="155">
        <v>0</v>
      </c>
      <c r="X19" s="155">
        <v>0</v>
      </c>
      <c r="Y19" s="154">
        <v>290</v>
      </c>
      <c r="Z19" s="161">
        <v>0</v>
      </c>
      <c r="AA19" s="152">
        <v>0</v>
      </c>
      <c r="AB19" s="155"/>
      <c r="AC19" s="155"/>
      <c r="AD19" s="154">
        <v>290</v>
      </c>
      <c r="AE19" s="161"/>
    </row>
    <row r="20" spans="1:31" ht="14.25" x14ac:dyDescent="0.45">
      <c r="A20" t="s">
        <v>268</v>
      </c>
      <c r="B20" t="s">
        <v>269</v>
      </c>
      <c r="C20" t="s">
        <v>274</v>
      </c>
      <c r="D20" t="s">
        <v>196</v>
      </c>
      <c r="E20" t="s">
        <v>275</v>
      </c>
      <c r="F20" s="8">
        <v>131221</v>
      </c>
      <c r="G20" s="152">
        <v>131221</v>
      </c>
      <c r="H20" s="153">
        <v>0</v>
      </c>
      <c r="I20" s="153">
        <v>0</v>
      </c>
      <c r="J20" s="154">
        <v>94917</v>
      </c>
      <c r="K20" s="153">
        <v>0</v>
      </c>
      <c r="L20" s="152">
        <v>107076</v>
      </c>
      <c r="M20" s="153">
        <v>0</v>
      </c>
      <c r="N20" s="153">
        <v>0</v>
      </c>
      <c r="O20" s="154">
        <v>78781</v>
      </c>
      <c r="P20" s="153">
        <v>0</v>
      </c>
      <c r="Q20" s="156">
        <v>4</v>
      </c>
      <c r="R20" s="154">
        <v>0</v>
      </c>
      <c r="S20" s="154">
        <v>4</v>
      </c>
      <c r="T20" s="154">
        <v>4</v>
      </c>
      <c r="U20" s="154">
        <v>4</v>
      </c>
      <c r="V20" s="152">
        <v>81443</v>
      </c>
      <c r="W20" s="155">
        <v>0</v>
      </c>
      <c r="X20" s="155">
        <v>0</v>
      </c>
      <c r="Y20" s="154">
        <v>46471</v>
      </c>
      <c r="Z20" s="161">
        <v>0</v>
      </c>
      <c r="AA20" s="152">
        <v>81443</v>
      </c>
      <c r="AB20" s="155"/>
      <c r="AC20" s="155"/>
      <c r="AD20" s="154">
        <v>46471</v>
      </c>
      <c r="AE20" s="161"/>
    </row>
    <row r="21" spans="1:31" ht="14.25" x14ac:dyDescent="0.45">
      <c r="A21" t="s">
        <v>276</v>
      </c>
      <c r="B21" t="s">
        <v>277</v>
      </c>
      <c r="C21" t="s">
        <v>245</v>
      </c>
      <c r="D21" t="s">
        <v>199</v>
      </c>
      <c r="E21" t="s">
        <v>278</v>
      </c>
      <c r="F21" s="8">
        <v>100297</v>
      </c>
      <c r="G21" s="152">
        <v>0</v>
      </c>
      <c r="H21" s="153">
        <v>0</v>
      </c>
      <c r="I21" s="153">
        <v>0</v>
      </c>
      <c r="J21" s="154">
        <v>69755</v>
      </c>
      <c r="K21" s="153">
        <v>0</v>
      </c>
      <c r="L21" s="152">
        <v>0</v>
      </c>
      <c r="M21" s="153">
        <v>0</v>
      </c>
      <c r="N21" s="153">
        <v>0</v>
      </c>
      <c r="O21" s="154">
        <v>62082</v>
      </c>
      <c r="P21" s="153">
        <v>0</v>
      </c>
      <c r="Q21" s="156">
        <v>0</v>
      </c>
      <c r="R21" s="154">
        <v>0</v>
      </c>
      <c r="S21" s="154">
        <v>3</v>
      </c>
      <c r="T21" s="154">
        <v>3</v>
      </c>
      <c r="U21" s="154">
        <v>3</v>
      </c>
      <c r="V21" s="152">
        <v>0</v>
      </c>
      <c r="W21" s="155">
        <v>0</v>
      </c>
      <c r="X21" s="155">
        <v>0</v>
      </c>
      <c r="Y21" s="154">
        <v>9809</v>
      </c>
      <c r="Z21" s="161">
        <v>0</v>
      </c>
      <c r="AA21" s="152">
        <v>0</v>
      </c>
      <c r="AB21" s="155"/>
      <c r="AC21" s="155"/>
      <c r="AD21" s="154">
        <v>1962</v>
      </c>
      <c r="AE21" s="161"/>
    </row>
    <row r="22" spans="1:31" ht="14.25" x14ac:dyDescent="0.45">
      <c r="A22" t="s">
        <v>279</v>
      </c>
      <c r="B22" t="s">
        <v>280</v>
      </c>
      <c r="C22" t="s">
        <v>245</v>
      </c>
      <c r="D22" t="s">
        <v>199</v>
      </c>
      <c r="E22" t="s">
        <v>281</v>
      </c>
      <c r="F22" s="8">
        <v>348993</v>
      </c>
      <c r="G22" s="152">
        <v>0</v>
      </c>
      <c r="H22" s="153">
        <v>0</v>
      </c>
      <c r="I22" s="153">
        <v>0</v>
      </c>
      <c r="J22" s="154">
        <v>198646</v>
      </c>
      <c r="K22" s="153">
        <v>0</v>
      </c>
      <c r="L22" s="152">
        <v>0</v>
      </c>
      <c r="M22" s="153">
        <v>0</v>
      </c>
      <c r="N22" s="153">
        <v>0</v>
      </c>
      <c r="O22" s="154">
        <v>168548</v>
      </c>
      <c r="P22" s="153">
        <v>0</v>
      </c>
      <c r="Q22" s="156">
        <v>0</v>
      </c>
      <c r="R22" s="154">
        <v>0</v>
      </c>
      <c r="S22" s="154">
        <v>3</v>
      </c>
      <c r="T22" s="154">
        <v>3</v>
      </c>
      <c r="U22" s="154">
        <v>3</v>
      </c>
      <c r="V22" s="152">
        <v>0</v>
      </c>
      <c r="W22" s="155">
        <v>0</v>
      </c>
      <c r="X22" s="155">
        <v>0</v>
      </c>
      <c r="Y22" s="154">
        <v>84209</v>
      </c>
      <c r="Z22" s="161">
        <v>0</v>
      </c>
      <c r="AA22" s="152">
        <v>0</v>
      </c>
      <c r="AB22" s="155"/>
      <c r="AC22" s="155"/>
      <c r="AD22" s="154">
        <v>84209</v>
      </c>
      <c r="AE22" s="161"/>
    </row>
    <row r="23" spans="1:31" ht="14.25" x14ac:dyDescent="0.45">
      <c r="A23" t="s">
        <v>282</v>
      </c>
      <c r="B23" t="s">
        <v>283</v>
      </c>
      <c r="C23" t="s">
        <v>245</v>
      </c>
      <c r="D23" t="s">
        <v>199</v>
      </c>
      <c r="E23" t="s">
        <v>284</v>
      </c>
      <c r="F23" s="8">
        <v>86943</v>
      </c>
      <c r="G23" s="152">
        <v>0</v>
      </c>
      <c r="H23" s="153">
        <v>0</v>
      </c>
      <c r="I23" s="153">
        <v>0</v>
      </c>
      <c r="J23" s="154">
        <v>61952</v>
      </c>
      <c r="K23" s="153">
        <v>0</v>
      </c>
      <c r="L23" s="152">
        <v>0</v>
      </c>
      <c r="M23" s="153">
        <v>0</v>
      </c>
      <c r="N23" s="153">
        <v>0</v>
      </c>
      <c r="O23" s="154">
        <v>52171</v>
      </c>
      <c r="P23" s="153">
        <v>0</v>
      </c>
      <c r="Q23" s="156">
        <v>0</v>
      </c>
      <c r="R23" s="154">
        <v>0</v>
      </c>
      <c r="S23" s="154">
        <v>3</v>
      </c>
      <c r="T23" s="154">
        <v>3</v>
      </c>
      <c r="U23" s="154">
        <v>3</v>
      </c>
      <c r="V23" s="152">
        <v>0</v>
      </c>
      <c r="W23" s="155">
        <v>0</v>
      </c>
      <c r="X23" s="155">
        <v>0</v>
      </c>
      <c r="Y23" s="154">
        <v>26086</v>
      </c>
      <c r="Z23" s="161">
        <v>0</v>
      </c>
      <c r="AA23" s="152">
        <v>0</v>
      </c>
      <c r="AB23" s="155"/>
      <c r="AC23" s="155"/>
      <c r="AD23" s="154">
        <v>26086</v>
      </c>
      <c r="AE23" s="161"/>
    </row>
    <row r="24" spans="1:31" ht="14.25" x14ac:dyDescent="0.45">
      <c r="A24" t="s">
        <v>285</v>
      </c>
      <c r="B24" t="s">
        <v>286</v>
      </c>
      <c r="C24" t="s">
        <v>245</v>
      </c>
      <c r="D24" t="s">
        <v>199</v>
      </c>
      <c r="E24" t="s">
        <v>287</v>
      </c>
      <c r="F24" s="8">
        <v>189020</v>
      </c>
      <c r="G24" s="152">
        <v>0</v>
      </c>
      <c r="H24" s="153">
        <v>0</v>
      </c>
      <c r="I24" s="153">
        <v>0</v>
      </c>
      <c r="J24" s="154">
        <v>131461</v>
      </c>
      <c r="K24" s="153">
        <v>0</v>
      </c>
      <c r="L24" s="152">
        <v>0</v>
      </c>
      <c r="M24" s="153">
        <v>0</v>
      </c>
      <c r="N24" s="153">
        <v>0</v>
      </c>
      <c r="O24" s="154">
        <v>117001</v>
      </c>
      <c r="P24" s="153">
        <v>0</v>
      </c>
      <c r="Q24" s="156">
        <v>0</v>
      </c>
      <c r="R24" s="154">
        <v>0</v>
      </c>
      <c r="S24" s="154">
        <v>3</v>
      </c>
      <c r="T24" s="154">
        <v>3</v>
      </c>
      <c r="U24" s="154">
        <v>3</v>
      </c>
      <c r="V24" s="152">
        <v>0</v>
      </c>
      <c r="W24" s="155">
        <v>0</v>
      </c>
      <c r="X24" s="155">
        <v>0</v>
      </c>
      <c r="Y24" s="154">
        <v>58501</v>
      </c>
      <c r="Z24" s="161">
        <v>0</v>
      </c>
      <c r="AA24" s="152">
        <v>0</v>
      </c>
      <c r="AB24" s="155"/>
      <c r="AC24" s="155"/>
      <c r="AD24" s="154">
        <v>58501</v>
      </c>
      <c r="AE24" s="161"/>
    </row>
    <row r="25" spans="1:31" ht="14.25" x14ac:dyDescent="0.45">
      <c r="A25" t="s">
        <v>288</v>
      </c>
      <c r="B25" t="s">
        <v>289</v>
      </c>
      <c r="C25" t="s">
        <v>252</v>
      </c>
      <c r="D25" t="s">
        <v>193</v>
      </c>
      <c r="E25" t="s">
        <v>290</v>
      </c>
      <c r="F25" s="8">
        <v>5384</v>
      </c>
      <c r="G25" s="152">
        <v>5384</v>
      </c>
      <c r="H25" s="153">
        <v>0</v>
      </c>
      <c r="I25" s="153">
        <v>0</v>
      </c>
      <c r="J25" s="154">
        <v>5384</v>
      </c>
      <c r="K25" s="153">
        <v>0</v>
      </c>
      <c r="L25" s="152">
        <v>4673</v>
      </c>
      <c r="M25" s="153">
        <v>0</v>
      </c>
      <c r="N25" s="153">
        <v>0</v>
      </c>
      <c r="O25" s="154">
        <v>1863</v>
      </c>
      <c r="P25" s="153">
        <v>0</v>
      </c>
      <c r="Q25" s="156">
        <v>4</v>
      </c>
      <c r="R25" s="154">
        <v>4</v>
      </c>
      <c r="S25" s="154">
        <v>5</v>
      </c>
      <c r="T25" s="154">
        <v>5</v>
      </c>
      <c r="U25" s="154">
        <v>5</v>
      </c>
      <c r="V25" s="152">
        <v>3505</v>
      </c>
      <c r="W25" s="155">
        <v>0</v>
      </c>
      <c r="X25" s="155">
        <v>0</v>
      </c>
      <c r="Y25" s="154">
        <v>355</v>
      </c>
      <c r="Z25" s="161">
        <v>0</v>
      </c>
      <c r="AA25" s="152">
        <v>3505</v>
      </c>
      <c r="AB25" s="155"/>
      <c r="AC25" s="155"/>
      <c r="AD25" s="154">
        <v>355</v>
      </c>
      <c r="AE25" s="161"/>
    </row>
    <row r="26" spans="1:31" ht="14.25" x14ac:dyDescent="0.45">
      <c r="A26" t="s">
        <v>288</v>
      </c>
      <c r="B26" t="s">
        <v>289</v>
      </c>
      <c r="C26" t="s">
        <v>291</v>
      </c>
      <c r="D26" t="s">
        <v>196</v>
      </c>
      <c r="E26" t="s">
        <v>292</v>
      </c>
      <c r="F26" s="8">
        <v>8270</v>
      </c>
      <c r="G26" s="152">
        <v>8270</v>
      </c>
      <c r="H26" s="153">
        <v>0</v>
      </c>
      <c r="I26" s="153">
        <v>0</v>
      </c>
      <c r="J26" s="154">
        <v>5982</v>
      </c>
      <c r="K26" s="153">
        <v>0</v>
      </c>
      <c r="L26" s="152">
        <v>6416</v>
      </c>
      <c r="M26" s="153">
        <v>0</v>
      </c>
      <c r="N26" s="153">
        <v>0</v>
      </c>
      <c r="O26" s="154">
        <v>5982</v>
      </c>
      <c r="P26" s="153">
        <v>0</v>
      </c>
      <c r="Q26" s="156">
        <v>4</v>
      </c>
      <c r="R26" s="154">
        <v>0</v>
      </c>
      <c r="S26" s="154">
        <v>4</v>
      </c>
      <c r="T26" s="154">
        <v>4</v>
      </c>
      <c r="U26" s="154">
        <v>4</v>
      </c>
      <c r="V26" s="152">
        <v>5133</v>
      </c>
      <c r="W26" s="155">
        <v>0</v>
      </c>
      <c r="X26" s="155">
        <v>0</v>
      </c>
      <c r="Y26" s="154">
        <v>3107</v>
      </c>
      <c r="Z26" s="161">
        <v>0</v>
      </c>
      <c r="AA26" s="152">
        <v>5133</v>
      </c>
      <c r="AB26" s="155"/>
      <c r="AC26" s="155"/>
      <c r="AD26" s="154">
        <v>3107</v>
      </c>
      <c r="AE26" s="161"/>
    </row>
    <row r="27" spans="1:31" ht="14.25" x14ac:dyDescent="0.45">
      <c r="A27" t="s">
        <v>288</v>
      </c>
      <c r="B27" t="s">
        <v>289</v>
      </c>
      <c r="C27" t="s">
        <v>256</v>
      </c>
      <c r="D27" t="s">
        <v>199</v>
      </c>
      <c r="E27" t="s">
        <v>293</v>
      </c>
      <c r="F27" s="8">
        <v>36570</v>
      </c>
      <c r="G27" s="152">
        <v>0</v>
      </c>
      <c r="H27" s="153">
        <v>0</v>
      </c>
      <c r="I27" s="153">
        <v>0</v>
      </c>
      <c r="J27" s="154">
        <v>25821</v>
      </c>
      <c r="K27" s="153">
        <v>0</v>
      </c>
      <c r="L27" s="152">
        <v>0</v>
      </c>
      <c r="M27" s="153">
        <v>0</v>
      </c>
      <c r="N27" s="153">
        <v>0</v>
      </c>
      <c r="O27" s="154">
        <v>22133</v>
      </c>
      <c r="P27" s="153">
        <v>0</v>
      </c>
      <c r="Q27" s="156">
        <v>0</v>
      </c>
      <c r="R27" s="154">
        <v>0</v>
      </c>
      <c r="S27" s="154">
        <v>3</v>
      </c>
      <c r="T27" s="154">
        <v>3</v>
      </c>
      <c r="U27" s="154">
        <v>3</v>
      </c>
      <c r="V27" s="152">
        <v>0</v>
      </c>
      <c r="W27" s="155">
        <v>0</v>
      </c>
      <c r="X27" s="155">
        <v>0</v>
      </c>
      <c r="Y27" s="154">
        <v>11067</v>
      </c>
      <c r="Z27" s="161">
        <v>0</v>
      </c>
      <c r="AA27" s="152">
        <v>0</v>
      </c>
      <c r="AB27" s="155"/>
      <c r="AC27" s="155"/>
      <c r="AD27" s="154">
        <v>11067</v>
      </c>
      <c r="AE27" s="161"/>
    </row>
    <row r="28" spans="1:31" ht="14.25" x14ac:dyDescent="0.45">
      <c r="A28" t="s">
        <v>288</v>
      </c>
      <c r="B28" t="s">
        <v>289</v>
      </c>
      <c r="C28" t="s">
        <v>294</v>
      </c>
      <c r="D28" t="s">
        <v>196</v>
      </c>
      <c r="E28" t="s">
        <v>295</v>
      </c>
      <c r="F28" s="8">
        <v>39435</v>
      </c>
      <c r="G28" s="152">
        <v>39435</v>
      </c>
      <c r="H28" s="153">
        <v>0</v>
      </c>
      <c r="I28" s="153">
        <v>0</v>
      </c>
      <c r="J28" s="154">
        <v>28649</v>
      </c>
      <c r="K28" s="153">
        <v>0</v>
      </c>
      <c r="L28" s="152">
        <v>36055</v>
      </c>
      <c r="M28" s="153">
        <v>0</v>
      </c>
      <c r="N28" s="153">
        <v>0</v>
      </c>
      <c r="O28" s="154">
        <v>25131</v>
      </c>
      <c r="P28" s="153">
        <v>0</v>
      </c>
      <c r="Q28" s="156">
        <v>4</v>
      </c>
      <c r="R28" s="154">
        <v>0</v>
      </c>
      <c r="S28" s="154">
        <v>4</v>
      </c>
      <c r="T28" s="154">
        <v>4</v>
      </c>
      <c r="U28" s="154">
        <v>4</v>
      </c>
      <c r="V28" s="152">
        <v>36055</v>
      </c>
      <c r="W28" s="155">
        <v>0</v>
      </c>
      <c r="X28" s="155">
        <v>0</v>
      </c>
      <c r="Y28" s="154">
        <v>15079</v>
      </c>
      <c r="Z28" s="161">
        <v>0</v>
      </c>
      <c r="AA28" s="152">
        <v>36055</v>
      </c>
      <c r="AB28" s="155"/>
      <c r="AC28" s="155"/>
      <c r="AD28" s="154">
        <v>15079</v>
      </c>
      <c r="AE28" s="161"/>
    </row>
    <row r="29" spans="1:31" ht="14.25" x14ac:dyDescent="0.45">
      <c r="A29" t="s">
        <v>296</v>
      </c>
      <c r="B29" t="s">
        <v>297</v>
      </c>
      <c r="C29" t="s">
        <v>245</v>
      </c>
      <c r="D29" t="s">
        <v>199</v>
      </c>
      <c r="E29" t="s">
        <v>298</v>
      </c>
      <c r="F29" s="8">
        <v>222010</v>
      </c>
      <c r="G29" s="152">
        <v>0</v>
      </c>
      <c r="H29" s="153">
        <v>0</v>
      </c>
      <c r="I29" s="153">
        <v>0</v>
      </c>
      <c r="J29" s="154">
        <v>155031</v>
      </c>
      <c r="K29" s="153">
        <v>0</v>
      </c>
      <c r="L29" s="152">
        <v>0</v>
      </c>
      <c r="M29" s="153">
        <v>0</v>
      </c>
      <c r="N29" s="153">
        <v>0</v>
      </c>
      <c r="O29" s="154">
        <v>137977</v>
      </c>
      <c r="P29" s="153">
        <v>0</v>
      </c>
      <c r="Q29" s="156">
        <v>0</v>
      </c>
      <c r="R29" s="154">
        <v>0</v>
      </c>
      <c r="S29" s="154">
        <v>3</v>
      </c>
      <c r="T29" s="154">
        <v>3</v>
      </c>
      <c r="U29" s="154">
        <v>3</v>
      </c>
      <c r="V29" s="152">
        <v>0</v>
      </c>
      <c r="W29" s="155">
        <v>0</v>
      </c>
      <c r="X29" s="155">
        <v>0</v>
      </c>
      <c r="Y29" s="154">
        <v>68989</v>
      </c>
      <c r="Z29" s="161">
        <v>0</v>
      </c>
      <c r="AA29" s="152">
        <v>0</v>
      </c>
      <c r="AB29" s="155"/>
      <c r="AC29" s="155"/>
      <c r="AD29" s="154">
        <v>68989</v>
      </c>
      <c r="AE29" s="161"/>
    </row>
    <row r="30" spans="1:31" ht="14.25" x14ac:dyDescent="0.45">
      <c r="A30" t="s">
        <v>299</v>
      </c>
      <c r="B30" t="s">
        <v>300</v>
      </c>
      <c r="C30" t="s">
        <v>245</v>
      </c>
      <c r="D30" t="s">
        <v>199</v>
      </c>
      <c r="E30" t="s">
        <v>301</v>
      </c>
      <c r="F30" s="8">
        <v>175588</v>
      </c>
      <c r="G30" s="152">
        <v>0</v>
      </c>
      <c r="H30" s="153">
        <v>0</v>
      </c>
      <c r="I30" s="153">
        <v>0</v>
      </c>
      <c r="J30" s="154">
        <v>125118</v>
      </c>
      <c r="K30" s="153">
        <v>0</v>
      </c>
      <c r="L30" s="152">
        <v>0</v>
      </c>
      <c r="M30" s="153">
        <v>0</v>
      </c>
      <c r="N30" s="153">
        <v>0</v>
      </c>
      <c r="O30" s="154">
        <v>108114</v>
      </c>
      <c r="P30" s="153">
        <v>0</v>
      </c>
      <c r="Q30" s="156">
        <v>0</v>
      </c>
      <c r="R30" s="154">
        <v>0</v>
      </c>
      <c r="S30" s="154">
        <v>3</v>
      </c>
      <c r="T30" s="154">
        <v>3</v>
      </c>
      <c r="U30" s="154">
        <v>3</v>
      </c>
      <c r="V30" s="152">
        <v>0</v>
      </c>
      <c r="W30" s="155">
        <v>0</v>
      </c>
      <c r="X30" s="155">
        <v>0</v>
      </c>
      <c r="Y30" s="154">
        <v>54057</v>
      </c>
      <c r="Z30" s="161">
        <v>0</v>
      </c>
      <c r="AA30" s="152">
        <v>0</v>
      </c>
      <c r="AB30" s="155"/>
      <c r="AC30" s="155"/>
      <c r="AD30" s="154">
        <v>54057</v>
      </c>
      <c r="AE30" s="161"/>
    </row>
    <row r="31" spans="1:31" ht="14.25" x14ac:dyDescent="0.45">
      <c r="A31" t="s">
        <v>302</v>
      </c>
      <c r="B31" t="s">
        <v>303</v>
      </c>
      <c r="C31" t="s">
        <v>245</v>
      </c>
      <c r="D31" t="s">
        <v>199</v>
      </c>
      <c r="E31" t="s">
        <v>304</v>
      </c>
      <c r="F31" s="8">
        <v>55132</v>
      </c>
      <c r="G31" s="152">
        <v>0</v>
      </c>
      <c r="H31" s="153">
        <v>0</v>
      </c>
      <c r="I31" s="153">
        <v>0</v>
      </c>
      <c r="J31" s="154">
        <v>39571</v>
      </c>
      <c r="K31" s="153">
        <v>0</v>
      </c>
      <c r="L31" s="152">
        <v>0</v>
      </c>
      <c r="M31" s="153">
        <v>0</v>
      </c>
      <c r="N31" s="153">
        <v>0</v>
      </c>
      <c r="O31" s="154">
        <v>35218</v>
      </c>
      <c r="P31" s="153">
        <v>0</v>
      </c>
      <c r="Q31" s="156">
        <v>0</v>
      </c>
      <c r="R31" s="154">
        <v>0</v>
      </c>
      <c r="S31" s="154">
        <v>3</v>
      </c>
      <c r="T31" s="154">
        <v>3</v>
      </c>
      <c r="U31" s="154">
        <v>3</v>
      </c>
      <c r="V31" s="152">
        <v>0</v>
      </c>
      <c r="W31" s="155">
        <v>0</v>
      </c>
      <c r="X31" s="155">
        <v>0</v>
      </c>
      <c r="Y31" s="154">
        <v>6925</v>
      </c>
      <c r="Z31" s="161">
        <v>0</v>
      </c>
      <c r="AA31" s="152">
        <v>0</v>
      </c>
      <c r="AB31" s="155"/>
      <c r="AC31" s="155"/>
      <c r="AD31" s="154">
        <v>1385</v>
      </c>
      <c r="AE31" s="161"/>
    </row>
    <row r="32" spans="1:31" ht="14.25" x14ac:dyDescent="0.45">
      <c r="A32" t="s">
        <v>305</v>
      </c>
      <c r="B32" t="s">
        <v>306</v>
      </c>
      <c r="C32" t="s">
        <v>307</v>
      </c>
      <c r="D32" t="s">
        <v>193</v>
      </c>
      <c r="E32" t="s">
        <v>308</v>
      </c>
      <c r="F32" s="8">
        <v>14447</v>
      </c>
      <c r="G32" s="152">
        <v>14447</v>
      </c>
      <c r="H32" s="153">
        <v>0</v>
      </c>
      <c r="I32" s="153">
        <v>0</v>
      </c>
      <c r="J32" s="154">
        <v>14447</v>
      </c>
      <c r="K32" s="153">
        <v>0</v>
      </c>
      <c r="L32" s="152">
        <v>11208</v>
      </c>
      <c r="M32" s="153">
        <v>0</v>
      </c>
      <c r="N32" s="153">
        <v>0</v>
      </c>
      <c r="O32" s="154">
        <v>2542</v>
      </c>
      <c r="P32" s="153">
        <v>0</v>
      </c>
      <c r="Q32" s="156">
        <v>5</v>
      </c>
      <c r="R32" s="154">
        <v>4</v>
      </c>
      <c r="S32" s="154">
        <v>5</v>
      </c>
      <c r="T32" s="154">
        <v>5</v>
      </c>
      <c r="U32" s="154">
        <v>5</v>
      </c>
      <c r="V32" s="152">
        <v>11208</v>
      </c>
      <c r="W32" s="155">
        <v>0</v>
      </c>
      <c r="X32" s="155">
        <v>0</v>
      </c>
      <c r="Y32" s="154">
        <v>508</v>
      </c>
      <c r="Z32" s="161">
        <v>0</v>
      </c>
      <c r="AA32" s="152">
        <v>11208</v>
      </c>
      <c r="AB32" s="155"/>
      <c r="AC32" s="155"/>
      <c r="AD32" s="154">
        <v>508</v>
      </c>
      <c r="AE32" s="161"/>
    </row>
    <row r="33" spans="1:31" ht="14.25" x14ac:dyDescent="0.45">
      <c r="A33" t="s">
        <v>305</v>
      </c>
      <c r="B33" t="s">
        <v>306</v>
      </c>
      <c r="C33" t="s">
        <v>254</v>
      </c>
      <c r="D33" t="s">
        <v>196</v>
      </c>
      <c r="E33" t="s">
        <v>309</v>
      </c>
      <c r="F33" s="8">
        <v>25722</v>
      </c>
      <c r="G33" s="152">
        <v>25722</v>
      </c>
      <c r="H33" s="153">
        <v>0</v>
      </c>
      <c r="I33" s="153">
        <v>0</v>
      </c>
      <c r="J33" s="154">
        <v>18606</v>
      </c>
      <c r="K33" s="153">
        <v>0</v>
      </c>
      <c r="L33" s="152">
        <v>19955</v>
      </c>
      <c r="M33" s="153">
        <v>0</v>
      </c>
      <c r="N33" s="153">
        <v>0</v>
      </c>
      <c r="O33" s="154">
        <v>18606</v>
      </c>
      <c r="P33" s="153">
        <v>0</v>
      </c>
      <c r="Q33" s="156">
        <v>4</v>
      </c>
      <c r="R33" s="154">
        <v>0</v>
      </c>
      <c r="S33" s="154">
        <v>4</v>
      </c>
      <c r="T33" s="154">
        <v>4</v>
      </c>
      <c r="U33" s="154">
        <v>4</v>
      </c>
      <c r="V33" s="152">
        <v>15964</v>
      </c>
      <c r="W33" s="155">
        <v>0</v>
      </c>
      <c r="X33" s="155">
        <v>0</v>
      </c>
      <c r="Y33" s="154">
        <v>9303</v>
      </c>
      <c r="Z33" s="161">
        <v>0</v>
      </c>
      <c r="AA33" s="152">
        <v>15964</v>
      </c>
      <c r="AB33" s="155"/>
      <c r="AC33" s="155"/>
      <c r="AD33" s="154">
        <v>9303</v>
      </c>
      <c r="AE33" s="161"/>
    </row>
    <row r="34" spans="1:31" ht="14.25" x14ac:dyDescent="0.45">
      <c r="A34" t="s">
        <v>305</v>
      </c>
      <c r="B34" t="s">
        <v>306</v>
      </c>
      <c r="C34" t="s">
        <v>256</v>
      </c>
      <c r="D34" t="s">
        <v>199</v>
      </c>
      <c r="E34" t="s">
        <v>310</v>
      </c>
      <c r="F34" s="8">
        <v>13399</v>
      </c>
      <c r="G34" s="152">
        <v>0</v>
      </c>
      <c r="H34" s="153">
        <v>0</v>
      </c>
      <c r="I34" s="153">
        <v>0</v>
      </c>
      <c r="J34" s="154">
        <v>8838</v>
      </c>
      <c r="K34" s="153">
        <v>0</v>
      </c>
      <c r="L34" s="152">
        <v>0</v>
      </c>
      <c r="M34" s="153">
        <v>0</v>
      </c>
      <c r="N34" s="153">
        <v>0</v>
      </c>
      <c r="O34" s="154">
        <v>7023</v>
      </c>
      <c r="P34" s="153">
        <v>0</v>
      </c>
      <c r="Q34" s="156">
        <v>0</v>
      </c>
      <c r="R34" s="154">
        <v>0</v>
      </c>
      <c r="S34" s="154">
        <v>3</v>
      </c>
      <c r="T34" s="154">
        <v>3</v>
      </c>
      <c r="U34" s="154">
        <v>3</v>
      </c>
      <c r="V34" s="152">
        <v>0</v>
      </c>
      <c r="W34" s="155">
        <v>0</v>
      </c>
      <c r="X34" s="155">
        <v>0</v>
      </c>
      <c r="Y34" s="154">
        <v>2921</v>
      </c>
      <c r="Z34" s="161">
        <v>0</v>
      </c>
      <c r="AA34" s="152">
        <v>0</v>
      </c>
      <c r="AB34" s="155"/>
      <c r="AC34" s="155"/>
      <c r="AD34" s="154">
        <v>2921</v>
      </c>
      <c r="AE34" s="161"/>
    </row>
    <row r="35" spans="1:31" ht="14.25" x14ac:dyDescent="0.45">
      <c r="A35" t="s">
        <v>305</v>
      </c>
      <c r="B35" t="s">
        <v>306</v>
      </c>
      <c r="C35" t="s">
        <v>311</v>
      </c>
      <c r="D35" t="s">
        <v>193</v>
      </c>
      <c r="E35" t="s">
        <v>312</v>
      </c>
      <c r="F35" s="8">
        <v>25799</v>
      </c>
      <c r="G35" s="152">
        <v>25799</v>
      </c>
      <c r="H35" s="153">
        <v>0</v>
      </c>
      <c r="I35" s="153">
        <v>0</v>
      </c>
      <c r="J35" s="154">
        <v>25799</v>
      </c>
      <c r="K35" s="153">
        <v>0</v>
      </c>
      <c r="L35" s="152">
        <v>25799</v>
      </c>
      <c r="M35" s="153">
        <v>0</v>
      </c>
      <c r="N35" s="153">
        <v>0</v>
      </c>
      <c r="O35" s="154">
        <v>3337</v>
      </c>
      <c r="P35" s="153">
        <v>0</v>
      </c>
      <c r="Q35" s="156">
        <v>4</v>
      </c>
      <c r="R35" s="154">
        <v>4</v>
      </c>
      <c r="S35" s="154">
        <v>5</v>
      </c>
      <c r="T35" s="154">
        <v>5</v>
      </c>
      <c r="U35" s="154">
        <v>5</v>
      </c>
      <c r="V35" s="152">
        <v>25799</v>
      </c>
      <c r="W35" s="155">
        <v>0</v>
      </c>
      <c r="X35" s="155">
        <v>0</v>
      </c>
      <c r="Y35" s="154">
        <v>334</v>
      </c>
      <c r="Z35" s="161">
        <v>0</v>
      </c>
      <c r="AA35" s="152">
        <v>25799</v>
      </c>
      <c r="AB35" s="155"/>
      <c r="AC35" s="155"/>
      <c r="AD35" s="154">
        <v>334</v>
      </c>
      <c r="AE35" s="161"/>
    </row>
    <row r="36" spans="1:31" ht="14.25" x14ac:dyDescent="0.45">
      <c r="A36" t="s">
        <v>313</v>
      </c>
      <c r="B36" t="s">
        <v>314</v>
      </c>
      <c r="C36" t="s">
        <v>245</v>
      </c>
      <c r="D36" t="s">
        <v>199</v>
      </c>
      <c r="E36" t="s">
        <v>315</v>
      </c>
      <c r="F36" s="8">
        <v>76549</v>
      </c>
      <c r="G36" s="152">
        <v>0</v>
      </c>
      <c r="H36" s="153">
        <v>0</v>
      </c>
      <c r="I36" s="153">
        <v>0</v>
      </c>
      <c r="J36" s="154">
        <v>53239</v>
      </c>
      <c r="K36" s="153">
        <v>0</v>
      </c>
      <c r="L36" s="152">
        <v>0</v>
      </c>
      <c r="M36" s="153">
        <v>0</v>
      </c>
      <c r="N36" s="153">
        <v>0</v>
      </c>
      <c r="O36" s="154">
        <v>47383</v>
      </c>
      <c r="P36" s="153">
        <v>0</v>
      </c>
      <c r="Q36" s="156">
        <v>0</v>
      </c>
      <c r="R36" s="154">
        <v>0</v>
      </c>
      <c r="S36" s="154">
        <v>3</v>
      </c>
      <c r="T36" s="154">
        <v>3</v>
      </c>
      <c r="U36" s="154">
        <v>3</v>
      </c>
      <c r="V36" s="152">
        <v>0</v>
      </c>
      <c r="W36" s="155">
        <v>0</v>
      </c>
      <c r="X36" s="155">
        <v>0</v>
      </c>
      <c r="Y36" s="154">
        <v>10238</v>
      </c>
      <c r="Z36" s="161">
        <v>0</v>
      </c>
      <c r="AA36" s="152">
        <v>0</v>
      </c>
      <c r="AB36" s="155"/>
      <c r="AC36" s="155"/>
      <c r="AD36" s="154">
        <v>2048</v>
      </c>
      <c r="AE36" s="161"/>
    </row>
    <row r="37" spans="1:31" ht="14.25" x14ac:dyDescent="0.45">
      <c r="A37" t="s">
        <v>316</v>
      </c>
      <c r="B37" t="s">
        <v>317</v>
      </c>
      <c r="C37" t="s">
        <v>252</v>
      </c>
      <c r="D37" t="s">
        <v>193</v>
      </c>
      <c r="E37" t="s">
        <v>318</v>
      </c>
      <c r="F37" s="8">
        <v>29217</v>
      </c>
      <c r="G37" s="152">
        <v>29217</v>
      </c>
      <c r="H37" s="153">
        <v>0</v>
      </c>
      <c r="I37" s="153">
        <v>0</v>
      </c>
      <c r="J37" s="154">
        <v>29217</v>
      </c>
      <c r="K37" s="153">
        <v>0</v>
      </c>
      <c r="L37" s="152">
        <v>26295</v>
      </c>
      <c r="M37" s="153">
        <v>0</v>
      </c>
      <c r="N37" s="153">
        <v>0</v>
      </c>
      <c r="O37" s="154">
        <v>10798</v>
      </c>
      <c r="P37" s="153">
        <v>0</v>
      </c>
      <c r="Q37" s="156">
        <v>5</v>
      </c>
      <c r="R37" s="154">
        <v>4</v>
      </c>
      <c r="S37" s="154">
        <v>5</v>
      </c>
      <c r="T37" s="154">
        <v>5</v>
      </c>
      <c r="U37" s="154">
        <v>5</v>
      </c>
      <c r="V37" s="152">
        <v>23516</v>
      </c>
      <c r="W37" s="155">
        <v>0</v>
      </c>
      <c r="X37" s="155">
        <v>0</v>
      </c>
      <c r="Y37" s="154">
        <v>2057</v>
      </c>
      <c r="Z37" s="161">
        <v>0</v>
      </c>
      <c r="AA37" s="152">
        <v>23516</v>
      </c>
      <c r="AB37" s="155"/>
      <c r="AC37" s="155"/>
      <c r="AD37" s="154">
        <v>2057</v>
      </c>
      <c r="AE37" s="161"/>
    </row>
    <row r="38" spans="1:31" ht="14.25" x14ac:dyDescent="0.45">
      <c r="A38" t="s">
        <v>316</v>
      </c>
      <c r="B38" t="s">
        <v>317</v>
      </c>
      <c r="C38" t="s">
        <v>319</v>
      </c>
      <c r="D38" t="s">
        <v>196</v>
      </c>
      <c r="E38" t="s">
        <v>320</v>
      </c>
      <c r="F38" s="8">
        <v>83462</v>
      </c>
      <c r="G38" s="152">
        <v>83462</v>
      </c>
      <c r="H38" s="153">
        <v>0</v>
      </c>
      <c r="I38" s="153">
        <v>0</v>
      </c>
      <c r="J38" s="154">
        <v>60371</v>
      </c>
      <c r="K38" s="153">
        <v>0</v>
      </c>
      <c r="L38" s="152">
        <v>64748</v>
      </c>
      <c r="M38" s="153">
        <v>0</v>
      </c>
      <c r="N38" s="153">
        <v>0</v>
      </c>
      <c r="O38" s="154">
        <v>59405</v>
      </c>
      <c r="P38" s="153">
        <v>0</v>
      </c>
      <c r="Q38" s="156">
        <v>4</v>
      </c>
      <c r="R38" s="154">
        <v>0</v>
      </c>
      <c r="S38" s="154">
        <v>4</v>
      </c>
      <c r="T38" s="154">
        <v>4</v>
      </c>
      <c r="U38" s="154">
        <v>4</v>
      </c>
      <c r="V38" s="152">
        <v>53824</v>
      </c>
      <c r="W38" s="155">
        <v>0</v>
      </c>
      <c r="X38" s="155">
        <v>0</v>
      </c>
      <c r="Y38" s="154">
        <v>29991</v>
      </c>
      <c r="Z38" s="161">
        <v>0</v>
      </c>
      <c r="AA38" s="152">
        <v>53824</v>
      </c>
      <c r="AB38" s="155"/>
      <c r="AC38" s="155"/>
      <c r="AD38" s="154">
        <v>29991</v>
      </c>
      <c r="AE38" s="161"/>
    </row>
    <row r="39" spans="1:31" ht="14.25" x14ac:dyDescent="0.45">
      <c r="A39" t="s">
        <v>316</v>
      </c>
      <c r="B39" t="s">
        <v>317</v>
      </c>
      <c r="C39" t="s">
        <v>256</v>
      </c>
      <c r="D39" t="s">
        <v>199</v>
      </c>
      <c r="E39" t="s">
        <v>321</v>
      </c>
      <c r="F39" s="8">
        <v>68369</v>
      </c>
      <c r="G39" s="152">
        <v>0</v>
      </c>
      <c r="H39" s="153">
        <v>0</v>
      </c>
      <c r="I39" s="153">
        <v>0</v>
      </c>
      <c r="J39" s="154">
        <v>48737</v>
      </c>
      <c r="K39" s="153">
        <v>0</v>
      </c>
      <c r="L39" s="152">
        <v>0</v>
      </c>
      <c r="M39" s="153">
        <v>0</v>
      </c>
      <c r="N39" s="153">
        <v>0</v>
      </c>
      <c r="O39" s="154">
        <v>38730</v>
      </c>
      <c r="P39" s="153">
        <v>0</v>
      </c>
      <c r="Q39" s="156">
        <v>0</v>
      </c>
      <c r="R39" s="154">
        <v>0</v>
      </c>
      <c r="S39" s="154">
        <v>3</v>
      </c>
      <c r="T39" s="154">
        <v>3</v>
      </c>
      <c r="U39" s="154">
        <v>3</v>
      </c>
      <c r="V39" s="152">
        <v>0</v>
      </c>
      <c r="W39" s="155">
        <v>0</v>
      </c>
      <c r="X39" s="155">
        <v>0</v>
      </c>
      <c r="Y39" s="154">
        <v>17058</v>
      </c>
      <c r="Z39" s="161">
        <v>0</v>
      </c>
      <c r="AA39" s="152">
        <v>0</v>
      </c>
      <c r="AB39" s="155"/>
      <c r="AC39" s="155"/>
      <c r="AD39" s="154">
        <v>17058</v>
      </c>
      <c r="AE39" s="161"/>
    </row>
    <row r="40" spans="1:31" ht="14.25" x14ac:dyDescent="0.45">
      <c r="A40" t="s">
        <v>316</v>
      </c>
      <c r="B40" t="s">
        <v>317</v>
      </c>
      <c r="C40" t="s">
        <v>322</v>
      </c>
      <c r="D40" t="s">
        <v>196</v>
      </c>
      <c r="E40" t="s">
        <v>323</v>
      </c>
      <c r="F40" s="8">
        <v>133606</v>
      </c>
      <c r="G40" s="152">
        <v>133606</v>
      </c>
      <c r="H40" s="153">
        <v>0</v>
      </c>
      <c r="I40" s="153">
        <v>0</v>
      </c>
      <c r="J40" s="154">
        <v>96642</v>
      </c>
      <c r="K40" s="153">
        <v>0</v>
      </c>
      <c r="L40" s="152">
        <v>118909</v>
      </c>
      <c r="M40" s="153">
        <v>0</v>
      </c>
      <c r="N40" s="153">
        <v>0</v>
      </c>
      <c r="O40" s="154">
        <v>81713</v>
      </c>
      <c r="P40" s="153">
        <v>0</v>
      </c>
      <c r="Q40" s="156">
        <v>4</v>
      </c>
      <c r="R40" s="154">
        <v>0</v>
      </c>
      <c r="S40" s="154">
        <v>4</v>
      </c>
      <c r="T40" s="154">
        <v>4</v>
      </c>
      <c r="U40" s="154">
        <v>4</v>
      </c>
      <c r="V40" s="152">
        <v>118909</v>
      </c>
      <c r="W40" s="155">
        <v>0</v>
      </c>
      <c r="X40" s="155">
        <v>0</v>
      </c>
      <c r="Y40" s="154">
        <v>49028</v>
      </c>
      <c r="Z40" s="161">
        <v>0</v>
      </c>
      <c r="AA40" s="152">
        <v>118909</v>
      </c>
      <c r="AB40" s="155"/>
      <c r="AC40" s="155"/>
      <c r="AD40" s="154">
        <v>49028</v>
      </c>
      <c r="AE40" s="161"/>
    </row>
    <row r="41" spans="1:31" ht="14.25" x14ac:dyDescent="0.45">
      <c r="A41" t="s">
        <v>324</v>
      </c>
      <c r="B41" t="s">
        <v>325</v>
      </c>
      <c r="C41" t="s">
        <v>326</v>
      </c>
      <c r="D41" t="s">
        <v>193</v>
      </c>
      <c r="E41" t="s">
        <v>327</v>
      </c>
      <c r="F41" s="8">
        <v>5315</v>
      </c>
      <c r="G41" s="152">
        <v>5315</v>
      </c>
      <c r="H41" s="153">
        <v>0</v>
      </c>
      <c r="I41" s="153">
        <v>0</v>
      </c>
      <c r="J41" s="154">
        <v>5315</v>
      </c>
      <c r="K41" s="153">
        <v>0</v>
      </c>
      <c r="L41" s="152">
        <v>5102</v>
      </c>
      <c r="M41" s="153">
        <v>0</v>
      </c>
      <c r="N41" s="153">
        <v>0</v>
      </c>
      <c r="O41" s="154">
        <v>1762</v>
      </c>
      <c r="P41" s="153">
        <v>0</v>
      </c>
      <c r="Q41" s="156">
        <v>5</v>
      </c>
      <c r="R41" s="154">
        <v>4</v>
      </c>
      <c r="S41" s="154">
        <v>5</v>
      </c>
      <c r="T41" s="154">
        <v>5</v>
      </c>
      <c r="U41" s="154">
        <v>5</v>
      </c>
      <c r="V41" s="152">
        <v>4651</v>
      </c>
      <c r="W41" s="155">
        <v>0</v>
      </c>
      <c r="X41" s="155">
        <v>0</v>
      </c>
      <c r="Y41" s="154">
        <v>881</v>
      </c>
      <c r="Z41" s="161">
        <v>0</v>
      </c>
      <c r="AA41" s="152">
        <v>4651</v>
      </c>
      <c r="AB41" s="155"/>
      <c r="AC41" s="155"/>
      <c r="AD41" s="154">
        <v>881</v>
      </c>
      <c r="AE41" s="161"/>
    </row>
    <row r="42" spans="1:31" ht="14.25" x14ac:dyDescent="0.45">
      <c r="A42" t="s">
        <v>324</v>
      </c>
      <c r="B42" t="s">
        <v>325</v>
      </c>
      <c r="C42" t="s">
        <v>254</v>
      </c>
      <c r="D42" t="s">
        <v>196</v>
      </c>
      <c r="E42" t="s">
        <v>328</v>
      </c>
      <c r="F42" s="8">
        <v>1930</v>
      </c>
      <c r="G42" s="152">
        <v>1930</v>
      </c>
      <c r="H42" s="153">
        <v>0</v>
      </c>
      <c r="I42" s="153">
        <v>0</v>
      </c>
      <c r="J42" s="154">
        <v>1396</v>
      </c>
      <c r="K42" s="153">
        <v>0</v>
      </c>
      <c r="L42" s="152">
        <v>1737</v>
      </c>
      <c r="M42" s="153">
        <v>0</v>
      </c>
      <c r="N42" s="153">
        <v>0</v>
      </c>
      <c r="O42" s="154">
        <v>1396</v>
      </c>
      <c r="P42" s="153">
        <v>0</v>
      </c>
      <c r="Q42" s="156">
        <v>4</v>
      </c>
      <c r="R42" s="154">
        <v>0</v>
      </c>
      <c r="S42" s="154">
        <v>4</v>
      </c>
      <c r="T42" s="154">
        <v>4</v>
      </c>
      <c r="U42" s="154">
        <v>4</v>
      </c>
      <c r="V42" s="152">
        <v>1608</v>
      </c>
      <c r="W42" s="155">
        <v>0</v>
      </c>
      <c r="X42" s="155">
        <v>0</v>
      </c>
      <c r="Y42" s="154">
        <v>1155</v>
      </c>
      <c r="Z42" s="161">
        <v>0</v>
      </c>
      <c r="AA42" s="152">
        <v>1608</v>
      </c>
      <c r="AB42" s="155"/>
      <c r="AC42" s="155"/>
      <c r="AD42" s="154">
        <v>1155</v>
      </c>
      <c r="AE42" s="161"/>
    </row>
    <row r="43" spans="1:31" ht="14.25" x14ac:dyDescent="0.45">
      <c r="A43" t="s">
        <v>324</v>
      </c>
      <c r="B43" t="s">
        <v>325</v>
      </c>
      <c r="C43" t="s">
        <v>256</v>
      </c>
      <c r="D43" t="s">
        <v>199</v>
      </c>
      <c r="E43" t="s">
        <v>329</v>
      </c>
      <c r="F43" s="8">
        <v>100</v>
      </c>
      <c r="G43" s="152">
        <v>0</v>
      </c>
      <c r="H43" s="153">
        <v>0</v>
      </c>
      <c r="I43" s="153">
        <v>0</v>
      </c>
      <c r="J43" s="154">
        <v>72</v>
      </c>
      <c r="K43" s="153">
        <v>0</v>
      </c>
      <c r="L43" s="152">
        <v>0</v>
      </c>
      <c r="M43" s="153">
        <v>0</v>
      </c>
      <c r="N43" s="153">
        <v>0</v>
      </c>
      <c r="O43" s="154">
        <v>69</v>
      </c>
      <c r="P43" s="153">
        <v>0</v>
      </c>
      <c r="Q43" s="156">
        <v>0</v>
      </c>
      <c r="R43" s="154">
        <v>0</v>
      </c>
      <c r="S43" s="154">
        <v>3</v>
      </c>
      <c r="T43" s="154">
        <v>4</v>
      </c>
      <c r="U43" s="154">
        <v>4</v>
      </c>
      <c r="V43" s="152">
        <v>0</v>
      </c>
      <c r="W43" s="155">
        <v>0</v>
      </c>
      <c r="X43" s="155">
        <v>0</v>
      </c>
      <c r="Y43" s="154">
        <v>35</v>
      </c>
      <c r="Z43" s="161">
        <v>0</v>
      </c>
      <c r="AA43" s="152">
        <v>0</v>
      </c>
      <c r="AB43" s="155"/>
      <c r="AC43" s="155"/>
      <c r="AD43" s="154">
        <v>35</v>
      </c>
      <c r="AE43" s="161"/>
    </row>
    <row r="44" spans="1:31" ht="14.25" x14ac:dyDescent="0.45">
      <c r="A44" t="s">
        <v>324</v>
      </c>
      <c r="B44" t="s">
        <v>325</v>
      </c>
      <c r="C44" t="s">
        <v>330</v>
      </c>
      <c r="D44" t="s">
        <v>193</v>
      </c>
      <c r="E44" t="s">
        <v>331</v>
      </c>
      <c r="F44" s="8">
        <v>9908</v>
      </c>
      <c r="G44" s="152">
        <v>9908</v>
      </c>
      <c r="H44" s="153">
        <v>0</v>
      </c>
      <c r="I44" s="153">
        <v>0</v>
      </c>
      <c r="J44" s="154">
        <v>9908</v>
      </c>
      <c r="K44" s="153">
        <v>0</v>
      </c>
      <c r="L44" s="152">
        <v>9908</v>
      </c>
      <c r="M44" s="153">
        <v>0</v>
      </c>
      <c r="N44" s="153">
        <v>0</v>
      </c>
      <c r="O44" s="154">
        <v>3323</v>
      </c>
      <c r="P44" s="153">
        <v>0</v>
      </c>
      <c r="Q44" s="156">
        <v>5</v>
      </c>
      <c r="R44" s="154">
        <v>4</v>
      </c>
      <c r="S44" s="154">
        <v>5</v>
      </c>
      <c r="T44" s="154">
        <v>5</v>
      </c>
      <c r="U44" s="154">
        <v>5</v>
      </c>
      <c r="V44" s="152">
        <v>9908</v>
      </c>
      <c r="W44" s="155">
        <v>0</v>
      </c>
      <c r="X44" s="155">
        <v>0</v>
      </c>
      <c r="Y44" s="154">
        <v>665</v>
      </c>
      <c r="Z44" s="161">
        <v>0</v>
      </c>
      <c r="AA44" s="152">
        <v>9908</v>
      </c>
      <c r="AB44" s="155"/>
      <c r="AC44" s="155"/>
      <c r="AD44" s="154">
        <v>665</v>
      </c>
      <c r="AE44" s="161"/>
    </row>
    <row r="45" spans="1:31" ht="14.25" x14ac:dyDescent="0.45">
      <c r="A45" t="s">
        <v>332</v>
      </c>
      <c r="B45" t="s">
        <v>333</v>
      </c>
      <c r="C45" t="s">
        <v>245</v>
      </c>
      <c r="D45" t="s">
        <v>199</v>
      </c>
      <c r="E45" t="s">
        <v>334</v>
      </c>
      <c r="F45" s="8">
        <v>93621</v>
      </c>
      <c r="G45" s="152">
        <v>0</v>
      </c>
      <c r="H45" s="153">
        <v>0</v>
      </c>
      <c r="I45" s="153">
        <v>0</v>
      </c>
      <c r="J45" s="154">
        <v>65112</v>
      </c>
      <c r="K45" s="153">
        <v>0</v>
      </c>
      <c r="L45" s="152">
        <v>0</v>
      </c>
      <c r="M45" s="153">
        <v>0</v>
      </c>
      <c r="N45" s="153">
        <v>0</v>
      </c>
      <c r="O45" s="154">
        <v>60289</v>
      </c>
      <c r="P45" s="153">
        <v>0</v>
      </c>
      <c r="Q45" s="156">
        <v>0</v>
      </c>
      <c r="R45" s="154">
        <v>0</v>
      </c>
      <c r="S45" s="154">
        <v>3</v>
      </c>
      <c r="T45" s="154">
        <v>3</v>
      </c>
      <c r="U45" s="154">
        <v>3</v>
      </c>
      <c r="V45" s="152">
        <v>0</v>
      </c>
      <c r="W45" s="155">
        <v>0</v>
      </c>
      <c r="X45" s="155">
        <v>0</v>
      </c>
      <c r="Y45" s="154">
        <v>15072</v>
      </c>
      <c r="Z45" s="161">
        <v>0</v>
      </c>
      <c r="AA45" s="152">
        <v>0</v>
      </c>
      <c r="AB45" s="155"/>
      <c r="AC45" s="155"/>
      <c r="AD45" s="154">
        <v>3014</v>
      </c>
      <c r="AE45" s="161"/>
    </row>
    <row r="46" spans="1:31" ht="14.25" x14ac:dyDescent="0.45">
      <c r="A46" t="s">
        <v>335</v>
      </c>
      <c r="B46" t="s">
        <v>336</v>
      </c>
      <c r="C46" t="s">
        <v>245</v>
      </c>
      <c r="D46" t="s">
        <v>199</v>
      </c>
      <c r="E46" t="s">
        <v>337</v>
      </c>
      <c r="F46" s="8">
        <v>129758</v>
      </c>
      <c r="G46" s="152">
        <v>0</v>
      </c>
      <c r="H46" s="153">
        <v>0</v>
      </c>
      <c r="I46" s="153">
        <v>0</v>
      </c>
      <c r="J46" s="154">
        <v>92461</v>
      </c>
      <c r="K46" s="153">
        <v>0</v>
      </c>
      <c r="L46" s="152">
        <v>0</v>
      </c>
      <c r="M46" s="153">
        <v>0</v>
      </c>
      <c r="N46" s="153">
        <v>0</v>
      </c>
      <c r="O46" s="154">
        <v>78628</v>
      </c>
      <c r="P46" s="153">
        <v>0</v>
      </c>
      <c r="Q46" s="156">
        <v>0</v>
      </c>
      <c r="R46" s="154">
        <v>0</v>
      </c>
      <c r="S46" s="154">
        <v>3</v>
      </c>
      <c r="T46" s="154">
        <v>3</v>
      </c>
      <c r="U46" s="154">
        <v>3</v>
      </c>
      <c r="V46" s="152">
        <v>0</v>
      </c>
      <c r="W46" s="155">
        <v>0</v>
      </c>
      <c r="X46" s="155">
        <v>0</v>
      </c>
      <c r="Y46" s="154">
        <v>11794</v>
      </c>
      <c r="Z46" s="161">
        <v>0</v>
      </c>
      <c r="AA46" s="152">
        <v>0</v>
      </c>
      <c r="AB46" s="155"/>
      <c r="AC46" s="155"/>
      <c r="AD46" s="154">
        <v>2359</v>
      </c>
      <c r="AE46" s="161"/>
    </row>
    <row r="47" spans="1:31" ht="14.25" x14ac:dyDescent="0.45">
      <c r="A47" t="s">
        <v>338</v>
      </c>
      <c r="B47" t="s">
        <v>339</v>
      </c>
      <c r="C47" t="s">
        <v>245</v>
      </c>
      <c r="D47" t="s">
        <v>199</v>
      </c>
      <c r="E47" t="s">
        <v>340</v>
      </c>
      <c r="F47" s="8">
        <v>58093</v>
      </c>
      <c r="G47" s="152">
        <v>0</v>
      </c>
      <c r="H47" s="153">
        <v>0</v>
      </c>
      <c r="I47" s="153">
        <v>0</v>
      </c>
      <c r="J47" s="154">
        <v>40403</v>
      </c>
      <c r="K47" s="153">
        <v>0</v>
      </c>
      <c r="L47" s="152">
        <v>0</v>
      </c>
      <c r="M47" s="153">
        <v>0</v>
      </c>
      <c r="N47" s="153">
        <v>0</v>
      </c>
      <c r="O47" s="154">
        <v>34246</v>
      </c>
      <c r="P47" s="153">
        <v>0</v>
      </c>
      <c r="Q47" s="156">
        <v>0</v>
      </c>
      <c r="R47" s="154">
        <v>0</v>
      </c>
      <c r="S47" s="154">
        <v>3</v>
      </c>
      <c r="T47" s="154">
        <v>3</v>
      </c>
      <c r="U47" s="154">
        <v>3</v>
      </c>
      <c r="V47" s="152">
        <v>0</v>
      </c>
      <c r="W47" s="155">
        <v>0</v>
      </c>
      <c r="X47" s="155">
        <v>0</v>
      </c>
      <c r="Y47" s="154">
        <v>16161</v>
      </c>
      <c r="Z47" s="161">
        <v>0</v>
      </c>
      <c r="AA47" s="152">
        <v>0</v>
      </c>
      <c r="AB47" s="155"/>
      <c r="AC47" s="155"/>
      <c r="AD47" s="154">
        <v>16161</v>
      </c>
      <c r="AE47" s="161"/>
    </row>
    <row r="48" spans="1:31" ht="14.25" x14ac:dyDescent="0.45">
      <c r="A48" t="s">
        <v>341</v>
      </c>
      <c r="B48" t="s">
        <v>342</v>
      </c>
      <c r="C48" t="s">
        <v>252</v>
      </c>
      <c r="D48" t="s">
        <v>193</v>
      </c>
      <c r="E48" t="s">
        <v>343</v>
      </c>
      <c r="F48" s="8">
        <v>4864</v>
      </c>
      <c r="G48" s="152">
        <v>4864</v>
      </c>
      <c r="H48" s="153">
        <v>0</v>
      </c>
      <c r="I48" s="153">
        <v>0</v>
      </c>
      <c r="J48" s="154">
        <v>4864</v>
      </c>
      <c r="K48" s="153">
        <v>0</v>
      </c>
      <c r="L48" s="152">
        <v>4378</v>
      </c>
      <c r="M48" s="153">
        <v>0</v>
      </c>
      <c r="N48" s="153">
        <v>0</v>
      </c>
      <c r="O48" s="154">
        <v>690</v>
      </c>
      <c r="P48" s="153">
        <v>0</v>
      </c>
      <c r="Q48" s="156">
        <v>5</v>
      </c>
      <c r="R48" s="154">
        <v>4</v>
      </c>
      <c r="S48" s="154">
        <v>5</v>
      </c>
      <c r="T48" s="154">
        <v>5</v>
      </c>
      <c r="U48" s="154">
        <v>5</v>
      </c>
      <c r="V48" s="152">
        <v>4062</v>
      </c>
      <c r="W48" s="155">
        <v>0</v>
      </c>
      <c r="X48" s="155">
        <v>0</v>
      </c>
      <c r="Y48" s="154">
        <v>165</v>
      </c>
      <c r="Z48" s="161">
        <v>0</v>
      </c>
      <c r="AA48" s="152">
        <v>4062</v>
      </c>
      <c r="AB48" s="155"/>
      <c r="AC48" s="155"/>
      <c r="AD48" s="154">
        <v>165</v>
      </c>
      <c r="AE48" s="161"/>
    </row>
    <row r="49" spans="1:33" ht="14.25" x14ac:dyDescent="0.45">
      <c r="A49" t="s">
        <v>341</v>
      </c>
      <c r="B49" t="s">
        <v>342</v>
      </c>
      <c r="C49" t="s">
        <v>254</v>
      </c>
      <c r="D49" t="s">
        <v>196</v>
      </c>
      <c r="E49" t="s">
        <v>344</v>
      </c>
      <c r="F49" s="8">
        <v>704</v>
      </c>
      <c r="G49" s="152">
        <v>704</v>
      </c>
      <c r="H49" s="153">
        <v>0</v>
      </c>
      <c r="I49" s="153">
        <v>0</v>
      </c>
      <c r="J49" s="154">
        <v>509</v>
      </c>
      <c r="K49" s="153">
        <v>0</v>
      </c>
      <c r="L49" s="152">
        <v>634</v>
      </c>
      <c r="M49" s="153">
        <v>0</v>
      </c>
      <c r="N49" s="153">
        <v>0</v>
      </c>
      <c r="O49" s="154">
        <v>509</v>
      </c>
      <c r="P49" s="153">
        <v>0</v>
      </c>
      <c r="Q49" s="156">
        <v>3</v>
      </c>
      <c r="R49" s="154">
        <v>0</v>
      </c>
      <c r="S49" s="154">
        <v>4</v>
      </c>
      <c r="T49" s="154">
        <v>4</v>
      </c>
      <c r="U49" s="154">
        <v>4</v>
      </c>
      <c r="V49" s="152">
        <v>476</v>
      </c>
      <c r="W49" s="155">
        <v>0</v>
      </c>
      <c r="X49" s="155">
        <v>0</v>
      </c>
      <c r="Y49" s="154">
        <v>290</v>
      </c>
      <c r="Z49" s="161">
        <v>0</v>
      </c>
      <c r="AA49" s="152">
        <v>476</v>
      </c>
      <c r="AB49" s="155"/>
      <c r="AC49" s="155"/>
      <c r="AD49" s="154">
        <v>290</v>
      </c>
      <c r="AE49" s="161"/>
    </row>
    <row r="50" spans="1:33" ht="14.25" x14ac:dyDescent="0.45">
      <c r="A50" t="s">
        <v>341</v>
      </c>
      <c r="B50" t="s">
        <v>342</v>
      </c>
      <c r="C50" t="s">
        <v>256</v>
      </c>
      <c r="D50" t="s">
        <v>199</v>
      </c>
      <c r="E50" t="s">
        <v>345</v>
      </c>
      <c r="F50" s="8">
        <v>38386</v>
      </c>
      <c r="G50" s="152">
        <v>0</v>
      </c>
      <c r="H50" s="153">
        <v>0</v>
      </c>
      <c r="I50" s="153">
        <v>0</v>
      </c>
      <c r="J50" s="154">
        <v>22199</v>
      </c>
      <c r="K50" s="153">
        <v>0</v>
      </c>
      <c r="L50" s="152">
        <v>0</v>
      </c>
      <c r="M50" s="153">
        <v>0</v>
      </c>
      <c r="N50" s="153">
        <v>0</v>
      </c>
      <c r="O50" s="154">
        <v>19102</v>
      </c>
      <c r="P50" s="153">
        <v>0</v>
      </c>
      <c r="Q50" s="156">
        <v>0</v>
      </c>
      <c r="R50" s="154">
        <v>0</v>
      </c>
      <c r="S50" s="154">
        <v>3</v>
      </c>
      <c r="T50" s="154">
        <v>3</v>
      </c>
      <c r="U50" s="154">
        <v>3</v>
      </c>
      <c r="V50" s="152">
        <v>0</v>
      </c>
      <c r="W50" s="155">
        <v>0</v>
      </c>
      <c r="X50" s="155">
        <v>0</v>
      </c>
      <c r="Y50" s="154">
        <v>4481</v>
      </c>
      <c r="Z50" s="161">
        <v>0</v>
      </c>
      <c r="AA50" s="152">
        <v>0</v>
      </c>
      <c r="AB50" s="155"/>
      <c r="AC50" s="155"/>
      <c r="AD50" s="154">
        <v>1242</v>
      </c>
      <c r="AE50" s="161"/>
    </row>
    <row r="51" spans="1:33" ht="14.25" x14ac:dyDescent="0.45">
      <c r="A51" t="s">
        <v>346</v>
      </c>
      <c r="B51" t="s">
        <v>347</v>
      </c>
      <c r="C51" t="s">
        <v>245</v>
      </c>
      <c r="D51" t="s">
        <v>199</v>
      </c>
      <c r="E51" t="s">
        <v>348</v>
      </c>
      <c r="F51" s="8">
        <v>359687</v>
      </c>
      <c r="G51" s="152">
        <v>0</v>
      </c>
      <c r="H51" s="153">
        <v>0</v>
      </c>
      <c r="I51" s="153">
        <v>0</v>
      </c>
      <c r="J51" s="154">
        <v>213148</v>
      </c>
      <c r="K51" s="153">
        <v>0</v>
      </c>
      <c r="L51" s="152">
        <v>0</v>
      </c>
      <c r="M51" s="153">
        <v>0</v>
      </c>
      <c r="N51" s="153">
        <v>0</v>
      </c>
      <c r="O51" s="154">
        <v>184996</v>
      </c>
      <c r="P51" s="153">
        <v>0</v>
      </c>
      <c r="Q51" s="156">
        <v>0</v>
      </c>
      <c r="R51" s="154">
        <v>0</v>
      </c>
      <c r="S51" s="154">
        <v>3</v>
      </c>
      <c r="T51" s="154">
        <v>3</v>
      </c>
      <c r="U51" s="154">
        <v>3</v>
      </c>
      <c r="V51" s="152">
        <v>0</v>
      </c>
      <c r="W51" s="155">
        <v>0</v>
      </c>
      <c r="X51" s="155">
        <v>0</v>
      </c>
      <c r="Y51" s="154">
        <v>42875</v>
      </c>
      <c r="Z51" s="161">
        <v>0</v>
      </c>
      <c r="AA51" s="152">
        <v>0</v>
      </c>
      <c r="AB51" s="155"/>
      <c r="AC51" s="155"/>
      <c r="AD51" s="154">
        <v>11453</v>
      </c>
      <c r="AE51" s="161"/>
    </row>
    <row r="52" spans="1:33" ht="14.25" x14ac:dyDescent="0.45">
      <c r="A52" t="s">
        <v>33</v>
      </c>
      <c r="B52" t="s">
        <v>191</v>
      </c>
      <c r="C52" t="s">
        <v>192</v>
      </c>
      <c r="D52" t="s">
        <v>193</v>
      </c>
      <c r="E52" t="s">
        <v>194</v>
      </c>
      <c r="F52" s="8">
        <v>7414</v>
      </c>
      <c r="G52" s="152">
        <v>7414</v>
      </c>
      <c r="H52" s="153">
        <v>0</v>
      </c>
      <c r="I52" s="154">
        <v>495</v>
      </c>
      <c r="J52" s="154">
        <v>7414</v>
      </c>
      <c r="K52" s="154">
        <v>7414</v>
      </c>
      <c r="L52" s="152">
        <v>7414</v>
      </c>
      <c r="M52" s="153">
        <v>0</v>
      </c>
      <c r="N52" s="154">
        <v>495</v>
      </c>
      <c r="O52" s="154">
        <v>7414</v>
      </c>
      <c r="P52" s="154">
        <v>7414</v>
      </c>
      <c r="Q52" s="156">
        <v>5</v>
      </c>
      <c r="R52" s="155">
        <v>0</v>
      </c>
      <c r="S52" s="154">
        <v>5</v>
      </c>
      <c r="T52" s="154">
        <v>5</v>
      </c>
      <c r="U52" s="154">
        <v>5</v>
      </c>
      <c r="V52" s="152">
        <v>4236</v>
      </c>
      <c r="W52" s="155">
        <v>0</v>
      </c>
      <c r="X52" s="154">
        <v>248</v>
      </c>
      <c r="Y52" s="154">
        <v>1207</v>
      </c>
      <c r="Z52" s="159">
        <v>4236</v>
      </c>
      <c r="AA52" s="152">
        <v>4236</v>
      </c>
      <c r="AB52" s="155"/>
      <c r="AC52" s="154">
        <v>248</v>
      </c>
      <c r="AD52" s="154">
        <v>1207</v>
      </c>
      <c r="AE52" s="159">
        <v>4236</v>
      </c>
    </row>
    <row r="53" spans="1:33" ht="14.25" x14ac:dyDescent="0.45">
      <c r="A53" t="s">
        <v>33</v>
      </c>
      <c r="B53" t="s">
        <v>191</v>
      </c>
      <c r="C53" t="s">
        <v>195</v>
      </c>
      <c r="D53" t="s">
        <v>196</v>
      </c>
      <c r="E53" t="s">
        <v>197</v>
      </c>
      <c r="F53" s="8">
        <v>10647</v>
      </c>
      <c r="G53" s="152">
        <v>10647</v>
      </c>
      <c r="H53" s="153">
        <v>0</v>
      </c>
      <c r="I53" s="154">
        <v>306</v>
      </c>
      <c r="J53" s="154">
        <v>10647</v>
      </c>
      <c r="K53" s="154">
        <v>10647</v>
      </c>
      <c r="L53" s="152">
        <v>10647</v>
      </c>
      <c r="M53" s="153">
        <v>0</v>
      </c>
      <c r="N53" s="154">
        <v>306</v>
      </c>
      <c r="O53" s="154">
        <v>10647</v>
      </c>
      <c r="P53" s="154">
        <v>10647</v>
      </c>
      <c r="Q53" s="152">
        <v>4</v>
      </c>
      <c r="R53" s="155">
        <v>0</v>
      </c>
      <c r="S53" s="154">
        <v>4</v>
      </c>
      <c r="T53" s="154">
        <v>4</v>
      </c>
      <c r="U53" s="154">
        <v>4</v>
      </c>
      <c r="V53" s="152">
        <v>5182</v>
      </c>
      <c r="W53" s="155">
        <v>0</v>
      </c>
      <c r="X53" s="154">
        <v>153</v>
      </c>
      <c r="Y53" s="154">
        <v>1734</v>
      </c>
      <c r="Z53" s="159">
        <v>5182</v>
      </c>
      <c r="AA53" s="152">
        <v>5182</v>
      </c>
      <c r="AB53" s="155"/>
      <c r="AC53" s="154">
        <v>153</v>
      </c>
      <c r="AD53" s="154">
        <v>1734</v>
      </c>
      <c r="AE53" s="159">
        <v>5182</v>
      </c>
    </row>
    <row r="54" spans="1:33" ht="14.25" x14ac:dyDescent="0.45">
      <c r="A54" t="s">
        <v>33</v>
      </c>
      <c r="B54" t="s">
        <v>191</v>
      </c>
      <c r="C54" t="s">
        <v>198</v>
      </c>
      <c r="D54" t="s">
        <v>199</v>
      </c>
      <c r="E54" t="s">
        <v>200</v>
      </c>
      <c r="F54" s="8">
        <v>15802</v>
      </c>
      <c r="G54" s="152">
        <v>0</v>
      </c>
      <c r="H54" s="153">
        <v>0</v>
      </c>
      <c r="I54" s="154">
        <v>314</v>
      </c>
      <c r="J54" s="154">
        <v>15802</v>
      </c>
      <c r="K54" s="154">
        <v>15802</v>
      </c>
      <c r="L54" s="152">
        <v>0</v>
      </c>
      <c r="M54" s="153">
        <v>0</v>
      </c>
      <c r="N54" s="154">
        <v>314</v>
      </c>
      <c r="O54" s="154">
        <v>15802</v>
      </c>
      <c r="P54" s="154">
        <v>15802</v>
      </c>
      <c r="Q54" s="152">
        <v>0</v>
      </c>
      <c r="R54" s="155">
        <v>0</v>
      </c>
      <c r="S54" s="154">
        <v>4</v>
      </c>
      <c r="T54" s="154">
        <v>4</v>
      </c>
      <c r="U54" s="154">
        <v>4</v>
      </c>
      <c r="V54" s="152">
        <v>0</v>
      </c>
      <c r="W54" s="155">
        <v>0</v>
      </c>
      <c r="X54" s="154">
        <v>157</v>
      </c>
      <c r="Y54" s="154">
        <v>1350</v>
      </c>
      <c r="Z54" s="159">
        <v>1507</v>
      </c>
      <c r="AA54" s="152">
        <v>0</v>
      </c>
      <c r="AB54" s="155"/>
      <c r="AC54" s="154">
        <v>157</v>
      </c>
      <c r="AD54" s="154">
        <v>1350</v>
      </c>
      <c r="AE54" s="159">
        <v>1507</v>
      </c>
    </row>
    <row r="55" spans="1:33" ht="14.25" x14ac:dyDescent="0.45">
      <c r="A55" t="s">
        <v>33</v>
      </c>
      <c r="B55" t="s">
        <v>191</v>
      </c>
      <c r="C55" t="s">
        <v>201</v>
      </c>
      <c r="D55" t="s">
        <v>199</v>
      </c>
      <c r="E55" t="s">
        <v>202</v>
      </c>
      <c r="F55" s="8">
        <v>9893</v>
      </c>
      <c r="G55" s="152">
        <v>0</v>
      </c>
      <c r="H55" s="153">
        <v>0</v>
      </c>
      <c r="I55" s="154">
        <v>197</v>
      </c>
      <c r="J55" s="154">
        <v>9893</v>
      </c>
      <c r="K55" s="154">
        <v>9893</v>
      </c>
      <c r="L55" s="152">
        <v>0</v>
      </c>
      <c r="M55" s="153">
        <v>0</v>
      </c>
      <c r="N55" s="154">
        <v>197</v>
      </c>
      <c r="O55" s="154">
        <v>9893</v>
      </c>
      <c r="P55" s="154">
        <v>9893</v>
      </c>
      <c r="Q55" s="152">
        <v>0</v>
      </c>
      <c r="R55" s="155">
        <v>0</v>
      </c>
      <c r="S55" s="154">
        <v>3</v>
      </c>
      <c r="T55" s="154">
        <v>3</v>
      </c>
      <c r="U55" s="154">
        <v>3</v>
      </c>
      <c r="V55" s="152">
        <v>0</v>
      </c>
      <c r="W55" s="155">
        <v>0</v>
      </c>
      <c r="X55" s="154">
        <v>49</v>
      </c>
      <c r="Y55" s="154">
        <v>1979</v>
      </c>
      <c r="Z55" s="159">
        <v>2028</v>
      </c>
      <c r="AA55" s="152">
        <v>0</v>
      </c>
      <c r="AB55" s="155"/>
      <c r="AC55" s="154">
        <v>10</v>
      </c>
      <c r="AD55" s="154">
        <v>396</v>
      </c>
      <c r="AE55" s="159">
        <v>406</v>
      </c>
    </row>
    <row r="56" spans="1:33" ht="14.25" x14ac:dyDescent="0.45">
      <c r="A56" t="s">
        <v>203</v>
      </c>
      <c r="B56" t="s">
        <v>204</v>
      </c>
      <c r="C56" t="s">
        <v>205</v>
      </c>
      <c r="D56" t="s">
        <v>193</v>
      </c>
      <c r="E56" t="s">
        <v>206</v>
      </c>
      <c r="F56" s="163">
        <v>153755</v>
      </c>
      <c r="G56" s="163">
        <v>153755</v>
      </c>
      <c r="H56" s="158">
        <v>504240</v>
      </c>
      <c r="I56" s="158">
        <v>60464</v>
      </c>
      <c r="J56" s="162">
        <v>153755</v>
      </c>
      <c r="K56" s="154">
        <v>153755</v>
      </c>
      <c r="L56" s="163">
        <v>142420</v>
      </c>
      <c r="M56" s="158">
        <v>504240</v>
      </c>
      <c r="N56" s="154">
        <v>60464</v>
      </c>
      <c r="O56" s="162">
        <v>49022</v>
      </c>
      <c r="P56" s="154">
        <v>142420</v>
      </c>
      <c r="Q56" s="160">
        <v>0</v>
      </c>
      <c r="R56" s="154">
        <v>4</v>
      </c>
      <c r="S56" s="154">
        <v>5</v>
      </c>
      <c r="T56" s="155">
        <v>0</v>
      </c>
      <c r="U56" s="155">
        <v>0</v>
      </c>
      <c r="V56" s="164">
        <v>137706</v>
      </c>
      <c r="W56" s="158">
        <v>504240</v>
      </c>
      <c r="X56" s="154">
        <v>30232</v>
      </c>
      <c r="Y56" s="162">
        <v>9564</v>
      </c>
      <c r="Z56" s="159">
        <v>137706</v>
      </c>
      <c r="AA56" s="164">
        <v>137706</v>
      </c>
      <c r="AB56" s="158">
        <v>504240</v>
      </c>
      <c r="AC56" s="154">
        <v>30232</v>
      </c>
      <c r="AD56" s="162">
        <v>9564</v>
      </c>
      <c r="AE56" s="159">
        <v>137706</v>
      </c>
    </row>
    <row r="57" spans="1:33" ht="15" customHeight="1" x14ac:dyDescent="0.45">
      <c r="A57" t="s">
        <v>207</v>
      </c>
      <c r="B57" t="s">
        <v>204</v>
      </c>
      <c r="C57" t="s">
        <v>208</v>
      </c>
      <c r="D57" t="s">
        <v>196</v>
      </c>
      <c r="E57" t="s">
        <v>209</v>
      </c>
      <c r="F57" s="163">
        <v>494663</v>
      </c>
      <c r="G57" s="163">
        <v>494663</v>
      </c>
      <c r="H57" s="153">
        <v>0</v>
      </c>
      <c r="I57" s="158">
        <v>48072</v>
      </c>
      <c r="J57" s="162">
        <v>357932</v>
      </c>
      <c r="K57" s="154">
        <v>494663</v>
      </c>
      <c r="L57" s="163">
        <v>416154</v>
      </c>
      <c r="M57" s="153">
        <v>0</v>
      </c>
      <c r="N57" s="158">
        <v>48072</v>
      </c>
      <c r="O57" s="162">
        <v>319028</v>
      </c>
      <c r="P57" s="154">
        <v>416154</v>
      </c>
      <c r="Q57" s="160">
        <v>0</v>
      </c>
      <c r="R57" s="155">
        <v>0</v>
      </c>
      <c r="S57" s="154">
        <v>4</v>
      </c>
      <c r="T57" s="155">
        <v>0</v>
      </c>
      <c r="U57" s="155">
        <v>0</v>
      </c>
      <c r="V57" s="164">
        <v>366777</v>
      </c>
      <c r="W57" s="155">
        <v>0</v>
      </c>
      <c r="X57" s="154">
        <v>24649</v>
      </c>
      <c r="Y57" s="162">
        <v>181546</v>
      </c>
      <c r="Z57" s="159">
        <v>366777</v>
      </c>
      <c r="AA57" s="164">
        <v>366777</v>
      </c>
      <c r="AB57" s="155"/>
      <c r="AC57" s="154">
        <v>24650</v>
      </c>
      <c r="AD57" s="162">
        <v>181546</v>
      </c>
      <c r="AE57" s="159">
        <v>366777</v>
      </c>
    </row>
    <row r="58" spans="1:33" ht="15" customHeight="1" x14ac:dyDescent="0.45">
      <c r="A58" t="s">
        <v>214</v>
      </c>
      <c r="B58" t="s">
        <v>204</v>
      </c>
      <c r="C58" t="s">
        <v>349</v>
      </c>
      <c r="D58" t="s">
        <v>199</v>
      </c>
      <c r="E58" t="s">
        <v>210</v>
      </c>
      <c r="F58" s="163">
        <v>2845667</v>
      </c>
      <c r="G58" s="157">
        <v>0</v>
      </c>
      <c r="H58" s="153">
        <v>0</v>
      </c>
      <c r="I58" s="158">
        <v>225711</v>
      </c>
      <c r="J58" s="162">
        <v>1910493</v>
      </c>
      <c r="K58" s="154">
        <v>2136204</v>
      </c>
      <c r="L58" s="157">
        <v>0</v>
      </c>
      <c r="M58" s="153">
        <v>0</v>
      </c>
      <c r="N58" s="158">
        <v>225711</v>
      </c>
      <c r="O58" s="162">
        <v>1644534</v>
      </c>
      <c r="P58" s="154">
        <v>1870245</v>
      </c>
      <c r="Q58" s="160">
        <v>0</v>
      </c>
      <c r="R58" s="155">
        <v>0</v>
      </c>
      <c r="S58" s="154">
        <v>3</v>
      </c>
      <c r="T58" s="155">
        <v>0</v>
      </c>
      <c r="U58" s="155">
        <v>0</v>
      </c>
      <c r="V58" s="160">
        <v>0</v>
      </c>
      <c r="W58" s="155">
        <v>0</v>
      </c>
      <c r="X58" s="154">
        <v>59401</v>
      </c>
      <c r="Y58" s="162">
        <v>645630</v>
      </c>
      <c r="Z58" s="159">
        <v>705031</v>
      </c>
      <c r="AA58" s="160">
        <v>0</v>
      </c>
      <c r="AB58" s="153"/>
      <c r="AC58" s="154">
        <v>11880</v>
      </c>
      <c r="AD58" s="162">
        <v>551251</v>
      </c>
      <c r="AE58" s="159">
        <v>563131</v>
      </c>
    </row>
    <row r="59" spans="1:33" ht="15" customHeight="1" x14ac:dyDescent="0.45">
      <c r="A59" t="s">
        <v>141</v>
      </c>
      <c r="F59" s="8">
        <f>SUM(F8:F55)</f>
        <v>3537841</v>
      </c>
      <c r="G59" s="20">
        <f>SUM(G8:G55)</f>
        <v>666479</v>
      </c>
      <c r="H59" s="13">
        <f>SUBTOTAL(109,idp_total[idp_aff_sp2_joint])</f>
        <v>504240</v>
      </c>
      <c r="I59" s="13">
        <f>SUBTOTAL(109,idp_total[idp_aff_sp3_joint])</f>
        <v>335559</v>
      </c>
      <c r="J59" s="13">
        <f>SUM(J8:J55)</f>
        <v>2465936</v>
      </c>
      <c r="K59" s="13">
        <f>SUBTOTAL(109,idp_total[idp_aff_total_joint])</f>
        <v>2828378</v>
      </c>
      <c r="L59" s="140">
        <f>SUM(L8:L55)</f>
        <v>576635</v>
      </c>
      <c r="M59" s="14">
        <f>SUBTOTAL(109,idp_total[idp_pin_sp2_joint])</f>
        <v>504240</v>
      </c>
      <c r="N59" s="14">
        <f>SUBTOTAL(109,idp_total[idp_pin_sp3_joint])</f>
        <v>335559</v>
      </c>
      <c r="O59" s="14">
        <f>SUM(O8:O55)</f>
        <v>2056340</v>
      </c>
      <c r="P59" s="14">
        <f>SUBTOTAL(109,idp_total[idp_pin_total_joint])</f>
        <v>2472575</v>
      </c>
      <c r="Q59" s="59"/>
      <c r="R59" s="12"/>
      <c r="S59" s="12"/>
      <c r="T59" s="12"/>
      <c r="U59" s="11"/>
      <c r="V59" s="10">
        <f>SUM(V8:V55)</f>
        <v>513901</v>
      </c>
      <c r="W59" s="8">
        <f>SUBTOTAL(109,idp_total[idp_target_sp2_joint])</f>
        <v>504240</v>
      </c>
      <c r="X59" s="8">
        <f>SUBTOTAL(109,idp_total[idp_target_sp3_joint])</f>
        <v>114889</v>
      </c>
      <c r="Y59" s="8">
        <f>SUM(Y8:Y55)</f>
        <v>843010</v>
      </c>
      <c r="Z59" s="135">
        <f>SUBTOTAL(109,idp_total[idp_target_total_joint])</f>
        <v>1222467</v>
      </c>
      <c r="AA59" s="10">
        <f>SUM(AA8:AA55)</f>
        <v>513901</v>
      </c>
      <c r="AB59" s="8">
        <f>SUBTOTAL(109,idp_total[idp_targetPr_sp2_joint])</f>
        <v>504240</v>
      </c>
      <c r="AC59" s="8">
        <f>SUBTOTAL(109,idp_total[idp_targetPr_sp3_joint])</f>
        <v>67330</v>
      </c>
      <c r="AD59" s="8">
        <f>SUM(AD8:AD55)</f>
        <v>747048</v>
      </c>
      <c r="AE59" s="135">
        <f>SUBTOTAL(109,idp_total[idp_targetPr_total_joint])</f>
        <v>1078945</v>
      </c>
    </row>
    <row r="61" spans="1:33" ht="15" customHeight="1" x14ac:dyDescent="0.45">
      <c r="F61" s="378" t="s">
        <v>4267</v>
      </c>
      <c r="G61" s="378"/>
      <c r="H61" s="378"/>
      <c r="I61" s="378"/>
      <c r="J61" s="378"/>
      <c r="K61" s="378"/>
      <c r="L61" s="378"/>
      <c r="M61" s="378"/>
      <c r="N61" s="378"/>
      <c r="O61" s="378"/>
      <c r="P61" s="378"/>
      <c r="Q61" s="378"/>
      <c r="R61" s="378"/>
      <c r="S61" s="378"/>
      <c r="T61" s="378"/>
      <c r="U61" s="378"/>
      <c r="V61" s="378"/>
      <c r="W61" s="378"/>
      <c r="X61" s="378"/>
      <c r="Y61" s="378"/>
      <c r="Z61" s="378"/>
      <c r="AA61" s="378"/>
      <c r="AB61" s="378"/>
      <c r="AC61" s="378"/>
      <c r="AD61" s="378"/>
      <c r="AE61" s="378"/>
      <c r="AF61" s="378"/>
      <c r="AG61" s="378"/>
    </row>
  </sheetData>
  <mergeCells count="1">
    <mergeCell ref="F61:AG61"/>
  </mergeCells>
  <phoneticPr fontId="2"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D3-D40C-4E2D-A7E3-EA711D6A62D6}">
  <sheetPr codeName="Sheet11"/>
  <dimension ref="A1:AG61"/>
  <sheetViews>
    <sheetView showGridLines="0" zoomScaleNormal="100" workbookViewId="0">
      <pane xSplit="5" ySplit="7" topLeftCell="F8" activePane="bottomRight" state="frozen"/>
      <selection activeCell="F21" sqref="F21"/>
      <selection pane="topRight" activeCell="F21" sqref="F21"/>
      <selection pane="bottomLeft" activeCell="F21" sqref="F21"/>
      <selection pane="bottomRight"/>
    </sheetView>
  </sheetViews>
  <sheetFormatPr defaultRowHeight="15" customHeight="1" x14ac:dyDescent="0.45"/>
  <cols>
    <col min="1" max="1" width="19.53125" customWidth="1"/>
    <col min="2" max="2" width="12.1328125" customWidth="1"/>
    <col min="3" max="3" width="14.3984375" customWidth="1"/>
    <col min="4" max="4" width="11.53125" customWidth="1"/>
    <col min="5" max="5" width="14.1328125" customWidth="1"/>
    <col min="6" max="6" width="20.53125" customWidth="1"/>
    <col min="7" max="10" width="10.3984375" customWidth="1"/>
    <col min="11" max="11" width="13.1328125" customWidth="1"/>
    <col min="12" max="16" width="10.3984375" customWidth="1"/>
    <col min="17" max="17" width="12.1328125" customWidth="1"/>
    <col min="18" max="18" width="10.3984375" customWidth="1"/>
    <col min="19" max="23" width="9.86328125" customWidth="1"/>
    <col min="24" max="28" width="10.3984375" customWidth="1"/>
  </cols>
  <sheetData>
    <row r="1" spans="1:33" ht="15" customHeight="1" x14ac:dyDescent="0.45">
      <c r="A1" s="296" t="s">
        <v>730</v>
      </c>
    </row>
    <row r="2" spans="1:33" ht="19.899999999999999" x14ac:dyDescent="0.45">
      <c r="A2" s="297" t="s">
        <v>4280</v>
      </c>
    </row>
    <row r="3" spans="1:33" ht="14.25" x14ac:dyDescent="0.45">
      <c r="A3" s="5" t="str">
        <f>ActivityList!A3</f>
        <v>Release Date: 13 January 2026</v>
      </c>
      <c r="S3" s="143"/>
      <c r="T3" s="143"/>
      <c r="U3" s="143"/>
      <c r="V3" s="143"/>
      <c r="W3" s="143"/>
    </row>
    <row r="4" spans="1:33" ht="15.75" x14ac:dyDescent="0.5">
      <c r="G4" s="34"/>
      <c r="H4" s="34"/>
      <c r="I4" s="34"/>
      <c r="J4" s="34"/>
      <c r="K4" s="34"/>
      <c r="L4" s="34"/>
      <c r="M4" s="49" t="s">
        <v>154</v>
      </c>
      <c r="N4" s="49" t="s">
        <v>155</v>
      </c>
      <c r="O4" s="49" t="s">
        <v>156</v>
      </c>
      <c r="P4" s="49" t="s">
        <v>157</v>
      </c>
      <c r="Q4" s="49" t="s">
        <v>382</v>
      </c>
      <c r="R4" s="49" t="s">
        <v>158</v>
      </c>
    </row>
    <row r="5" spans="1:33" ht="16.25" customHeight="1" x14ac:dyDescent="0.45">
      <c r="A5" s="2" t="s">
        <v>159</v>
      </c>
      <c r="B5" s="2"/>
      <c r="C5" s="2" t="s">
        <v>160</v>
      </c>
      <c r="D5" s="2"/>
      <c r="E5" s="2"/>
      <c r="F5" s="165" t="s">
        <v>369</v>
      </c>
      <c r="G5" s="37" t="s">
        <v>383</v>
      </c>
      <c r="H5" s="38"/>
      <c r="I5" s="38"/>
      <c r="J5" s="38"/>
      <c r="K5" s="38"/>
      <c r="L5" s="39"/>
      <c r="M5" s="43" t="s">
        <v>224</v>
      </c>
      <c r="N5" s="43"/>
      <c r="O5" s="43"/>
      <c r="P5" s="43"/>
      <c r="Q5" s="43"/>
      <c r="R5" s="43"/>
      <c r="S5" s="35" t="s">
        <v>225</v>
      </c>
      <c r="T5" s="35"/>
      <c r="U5" s="35"/>
      <c r="V5" s="35"/>
      <c r="W5" s="35"/>
      <c r="X5" s="67" t="s">
        <v>226</v>
      </c>
      <c r="Y5" s="67"/>
      <c r="Z5" s="67"/>
      <c r="AA5" s="67"/>
      <c r="AB5" s="67"/>
      <c r="AC5" s="189" t="s">
        <v>4035</v>
      </c>
      <c r="AD5" s="189"/>
      <c r="AE5" s="189"/>
      <c r="AF5" s="189"/>
      <c r="AG5" s="189"/>
    </row>
    <row r="6" spans="1:33" s="80" customFormat="1" ht="16.8" customHeight="1" x14ac:dyDescent="0.45">
      <c r="A6" s="146" t="s">
        <v>161</v>
      </c>
      <c r="B6" s="146" t="s">
        <v>162</v>
      </c>
      <c r="C6" s="146" t="s">
        <v>163</v>
      </c>
      <c r="D6" s="146" t="s">
        <v>4252</v>
      </c>
      <c r="E6" s="146" t="s">
        <v>138</v>
      </c>
      <c r="F6" s="166" t="s">
        <v>4254</v>
      </c>
      <c r="G6" s="147" t="s">
        <v>31</v>
      </c>
      <c r="H6" s="148" t="s">
        <v>36</v>
      </c>
      <c r="I6" s="148" t="s">
        <v>37</v>
      </c>
      <c r="J6" s="148" t="s">
        <v>38</v>
      </c>
      <c r="K6" s="148" t="s">
        <v>164</v>
      </c>
      <c r="L6" s="149" t="s">
        <v>11</v>
      </c>
      <c r="M6" s="69" t="s">
        <v>31</v>
      </c>
      <c r="N6" s="69" t="s">
        <v>36</v>
      </c>
      <c r="O6" s="69" t="s">
        <v>37</v>
      </c>
      <c r="P6" s="69" t="s">
        <v>38</v>
      </c>
      <c r="Q6" s="69" t="s">
        <v>164</v>
      </c>
      <c r="R6" s="69" t="s">
        <v>11</v>
      </c>
      <c r="S6" s="150" t="s">
        <v>31</v>
      </c>
      <c r="T6" s="150" t="s">
        <v>36</v>
      </c>
      <c r="U6" s="150" t="s">
        <v>37</v>
      </c>
      <c r="V6" s="150" t="s">
        <v>38</v>
      </c>
      <c r="W6" s="150" t="s">
        <v>11</v>
      </c>
      <c r="X6" s="151" t="s">
        <v>31</v>
      </c>
      <c r="Y6" s="151" t="s">
        <v>36</v>
      </c>
      <c r="Z6" s="151" t="s">
        <v>37</v>
      </c>
      <c r="AA6" s="151" t="s">
        <v>38</v>
      </c>
      <c r="AB6" s="151" t="s">
        <v>11</v>
      </c>
      <c r="AC6" s="261" t="s">
        <v>31</v>
      </c>
      <c r="AD6" s="261" t="s">
        <v>36</v>
      </c>
      <c r="AE6" s="261" t="s">
        <v>37</v>
      </c>
      <c r="AF6" s="261" t="s">
        <v>38</v>
      </c>
      <c r="AG6" s="261" t="s">
        <v>11</v>
      </c>
    </row>
    <row r="7" spans="1:33" ht="14.25" x14ac:dyDescent="0.45">
      <c r="A7" s="3" t="s">
        <v>165</v>
      </c>
      <c r="B7" s="3" t="s">
        <v>166</v>
      </c>
      <c r="C7" s="3" t="s">
        <v>167</v>
      </c>
      <c r="D7" s="3" t="s">
        <v>168</v>
      </c>
      <c r="E7" s="3" t="s">
        <v>169</v>
      </c>
      <c r="F7" s="25" t="s">
        <v>384</v>
      </c>
      <c r="G7" s="15" t="s">
        <v>385</v>
      </c>
      <c r="H7" s="16" t="s">
        <v>386</v>
      </c>
      <c r="I7" s="128" t="s">
        <v>387</v>
      </c>
      <c r="J7" s="128" t="s">
        <v>388</v>
      </c>
      <c r="K7" s="128" t="s">
        <v>389</v>
      </c>
      <c r="L7" s="128" t="s">
        <v>390</v>
      </c>
      <c r="M7" s="15" t="s">
        <v>180</v>
      </c>
      <c r="N7" s="45" t="s">
        <v>181</v>
      </c>
      <c r="O7" s="45" t="s">
        <v>182</v>
      </c>
      <c r="P7" s="45" t="s">
        <v>183</v>
      </c>
      <c r="Q7" s="45" t="s">
        <v>184</v>
      </c>
      <c r="R7" s="45" t="s">
        <v>185</v>
      </c>
      <c r="S7" s="47" t="s">
        <v>186</v>
      </c>
      <c r="T7" s="4" t="s">
        <v>187</v>
      </c>
      <c r="U7" s="4" t="s">
        <v>188</v>
      </c>
      <c r="V7" s="4" t="s">
        <v>189</v>
      </c>
      <c r="W7" s="7" t="s">
        <v>190</v>
      </c>
      <c r="X7" s="139" t="s">
        <v>391</v>
      </c>
      <c r="Y7" s="53" t="s">
        <v>392</v>
      </c>
      <c r="Z7" s="53" t="s">
        <v>393</v>
      </c>
      <c r="AA7" s="53" t="s">
        <v>394</v>
      </c>
      <c r="AB7" s="144" t="s">
        <v>395</v>
      </c>
      <c r="AC7" s="139" t="s">
        <v>4131</v>
      </c>
      <c r="AD7" s="53" t="s">
        <v>4132</v>
      </c>
      <c r="AE7" s="53" t="s">
        <v>4133</v>
      </c>
      <c r="AF7" s="53" t="s">
        <v>4134</v>
      </c>
      <c r="AG7" s="144" t="s">
        <v>4135</v>
      </c>
    </row>
    <row r="8" spans="1:33" ht="14.25" x14ac:dyDescent="0.45">
      <c r="A8" t="s">
        <v>243</v>
      </c>
      <c r="B8" t="s">
        <v>244</v>
      </c>
      <c r="C8" t="s">
        <v>245</v>
      </c>
      <c r="D8" t="s">
        <v>199</v>
      </c>
      <c r="E8" t="s">
        <v>246</v>
      </c>
      <c r="F8" s="8">
        <v>1222241</v>
      </c>
      <c r="G8" s="152">
        <v>0</v>
      </c>
      <c r="H8" s="153">
        <v>0</v>
      </c>
      <c r="I8" s="153">
        <v>0</v>
      </c>
      <c r="J8" s="153">
        <v>0</v>
      </c>
      <c r="K8" s="155">
        <v>0</v>
      </c>
      <c r="L8" s="153">
        <v>0</v>
      </c>
      <c r="M8" s="152">
        <v>0</v>
      </c>
      <c r="N8" s="153">
        <v>0</v>
      </c>
      <c r="O8" s="153">
        <v>0</v>
      </c>
      <c r="P8" s="153">
        <v>0</v>
      </c>
      <c r="Q8" s="155">
        <v>0</v>
      </c>
      <c r="R8" s="153">
        <v>0</v>
      </c>
      <c r="S8" s="156">
        <v>0</v>
      </c>
      <c r="T8" s="154" t="s">
        <v>4335</v>
      </c>
      <c r="U8" s="154">
        <v>3</v>
      </c>
      <c r="V8" s="154">
        <v>0</v>
      </c>
      <c r="W8" s="154">
        <v>3</v>
      </c>
      <c r="X8" s="152">
        <v>0</v>
      </c>
      <c r="Y8" s="155">
        <v>0</v>
      </c>
      <c r="Z8" s="155">
        <v>0</v>
      </c>
      <c r="AA8" s="153">
        <v>0</v>
      </c>
      <c r="AB8" s="161">
        <v>0</v>
      </c>
      <c r="AC8" s="152">
        <v>0</v>
      </c>
      <c r="AD8" s="155"/>
      <c r="AE8" s="155"/>
      <c r="AF8" s="153">
        <v>0</v>
      </c>
      <c r="AG8" s="161"/>
    </row>
    <row r="9" spans="1:33" ht="14.25" x14ac:dyDescent="0.45">
      <c r="A9" t="s">
        <v>247</v>
      </c>
      <c r="B9" t="s">
        <v>248</v>
      </c>
      <c r="C9" t="s">
        <v>245</v>
      </c>
      <c r="D9" t="s">
        <v>199</v>
      </c>
      <c r="E9" t="s">
        <v>249</v>
      </c>
      <c r="F9" s="8">
        <v>870618</v>
      </c>
      <c r="G9" s="152">
        <v>0</v>
      </c>
      <c r="H9" s="153">
        <v>0</v>
      </c>
      <c r="I9" s="153">
        <v>0</v>
      </c>
      <c r="J9" s="153">
        <v>0</v>
      </c>
      <c r="K9" s="155">
        <v>0</v>
      </c>
      <c r="L9" s="153">
        <v>0</v>
      </c>
      <c r="M9" s="152">
        <v>0</v>
      </c>
      <c r="N9" s="153">
        <v>0</v>
      </c>
      <c r="O9" s="153">
        <v>0</v>
      </c>
      <c r="P9" s="153">
        <v>0</v>
      </c>
      <c r="Q9" s="155">
        <v>0</v>
      </c>
      <c r="R9" s="153">
        <v>0</v>
      </c>
      <c r="S9" s="156">
        <v>0</v>
      </c>
      <c r="T9" s="154" t="s">
        <v>4335</v>
      </c>
      <c r="U9" s="154">
        <v>3</v>
      </c>
      <c r="V9" s="154">
        <v>0</v>
      </c>
      <c r="W9" s="154">
        <v>3</v>
      </c>
      <c r="X9" s="152">
        <v>0</v>
      </c>
      <c r="Y9" s="155">
        <v>0</v>
      </c>
      <c r="Z9" s="155">
        <v>0</v>
      </c>
      <c r="AA9" s="153">
        <v>0</v>
      </c>
      <c r="AB9" s="161">
        <v>0</v>
      </c>
      <c r="AC9" s="152">
        <v>0</v>
      </c>
      <c r="AD9" s="155"/>
      <c r="AE9" s="155"/>
      <c r="AF9" s="153">
        <v>0</v>
      </c>
      <c r="AG9" s="161"/>
    </row>
    <row r="10" spans="1:33" ht="14.25" x14ac:dyDescent="0.45">
      <c r="A10" t="s">
        <v>250</v>
      </c>
      <c r="B10" t="s">
        <v>251</v>
      </c>
      <c r="C10" t="s">
        <v>252</v>
      </c>
      <c r="D10" t="s">
        <v>193</v>
      </c>
      <c r="E10" t="s">
        <v>253</v>
      </c>
      <c r="F10" s="8">
        <v>204922</v>
      </c>
      <c r="G10" s="152">
        <v>204922</v>
      </c>
      <c r="H10" s="153">
        <v>0</v>
      </c>
      <c r="I10" s="153">
        <v>0</v>
      </c>
      <c r="J10" s="154">
        <v>204922</v>
      </c>
      <c r="K10" s="155">
        <v>0</v>
      </c>
      <c r="L10" s="153">
        <v>0</v>
      </c>
      <c r="M10" s="152">
        <v>189159</v>
      </c>
      <c r="N10" s="153">
        <v>0</v>
      </c>
      <c r="O10" s="153">
        <v>0</v>
      </c>
      <c r="P10" s="154">
        <v>80411</v>
      </c>
      <c r="Q10" s="155">
        <v>0</v>
      </c>
      <c r="R10" s="153">
        <v>0</v>
      </c>
      <c r="S10" s="156">
        <v>5</v>
      </c>
      <c r="T10" s="154" t="s">
        <v>4335</v>
      </c>
      <c r="U10" s="154">
        <v>5</v>
      </c>
      <c r="V10" s="154">
        <v>5</v>
      </c>
      <c r="W10" s="154">
        <v>5</v>
      </c>
      <c r="X10" s="152">
        <v>189159</v>
      </c>
      <c r="Y10" s="155">
        <v>0</v>
      </c>
      <c r="Z10" s="155">
        <v>0</v>
      </c>
      <c r="AA10" s="154">
        <v>38291</v>
      </c>
      <c r="AB10" s="161">
        <v>0</v>
      </c>
      <c r="AC10" s="152">
        <v>189159</v>
      </c>
      <c r="AD10" s="155"/>
      <c r="AE10" s="155"/>
      <c r="AF10" s="154">
        <v>38291</v>
      </c>
      <c r="AG10" s="161"/>
    </row>
    <row r="11" spans="1:33" ht="14.25" x14ac:dyDescent="0.45">
      <c r="A11" t="s">
        <v>250</v>
      </c>
      <c r="B11" t="s">
        <v>251</v>
      </c>
      <c r="C11" t="s">
        <v>254</v>
      </c>
      <c r="D11" t="s">
        <v>196</v>
      </c>
      <c r="E11" t="s">
        <v>255</v>
      </c>
      <c r="F11" s="8">
        <v>127043</v>
      </c>
      <c r="G11" s="152">
        <v>61335.748157433001</v>
      </c>
      <c r="H11" s="153">
        <v>0</v>
      </c>
      <c r="I11" s="153">
        <v>0</v>
      </c>
      <c r="J11" s="154">
        <v>61336</v>
      </c>
      <c r="K11" s="155">
        <v>0</v>
      </c>
      <c r="L11" s="153">
        <v>0</v>
      </c>
      <c r="M11" s="152">
        <v>49977</v>
      </c>
      <c r="N11" s="153">
        <v>0</v>
      </c>
      <c r="O11" s="153">
        <v>0</v>
      </c>
      <c r="P11" s="154">
        <v>22556</v>
      </c>
      <c r="Q11" s="155">
        <v>0</v>
      </c>
      <c r="R11" s="153">
        <v>0</v>
      </c>
      <c r="S11" s="156">
        <v>4</v>
      </c>
      <c r="T11" s="154" t="s">
        <v>4335</v>
      </c>
      <c r="U11" s="154">
        <v>4</v>
      </c>
      <c r="V11" s="154">
        <v>4</v>
      </c>
      <c r="W11" s="154">
        <v>4</v>
      </c>
      <c r="X11" s="152">
        <v>49977</v>
      </c>
      <c r="Y11" s="155">
        <v>0</v>
      </c>
      <c r="Z11" s="155">
        <v>0</v>
      </c>
      <c r="AA11" s="154">
        <v>22556</v>
      </c>
      <c r="AB11" s="161">
        <v>0</v>
      </c>
      <c r="AC11" s="152">
        <v>49977</v>
      </c>
      <c r="AD11" s="155"/>
      <c r="AE11" s="155"/>
      <c r="AF11" s="154">
        <v>22556</v>
      </c>
      <c r="AG11" s="161"/>
    </row>
    <row r="12" spans="1:33" ht="14.25" x14ac:dyDescent="0.45">
      <c r="A12" t="s">
        <v>250</v>
      </c>
      <c r="B12" t="s">
        <v>251</v>
      </c>
      <c r="C12" t="s">
        <v>256</v>
      </c>
      <c r="D12" t="s">
        <v>199</v>
      </c>
      <c r="E12" t="s">
        <v>257</v>
      </c>
      <c r="F12" s="8">
        <v>2329387</v>
      </c>
      <c r="G12" s="152">
        <v>0</v>
      </c>
      <c r="H12" s="153">
        <v>0</v>
      </c>
      <c r="I12" s="153">
        <v>0</v>
      </c>
      <c r="J12" s="153">
        <v>0</v>
      </c>
      <c r="K12" s="155">
        <v>0</v>
      </c>
      <c r="L12" s="153">
        <v>0</v>
      </c>
      <c r="M12" s="152">
        <v>0</v>
      </c>
      <c r="N12" s="153">
        <v>0</v>
      </c>
      <c r="O12" s="153">
        <v>0</v>
      </c>
      <c r="P12" s="153">
        <v>0</v>
      </c>
      <c r="Q12" s="155">
        <v>0</v>
      </c>
      <c r="R12" s="153">
        <v>0</v>
      </c>
      <c r="S12" s="156">
        <v>0</v>
      </c>
      <c r="T12" s="154" t="s">
        <v>4335</v>
      </c>
      <c r="U12" s="154">
        <v>3</v>
      </c>
      <c r="V12" s="154">
        <v>0</v>
      </c>
      <c r="W12" s="154">
        <v>3</v>
      </c>
      <c r="X12" s="152">
        <v>0</v>
      </c>
      <c r="Y12" s="155">
        <v>0</v>
      </c>
      <c r="Z12" s="155">
        <v>0</v>
      </c>
      <c r="AA12" s="153">
        <v>0</v>
      </c>
      <c r="AB12" s="161">
        <v>0</v>
      </c>
      <c r="AC12" s="152">
        <v>0</v>
      </c>
      <c r="AD12" s="155"/>
      <c r="AE12" s="155"/>
      <c r="AF12" s="153">
        <v>0</v>
      </c>
      <c r="AG12" s="161"/>
    </row>
    <row r="13" spans="1:33" ht="14.25" x14ac:dyDescent="0.45">
      <c r="A13" t="s">
        <v>258</v>
      </c>
      <c r="B13" t="s">
        <v>259</v>
      </c>
      <c r="C13" t="s">
        <v>252</v>
      </c>
      <c r="D13" t="s">
        <v>193</v>
      </c>
      <c r="E13" t="s">
        <v>260</v>
      </c>
      <c r="F13" s="8">
        <v>152005</v>
      </c>
      <c r="G13" s="152">
        <v>152005</v>
      </c>
      <c r="H13" s="153">
        <v>0</v>
      </c>
      <c r="I13" s="153">
        <v>0</v>
      </c>
      <c r="J13" s="154">
        <v>152005</v>
      </c>
      <c r="K13" s="155">
        <v>0</v>
      </c>
      <c r="L13" s="153">
        <v>0</v>
      </c>
      <c r="M13" s="152">
        <v>141400</v>
      </c>
      <c r="N13" s="153">
        <v>0</v>
      </c>
      <c r="O13" s="153">
        <v>0</v>
      </c>
      <c r="P13" s="154">
        <v>66756</v>
      </c>
      <c r="Q13" s="155">
        <v>0</v>
      </c>
      <c r="R13" s="153">
        <v>0</v>
      </c>
      <c r="S13" s="156">
        <v>5</v>
      </c>
      <c r="T13" s="154" t="s">
        <v>4335</v>
      </c>
      <c r="U13" s="154">
        <v>5</v>
      </c>
      <c r="V13" s="154">
        <v>5</v>
      </c>
      <c r="W13" s="154">
        <v>5</v>
      </c>
      <c r="X13" s="152">
        <v>141400</v>
      </c>
      <c r="Y13" s="155">
        <v>0</v>
      </c>
      <c r="Z13" s="155">
        <v>0</v>
      </c>
      <c r="AA13" s="154">
        <v>30344</v>
      </c>
      <c r="AB13" s="161">
        <v>0</v>
      </c>
      <c r="AC13" s="152">
        <v>141400</v>
      </c>
      <c r="AD13" s="155"/>
      <c r="AE13" s="155"/>
      <c r="AF13" s="154">
        <v>30344</v>
      </c>
      <c r="AG13" s="161"/>
    </row>
    <row r="14" spans="1:33" ht="14.25" x14ac:dyDescent="0.45">
      <c r="A14" t="s">
        <v>258</v>
      </c>
      <c r="B14" t="s">
        <v>259</v>
      </c>
      <c r="C14" t="s">
        <v>254</v>
      </c>
      <c r="D14" t="s">
        <v>196</v>
      </c>
      <c r="E14" t="s">
        <v>261</v>
      </c>
      <c r="F14" s="8">
        <v>50984</v>
      </c>
      <c r="G14" s="152">
        <v>35228.320498224006</v>
      </c>
      <c r="H14" s="153">
        <v>0</v>
      </c>
      <c r="I14" s="153">
        <v>0</v>
      </c>
      <c r="J14" s="154">
        <v>35228</v>
      </c>
      <c r="K14" s="155">
        <v>0</v>
      </c>
      <c r="L14" s="153">
        <v>0</v>
      </c>
      <c r="M14" s="152">
        <v>28591</v>
      </c>
      <c r="N14" s="153">
        <v>0</v>
      </c>
      <c r="O14" s="153">
        <v>0</v>
      </c>
      <c r="P14" s="154">
        <v>10783</v>
      </c>
      <c r="Q14" s="155">
        <v>0</v>
      </c>
      <c r="R14" s="153">
        <v>0</v>
      </c>
      <c r="S14" s="156">
        <v>5</v>
      </c>
      <c r="T14" s="154" t="s">
        <v>4335</v>
      </c>
      <c r="U14" s="154">
        <v>4</v>
      </c>
      <c r="V14" s="154">
        <v>5</v>
      </c>
      <c r="W14" s="154">
        <v>5</v>
      </c>
      <c r="X14" s="152">
        <v>28591</v>
      </c>
      <c r="Y14" s="155">
        <v>0</v>
      </c>
      <c r="Z14" s="155">
        <v>0</v>
      </c>
      <c r="AA14" s="154">
        <v>10783</v>
      </c>
      <c r="AB14" s="161">
        <v>0</v>
      </c>
      <c r="AC14" s="152">
        <v>28591</v>
      </c>
      <c r="AD14" s="155"/>
      <c r="AE14" s="155"/>
      <c r="AF14" s="154">
        <v>10783</v>
      </c>
      <c r="AG14" s="161"/>
    </row>
    <row r="15" spans="1:33" ht="14.25" x14ac:dyDescent="0.45">
      <c r="A15" t="s">
        <v>262</v>
      </c>
      <c r="B15" t="s">
        <v>263</v>
      </c>
      <c r="C15" t="s">
        <v>245</v>
      </c>
      <c r="D15" t="s">
        <v>199</v>
      </c>
      <c r="E15" t="s">
        <v>264</v>
      </c>
      <c r="F15" s="8">
        <v>1000709</v>
      </c>
      <c r="G15" s="152">
        <v>0</v>
      </c>
      <c r="H15" s="153">
        <v>0</v>
      </c>
      <c r="I15" s="153">
        <v>0</v>
      </c>
      <c r="J15" s="153">
        <v>0</v>
      </c>
      <c r="K15" s="155">
        <v>0</v>
      </c>
      <c r="L15" s="153">
        <v>0</v>
      </c>
      <c r="M15" s="152">
        <v>0</v>
      </c>
      <c r="N15" s="153">
        <v>0</v>
      </c>
      <c r="O15" s="153">
        <v>0</v>
      </c>
      <c r="P15" s="153">
        <v>0</v>
      </c>
      <c r="Q15" s="155">
        <v>0</v>
      </c>
      <c r="R15" s="153">
        <v>0</v>
      </c>
      <c r="S15" s="156">
        <v>0</v>
      </c>
      <c r="T15" s="154" t="s">
        <v>4335</v>
      </c>
      <c r="U15" s="154">
        <v>3</v>
      </c>
      <c r="V15" s="154">
        <v>0</v>
      </c>
      <c r="W15" s="154">
        <v>3</v>
      </c>
      <c r="X15" s="152">
        <v>0</v>
      </c>
      <c r="Y15" s="155">
        <v>0</v>
      </c>
      <c r="Z15" s="155">
        <v>0</v>
      </c>
      <c r="AA15" s="153">
        <v>0</v>
      </c>
      <c r="AB15" s="161">
        <v>0</v>
      </c>
      <c r="AC15" s="152">
        <v>0</v>
      </c>
      <c r="AD15" s="155"/>
      <c r="AE15" s="155"/>
      <c r="AF15" s="153">
        <v>0</v>
      </c>
      <c r="AG15" s="161"/>
    </row>
    <row r="16" spans="1:33" ht="14.25" x14ac:dyDescent="0.45">
      <c r="A16" t="s">
        <v>265</v>
      </c>
      <c r="B16" t="s">
        <v>266</v>
      </c>
      <c r="C16" t="s">
        <v>245</v>
      </c>
      <c r="D16" t="s">
        <v>199</v>
      </c>
      <c r="E16" t="s">
        <v>267</v>
      </c>
      <c r="F16" s="8">
        <v>756167</v>
      </c>
      <c r="G16" s="152">
        <v>0</v>
      </c>
      <c r="H16" s="153">
        <v>0</v>
      </c>
      <c r="I16" s="153">
        <v>0</v>
      </c>
      <c r="J16" s="153">
        <v>0</v>
      </c>
      <c r="K16" s="155">
        <v>0</v>
      </c>
      <c r="L16" s="153">
        <v>0</v>
      </c>
      <c r="M16" s="152">
        <v>0</v>
      </c>
      <c r="N16" s="153">
        <v>0</v>
      </c>
      <c r="O16" s="153">
        <v>0</v>
      </c>
      <c r="P16" s="153">
        <v>0</v>
      </c>
      <c r="Q16" s="155">
        <v>0</v>
      </c>
      <c r="R16" s="153">
        <v>0</v>
      </c>
      <c r="S16" s="156">
        <v>0</v>
      </c>
      <c r="T16" s="154" t="s">
        <v>4335</v>
      </c>
      <c r="U16" s="154">
        <v>3</v>
      </c>
      <c r="V16" s="154">
        <v>0</v>
      </c>
      <c r="W16" s="154">
        <v>3</v>
      </c>
      <c r="X16" s="152">
        <v>0</v>
      </c>
      <c r="Y16" s="155">
        <v>0</v>
      </c>
      <c r="Z16" s="155">
        <v>0</v>
      </c>
      <c r="AA16" s="153">
        <v>0</v>
      </c>
      <c r="AB16" s="161">
        <v>0</v>
      </c>
      <c r="AC16" s="152">
        <v>0</v>
      </c>
      <c r="AD16" s="155"/>
      <c r="AE16" s="155"/>
      <c r="AF16" s="153">
        <v>0</v>
      </c>
      <c r="AG16" s="161"/>
    </row>
    <row r="17" spans="1:33" ht="14.25" x14ac:dyDescent="0.45">
      <c r="A17" t="s">
        <v>268</v>
      </c>
      <c r="B17" t="s">
        <v>269</v>
      </c>
      <c r="C17" t="s">
        <v>252</v>
      </c>
      <c r="D17" t="s">
        <v>193</v>
      </c>
      <c r="E17" t="s">
        <v>270</v>
      </c>
      <c r="F17" s="8">
        <v>50450</v>
      </c>
      <c r="G17" s="152">
        <v>50450</v>
      </c>
      <c r="H17" s="153">
        <v>0</v>
      </c>
      <c r="I17" s="153">
        <v>0</v>
      </c>
      <c r="J17" s="154">
        <v>50450</v>
      </c>
      <c r="K17" s="155">
        <v>0</v>
      </c>
      <c r="L17" s="153">
        <v>0</v>
      </c>
      <c r="M17" s="152">
        <v>50450</v>
      </c>
      <c r="N17" s="153">
        <v>0</v>
      </c>
      <c r="O17" s="153">
        <v>0</v>
      </c>
      <c r="P17" s="154">
        <v>21919</v>
      </c>
      <c r="Q17" s="155">
        <v>0</v>
      </c>
      <c r="R17" s="153">
        <v>0</v>
      </c>
      <c r="S17" s="156">
        <v>5</v>
      </c>
      <c r="T17" s="154" t="s">
        <v>4335</v>
      </c>
      <c r="U17" s="154">
        <v>5</v>
      </c>
      <c r="V17" s="154">
        <v>5</v>
      </c>
      <c r="W17" s="154">
        <v>5</v>
      </c>
      <c r="X17" s="152">
        <v>50450</v>
      </c>
      <c r="Y17" s="155">
        <v>0</v>
      </c>
      <c r="Z17" s="155">
        <v>0</v>
      </c>
      <c r="AA17" s="154">
        <v>10438</v>
      </c>
      <c r="AB17" s="161">
        <v>0</v>
      </c>
      <c r="AC17" s="152">
        <v>50450</v>
      </c>
      <c r="AD17" s="155"/>
      <c r="AE17" s="155"/>
      <c r="AF17" s="154">
        <v>10438</v>
      </c>
      <c r="AG17" s="161"/>
    </row>
    <row r="18" spans="1:33" ht="14.25" x14ac:dyDescent="0.45">
      <c r="A18" t="s">
        <v>268</v>
      </c>
      <c r="B18" t="s">
        <v>269</v>
      </c>
      <c r="C18" t="s">
        <v>271</v>
      </c>
      <c r="D18" t="s">
        <v>196</v>
      </c>
      <c r="E18" t="s">
        <v>272</v>
      </c>
      <c r="F18" s="8">
        <v>50550</v>
      </c>
      <c r="G18" s="152">
        <v>20057.226344045768</v>
      </c>
      <c r="H18" s="153">
        <v>0</v>
      </c>
      <c r="I18" s="153">
        <v>0</v>
      </c>
      <c r="J18" s="154">
        <v>20057</v>
      </c>
      <c r="K18" s="155">
        <v>0</v>
      </c>
      <c r="L18" s="153">
        <v>0</v>
      </c>
      <c r="M18" s="152">
        <v>18052</v>
      </c>
      <c r="N18" s="153">
        <v>0</v>
      </c>
      <c r="O18" s="153">
        <v>0</v>
      </c>
      <c r="P18" s="154">
        <v>6238</v>
      </c>
      <c r="Q18" s="155">
        <v>0</v>
      </c>
      <c r="R18" s="153">
        <v>0</v>
      </c>
      <c r="S18" s="156">
        <v>4</v>
      </c>
      <c r="T18" s="154" t="s">
        <v>4335</v>
      </c>
      <c r="U18" s="154">
        <v>4</v>
      </c>
      <c r="V18" s="154">
        <v>4</v>
      </c>
      <c r="W18" s="154">
        <v>4</v>
      </c>
      <c r="X18" s="152">
        <v>12034</v>
      </c>
      <c r="Y18" s="155">
        <v>0</v>
      </c>
      <c r="Z18" s="155">
        <v>0</v>
      </c>
      <c r="AA18" s="154">
        <v>6238</v>
      </c>
      <c r="AB18" s="161">
        <v>0</v>
      </c>
      <c r="AC18" s="152">
        <v>12034</v>
      </c>
      <c r="AD18" s="155"/>
      <c r="AE18" s="155"/>
      <c r="AF18" s="154">
        <v>6238</v>
      </c>
      <c r="AG18" s="161"/>
    </row>
    <row r="19" spans="1:33" ht="14.25" x14ac:dyDescent="0.45">
      <c r="A19" t="s">
        <v>268</v>
      </c>
      <c r="B19" t="s">
        <v>269</v>
      </c>
      <c r="C19" t="s">
        <v>256</v>
      </c>
      <c r="D19" t="s">
        <v>199</v>
      </c>
      <c r="E19" t="s">
        <v>273</v>
      </c>
      <c r="F19" s="8">
        <v>3062</v>
      </c>
      <c r="G19" s="152">
        <v>0</v>
      </c>
      <c r="H19" s="153">
        <v>0</v>
      </c>
      <c r="I19" s="153">
        <v>0</v>
      </c>
      <c r="J19" s="153">
        <v>0</v>
      </c>
      <c r="K19" s="155">
        <v>0</v>
      </c>
      <c r="L19" s="153">
        <v>0</v>
      </c>
      <c r="M19" s="152">
        <v>0</v>
      </c>
      <c r="N19" s="153">
        <v>0</v>
      </c>
      <c r="O19" s="153">
        <v>0</v>
      </c>
      <c r="P19" s="153">
        <v>0</v>
      </c>
      <c r="Q19" s="155">
        <v>0</v>
      </c>
      <c r="R19" s="153">
        <v>0</v>
      </c>
      <c r="S19" s="156">
        <v>0</v>
      </c>
      <c r="T19" s="154" t="s">
        <v>4335</v>
      </c>
      <c r="U19" s="154">
        <v>3</v>
      </c>
      <c r="V19" s="154">
        <v>0</v>
      </c>
      <c r="W19" s="154">
        <v>3</v>
      </c>
      <c r="X19" s="152">
        <v>0</v>
      </c>
      <c r="Y19" s="155">
        <v>0</v>
      </c>
      <c r="Z19" s="155">
        <v>0</v>
      </c>
      <c r="AA19" s="153">
        <v>0</v>
      </c>
      <c r="AB19" s="161">
        <v>0</v>
      </c>
      <c r="AC19" s="152">
        <v>0</v>
      </c>
      <c r="AD19" s="155"/>
      <c r="AE19" s="155"/>
      <c r="AF19" s="153">
        <v>0</v>
      </c>
      <c r="AG19" s="161"/>
    </row>
    <row r="20" spans="1:33" ht="14.25" x14ac:dyDescent="0.45">
      <c r="A20" t="s">
        <v>268</v>
      </c>
      <c r="B20" t="s">
        <v>269</v>
      </c>
      <c r="C20" t="s">
        <v>274</v>
      </c>
      <c r="D20" t="s">
        <v>196</v>
      </c>
      <c r="E20" t="s">
        <v>275</v>
      </c>
      <c r="F20" s="8">
        <v>530948</v>
      </c>
      <c r="G20" s="152">
        <v>246952.55813953432</v>
      </c>
      <c r="H20" s="153">
        <v>0</v>
      </c>
      <c r="I20" s="153">
        <v>0</v>
      </c>
      <c r="J20" s="154">
        <v>246953</v>
      </c>
      <c r="K20" s="155">
        <v>0</v>
      </c>
      <c r="L20" s="153">
        <v>0</v>
      </c>
      <c r="M20" s="152">
        <v>235466</v>
      </c>
      <c r="N20" s="153">
        <v>0</v>
      </c>
      <c r="O20" s="153">
        <v>0</v>
      </c>
      <c r="P20" s="154">
        <v>77417</v>
      </c>
      <c r="Q20" s="155">
        <v>0</v>
      </c>
      <c r="R20" s="153">
        <v>0</v>
      </c>
      <c r="S20" s="156">
        <v>4</v>
      </c>
      <c r="T20" s="154" t="s">
        <v>4335</v>
      </c>
      <c r="U20" s="154">
        <v>4</v>
      </c>
      <c r="V20" s="154">
        <v>4</v>
      </c>
      <c r="W20" s="154">
        <v>4</v>
      </c>
      <c r="X20" s="152">
        <v>145702</v>
      </c>
      <c r="Y20" s="155">
        <v>0</v>
      </c>
      <c r="Z20" s="155">
        <v>0</v>
      </c>
      <c r="AA20" s="154">
        <v>15483</v>
      </c>
      <c r="AB20" s="161">
        <v>0</v>
      </c>
      <c r="AC20" s="152">
        <v>145702</v>
      </c>
      <c r="AD20" s="155"/>
      <c r="AE20" s="155"/>
      <c r="AF20" s="154">
        <v>15483</v>
      </c>
      <c r="AG20" s="161"/>
    </row>
    <row r="21" spans="1:33" ht="14.25" x14ac:dyDescent="0.45">
      <c r="A21" t="s">
        <v>276</v>
      </c>
      <c r="B21" t="s">
        <v>277</v>
      </c>
      <c r="C21" t="s">
        <v>245</v>
      </c>
      <c r="D21" t="s">
        <v>199</v>
      </c>
      <c r="E21" t="s">
        <v>278</v>
      </c>
      <c r="F21" s="8">
        <v>917376</v>
      </c>
      <c r="G21" s="152">
        <v>0</v>
      </c>
      <c r="H21" s="153">
        <v>0</v>
      </c>
      <c r="I21" s="153">
        <v>0</v>
      </c>
      <c r="J21" s="153">
        <v>0</v>
      </c>
      <c r="K21" s="155">
        <v>0</v>
      </c>
      <c r="L21" s="153">
        <v>0</v>
      </c>
      <c r="M21" s="152">
        <v>0</v>
      </c>
      <c r="N21" s="153">
        <v>0</v>
      </c>
      <c r="O21" s="153">
        <v>0</v>
      </c>
      <c r="P21" s="153">
        <v>0</v>
      </c>
      <c r="Q21" s="155">
        <v>0</v>
      </c>
      <c r="R21" s="153">
        <v>0</v>
      </c>
      <c r="S21" s="156">
        <v>0</v>
      </c>
      <c r="T21" s="154" t="s">
        <v>4335</v>
      </c>
      <c r="U21" s="154">
        <v>3</v>
      </c>
      <c r="V21" s="154">
        <v>0</v>
      </c>
      <c r="W21" s="154">
        <v>3</v>
      </c>
      <c r="X21" s="152">
        <v>0</v>
      </c>
      <c r="Y21" s="155">
        <v>0</v>
      </c>
      <c r="Z21" s="155">
        <v>0</v>
      </c>
      <c r="AA21" s="153">
        <v>0</v>
      </c>
      <c r="AB21" s="161">
        <v>0</v>
      </c>
      <c r="AC21" s="152">
        <v>0</v>
      </c>
      <c r="AD21" s="155"/>
      <c r="AE21" s="155"/>
      <c r="AF21" s="153">
        <v>0</v>
      </c>
      <c r="AG21" s="161"/>
    </row>
    <row r="22" spans="1:33" ht="14.25" x14ac:dyDescent="0.45">
      <c r="A22" t="s">
        <v>279</v>
      </c>
      <c r="B22" t="s">
        <v>280</v>
      </c>
      <c r="C22" t="s">
        <v>245</v>
      </c>
      <c r="D22" t="s">
        <v>199</v>
      </c>
      <c r="E22" t="s">
        <v>281</v>
      </c>
      <c r="F22" s="8">
        <v>2286455</v>
      </c>
      <c r="G22" s="152">
        <v>0</v>
      </c>
      <c r="H22" s="153">
        <v>0</v>
      </c>
      <c r="I22" s="153">
        <v>0</v>
      </c>
      <c r="J22" s="153">
        <v>0</v>
      </c>
      <c r="K22" s="155">
        <v>0</v>
      </c>
      <c r="L22" s="153">
        <v>0</v>
      </c>
      <c r="M22" s="152">
        <v>0</v>
      </c>
      <c r="N22" s="153">
        <v>0</v>
      </c>
      <c r="O22" s="153">
        <v>0</v>
      </c>
      <c r="P22" s="153">
        <v>0</v>
      </c>
      <c r="Q22" s="155">
        <v>0</v>
      </c>
      <c r="R22" s="153">
        <v>0</v>
      </c>
      <c r="S22" s="156">
        <v>0</v>
      </c>
      <c r="T22" s="154" t="s">
        <v>4335</v>
      </c>
      <c r="U22" s="154">
        <v>3</v>
      </c>
      <c r="V22" s="154">
        <v>0</v>
      </c>
      <c r="W22" s="154">
        <v>3</v>
      </c>
      <c r="X22" s="152">
        <v>0</v>
      </c>
      <c r="Y22" s="155">
        <v>0</v>
      </c>
      <c r="Z22" s="155">
        <v>0</v>
      </c>
      <c r="AA22" s="153">
        <v>0</v>
      </c>
      <c r="AB22" s="161">
        <v>0</v>
      </c>
      <c r="AC22" s="152">
        <v>0</v>
      </c>
      <c r="AD22" s="155"/>
      <c r="AE22" s="155"/>
      <c r="AF22" s="153">
        <v>0</v>
      </c>
      <c r="AG22" s="161"/>
    </row>
    <row r="23" spans="1:33" ht="14.25" x14ac:dyDescent="0.45">
      <c r="A23" t="s">
        <v>282</v>
      </c>
      <c r="B23" t="s">
        <v>283</v>
      </c>
      <c r="C23" t="s">
        <v>245</v>
      </c>
      <c r="D23" t="s">
        <v>199</v>
      </c>
      <c r="E23" t="s">
        <v>284</v>
      </c>
      <c r="F23" s="8">
        <v>744887</v>
      </c>
      <c r="G23" s="152">
        <v>0</v>
      </c>
      <c r="H23" s="153">
        <v>0</v>
      </c>
      <c r="I23" s="153">
        <v>0</v>
      </c>
      <c r="J23" s="153">
        <v>0</v>
      </c>
      <c r="K23" s="155">
        <v>0</v>
      </c>
      <c r="L23" s="153">
        <v>0</v>
      </c>
      <c r="M23" s="152">
        <v>0</v>
      </c>
      <c r="N23" s="153">
        <v>0</v>
      </c>
      <c r="O23" s="153">
        <v>0</v>
      </c>
      <c r="P23" s="153">
        <v>0</v>
      </c>
      <c r="Q23" s="155">
        <v>0</v>
      </c>
      <c r="R23" s="153">
        <v>0</v>
      </c>
      <c r="S23" s="156">
        <v>0</v>
      </c>
      <c r="T23" s="154" t="s">
        <v>4335</v>
      </c>
      <c r="U23" s="154">
        <v>3</v>
      </c>
      <c r="V23" s="154">
        <v>0</v>
      </c>
      <c r="W23" s="154">
        <v>3</v>
      </c>
      <c r="X23" s="152">
        <v>0</v>
      </c>
      <c r="Y23" s="155">
        <v>0</v>
      </c>
      <c r="Z23" s="155">
        <v>0</v>
      </c>
      <c r="AA23" s="153">
        <v>0</v>
      </c>
      <c r="AB23" s="161">
        <v>0</v>
      </c>
      <c r="AC23" s="152">
        <v>0</v>
      </c>
      <c r="AD23" s="155"/>
      <c r="AE23" s="155"/>
      <c r="AF23" s="153">
        <v>0</v>
      </c>
      <c r="AG23" s="161"/>
    </row>
    <row r="24" spans="1:33" ht="14.25" x14ac:dyDescent="0.45">
      <c r="A24" t="s">
        <v>285</v>
      </c>
      <c r="B24" t="s">
        <v>286</v>
      </c>
      <c r="C24" t="s">
        <v>245</v>
      </c>
      <c r="D24" t="s">
        <v>199</v>
      </c>
      <c r="E24" t="s">
        <v>287</v>
      </c>
      <c r="F24" s="8">
        <v>2098033</v>
      </c>
      <c r="G24" s="152">
        <v>0</v>
      </c>
      <c r="H24" s="153">
        <v>0</v>
      </c>
      <c r="I24" s="153">
        <v>0</v>
      </c>
      <c r="J24" s="153">
        <v>0</v>
      </c>
      <c r="K24" s="155">
        <v>0</v>
      </c>
      <c r="L24" s="153">
        <v>0</v>
      </c>
      <c r="M24" s="152">
        <v>0</v>
      </c>
      <c r="N24" s="153">
        <v>0</v>
      </c>
      <c r="O24" s="153">
        <v>0</v>
      </c>
      <c r="P24" s="153">
        <v>0</v>
      </c>
      <c r="Q24" s="155">
        <v>0</v>
      </c>
      <c r="R24" s="153">
        <v>0</v>
      </c>
      <c r="S24" s="156">
        <v>0</v>
      </c>
      <c r="T24" s="154" t="s">
        <v>4335</v>
      </c>
      <c r="U24" s="154">
        <v>3</v>
      </c>
      <c r="V24" s="154">
        <v>0</v>
      </c>
      <c r="W24" s="154">
        <v>3</v>
      </c>
      <c r="X24" s="152">
        <v>0</v>
      </c>
      <c r="Y24" s="155">
        <v>0</v>
      </c>
      <c r="Z24" s="155">
        <v>0</v>
      </c>
      <c r="AA24" s="153">
        <v>0</v>
      </c>
      <c r="AB24" s="161">
        <v>0</v>
      </c>
      <c r="AC24" s="152">
        <v>0</v>
      </c>
      <c r="AD24" s="155"/>
      <c r="AE24" s="155"/>
      <c r="AF24" s="153">
        <v>0</v>
      </c>
      <c r="AG24" s="161"/>
    </row>
    <row r="25" spans="1:33" ht="14.25" x14ac:dyDescent="0.45">
      <c r="A25" t="s">
        <v>288</v>
      </c>
      <c r="B25" t="s">
        <v>289</v>
      </c>
      <c r="C25" t="s">
        <v>252</v>
      </c>
      <c r="D25" t="s">
        <v>193</v>
      </c>
      <c r="E25" t="s">
        <v>290</v>
      </c>
      <c r="F25" s="8">
        <v>20407</v>
      </c>
      <c r="G25" s="152">
        <v>20407</v>
      </c>
      <c r="H25" s="153">
        <v>0</v>
      </c>
      <c r="I25" s="153">
        <v>0</v>
      </c>
      <c r="J25" s="154">
        <v>20407</v>
      </c>
      <c r="K25" s="155">
        <v>0</v>
      </c>
      <c r="L25" s="153">
        <v>0</v>
      </c>
      <c r="M25" s="152">
        <v>16151</v>
      </c>
      <c r="N25" s="153">
        <v>0</v>
      </c>
      <c r="O25" s="153">
        <v>0</v>
      </c>
      <c r="P25" s="154">
        <v>7063</v>
      </c>
      <c r="Q25" s="155">
        <v>0</v>
      </c>
      <c r="R25" s="153">
        <v>0</v>
      </c>
      <c r="S25" s="156">
        <v>4</v>
      </c>
      <c r="T25" s="154" t="s">
        <v>4335</v>
      </c>
      <c r="U25" s="154">
        <v>5</v>
      </c>
      <c r="V25" s="154">
        <v>4</v>
      </c>
      <c r="W25" s="154">
        <v>5</v>
      </c>
      <c r="X25" s="152">
        <v>12244</v>
      </c>
      <c r="Y25" s="155">
        <v>0</v>
      </c>
      <c r="Z25" s="155">
        <v>0</v>
      </c>
      <c r="AA25" s="154">
        <v>2018</v>
      </c>
      <c r="AB25" s="161">
        <v>0</v>
      </c>
      <c r="AC25" s="152">
        <v>12244</v>
      </c>
      <c r="AD25" s="155"/>
      <c r="AE25" s="155"/>
      <c r="AF25" s="154">
        <v>2018</v>
      </c>
      <c r="AG25" s="161"/>
    </row>
    <row r="26" spans="1:33" ht="14.25" x14ac:dyDescent="0.45">
      <c r="A26" t="s">
        <v>288</v>
      </c>
      <c r="B26" t="s">
        <v>289</v>
      </c>
      <c r="C26" t="s">
        <v>291</v>
      </c>
      <c r="D26" t="s">
        <v>196</v>
      </c>
      <c r="E26" t="s">
        <v>292</v>
      </c>
      <c r="F26" s="8">
        <v>49142</v>
      </c>
      <c r="G26" s="152">
        <v>24448.662456261645</v>
      </c>
      <c r="H26" s="153">
        <v>0</v>
      </c>
      <c r="I26" s="153">
        <v>0</v>
      </c>
      <c r="J26" s="154">
        <v>24449</v>
      </c>
      <c r="K26" s="155">
        <v>0</v>
      </c>
      <c r="L26" s="153">
        <v>0</v>
      </c>
      <c r="M26" s="152">
        <v>18967</v>
      </c>
      <c r="N26" s="153">
        <v>0</v>
      </c>
      <c r="O26" s="153">
        <v>0</v>
      </c>
      <c r="P26" s="154">
        <v>4301</v>
      </c>
      <c r="Q26" s="155">
        <v>0</v>
      </c>
      <c r="R26" s="153">
        <v>0</v>
      </c>
      <c r="S26" s="156">
        <v>3</v>
      </c>
      <c r="T26" s="154" t="s">
        <v>4335</v>
      </c>
      <c r="U26" s="154">
        <v>4</v>
      </c>
      <c r="V26" s="154">
        <v>3</v>
      </c>
      <c r="W26" s="154">
        <v>4</v>
      </c>
      <c r="X26" s="152">
        <v>8379</v>
      </c>
      <c r="Y26" s="155">
        <v>0</v>
      </c>
      <c r="Z26" s="155">
        <v>0</v>
      </c>
      <c r="AA26" s="154">
        <v>4301</v>
      </c>
      <c r="AB26" s="161">
        <v>0</v>
      </c>
      <c r="AC26" s="152">
        <v>4792</v>
      </c>
      <c r="AD26" s="155"/>
      <c r="AE26" s="155"/>
      <c r="AF26" s="154">
        <v>860</v>
      </c>
      <c r="AG26" s="161"/>
    </row>
    <row r="27" spans="1:33" ht="14.25" x14ac:dyDescent="0.45">
      <c r="A27" t="s">
        <v>288</v>
      </c>
      <c r="B27" t="s">
        <v>289</v>
      </c>
      <c r="C27" t="s">
        <v>256</v>
      </c>
      <c r="D27" t="s">
        <v>199</v>
      </c>
      <c r="E27" t="s">
        <v>293</v>
      </c>
      <c r="F27" s="8">
        <v>305495</v>
      </c>
      <c r="G27" s="152">
        <v>0</v>
      </c>
      <c r="H27" s="153">
        <v>0</v>
      </c>
      <c r="I27" s="153">
        <v>0</v>
      </c>
      <c r="J27" s="153">
        <v>0</v>
      </c>
      <c r="K27" s="155">
        <v>0</v>
      </c>
      <c r="L27" s="153">
        <v>0</v>
      </c>
      <c r="M27" s="152">
        <v>0</v>
      </c>
      <c r="N27" s="153">
        <v>0</v>
      </c>
      <c r="O27" s="153">
        <v>0</v>
      </c>
      <c r="P27" s="153">
        <v>0</v>
      </c>
      <c r="Q27" s="155">
        <v>0</v>
      </c>
      <c r="R27" s="153">
        <v>0</v>
      </c>
      <c r="S27" s="156">
        <v>0</v>
      </c>
      <c r="T27" s="154" t="s">
        <v>4335</v>
      </c>
      <c r="U27" s="154">
        <v>3</v>
      </c>
      <c r="V27" s="154">
        <v>0</v>
      </c>
      <c r="W27" s="154">
        <v>3</v>
      </c>
      <c r="X27" s="152">
        <v>0</v>
      </c>
      <c r="Y27" s="155">
        <v>0</v>
      </c>
      <c r="Z27" s="155">
        <v>0</v>
      </c>
      <c r="AA27" s="153">
        <v>0</v>
      </c>
      <c r="AB27" s="161">
        <v>0</v>
      </c>
      <c r="AC27" s="152">
        <v>0</v>
      </c>
      <c r="AD27" s="155"/>
      <c r="AE27" s="155"/>
      <c r="AF27" s="153">
        <v>0</v>
      </c>
      <c r="AG27" s="161"/>
    </row>
    <row r="28" spans="1:33" ht="14.25" x14ac:dyDescent="0.45">
      <c r="A28" t="s">
        <v>288</v>
      </c>
      <c r="B28" t="s">
        <v>289</v>
      </c>
      <c r="C28" t="s">
        <v>294</v>
      </c>
      <c r="D28" t="s">
        <v>196</v>
      </c>
      <c r="E28" t="s">
        <v>295</v>
      </c>
      <c r="F28" s="8">
        <v>324356</v>
      </c>
      <c r="G28" s="152">
        <v>139009.71428571464</v>
      </c>
      <c r="H28" s="153">
        <v>0</v>
      </c>
      <c r="I28" s="153">
        <v>0</v>
      </c>
      <c r="J28" s="154">
        <v>139010</v>
      </c>
      <c r="K28" s="155">
        <v>0</v>
      </c>
      <c r="L28" s="153">
        <v>0</v>
      </c>
      <c r="M28" s="152">
        <v>127095</v>
      </c>
      <c r="N28" s="153">
        <v>0</v>
      </c>
      <c r="O28" s="153">
        <v>0</v>
      </c>
      <c r="P28" s="154">
        <v>22056</v>
      </c>
      <c r="Q28" s="155">
        <v>0</v>
      </c>
      <c r="R28" s="153">
        <v>0</v>
      </c>
      <c r="S28" s="156">
        <v>4</v>
      </c>
      <c r="T28" s="154" t="s">
        <v>4335</v>
      </c>
      <c r="U28" s="154">
        <v>4</v>
      </c>
      <c r="V28" s="154">
        <v>4</v>
      </c>
      <c r="W28" s="154">
        <v>4</v>
      </c>
      <c r="X28" s="152">
        <v>127095</v>
      </c>
      <c r="Y28" s="155">
        <v>0</v>
      </c>
      <c r="Z28" s="155">
        <v>0</v>
      </c>
      <c r="AA28" s="154">
        <v>4411</v>
      </c>
      <c r="AB28" s="161">
        <v>0</v>
      </c>
      <c r="AC28" s="152">
        <v>127095</v>
      </c>
      <c r="AD28" s="155"/>
      <c r="AE28" s="155"/>
      <c r="AF28" s="154">
        <v>4411</v>
      </c>
      <c r="AG28" s="161"/>
    </row>
    <row r="29" spans="1:33" ht="14.25" x14ac:dyDescent="0.45">
      <c r="A29" t="s">
        <v>296</v>
      </c>
      <c r="B29" t="s">
        <v>297</v>
      </c>
      <c r="C29" t="s">
        <v>245</v>
      </c>
      <c r="D29" t="s">
        <v>199</v>
      </c>
      <c r="E29" t="s">
        <v>298</v>
      </c>
      <c r="F29" s="8">
        <v>1903226</v>
      </c>
      <c r="G29" s="152">
        <v>0</v>
      </c>
      <c r="H29" s="153">
        <v>0</v>
      </c>
      <c r="I29" s="153">
        <v>0</v>
      </c>
      <c r="J29" s="153">
        <v>0</v>
      </c>
      <c r="K29" s="155">
        <v>0</v>
      </c>
      <c r="L29" s="153">
        <v>0</v>
      </c>
      <c r="M29" s="152">
        <v>0</v>
      </c>
      <c r="N29" s="153">
        <v>0</v>
      </c>
      <c r="O29" s="153">
        <v>0</v>
      </c>
      <c r="P29" s="153">
        <v>0</v>
      </c>
      <c r="Q29" s="155">
        <v>0</v>
      </c>
      <c r="R29" s="153">
        <v>0</v>
      </c>
      <c r="S29" s="156">
        <v>0</v>
      </c>
      <c r="T29" s="154" t="s">
        <v>4335</v>
      </c>
      <c r="U29" s="154">
        <v>3</v>
      </c>
      <c r="V29" s="154">
        <v>0</v>
      </c>
      <c r="W29" s="154">
        <v>3</v>
      </c>
      <c r="X29" s="152">
        <v>0</v>
      </c>
      <c r="Y29" s="155">
        <v>0</v>
      </c>
      <c r="Z29" s="155">
        <v>0</v>
      </c>
      <c r="AA29" s="153">
        <v>0</v>
      </c>
      <c r="AB29" s="161">
        <v>0</v>
      </c>
      <c r="AC29" s="152">
        <v>0</v>
      </c>
      <c r="AD29" s="155"/>
      <c r="AE29" s="155"/>
      <c r="AF29" s="153">
        <v>0</v>
      </c>
      <c r="AG29" s="161"/>
    </row>
    <row r="30" spans="1:33" ht="14.25" x14ac:dyDescent="0.45">
      <c r="A30" t="s">
        <v>299</v>
      </c>
      <c r="B30" t="s">
        <v>300</v>
      </c>
      <c r="C30" t="s">
        <v>245</v>
      </c>
      <c r="D30" t="s">
        <v>199</v>
      </c>
      <c r="E30" t="s">
        <v>301</v>
      </c>
      <c r="F30" s="8">
        <v>1163810</v>
      </c>
      <c r="G30" s="152">
        <v>0</v>
      </c>
      <c r="H30" s="153">
        <v>0</v>
      </c>
      <c r="I30" s="153">
        <v>0</v>
      </c>
      <c r="J30" s="153">
        <v>0</v>
      </c>
      <c r="K30" s="155">
        <v>0</v>
      </c>
      <c r="L30" s="153">
        <v>0</v>
      </c>
      <c r="M30" s="152">
        <v>0</v>
      </c>
      <c r="N30" s="153">
        <v>0</v>
      </c>
      <c r="O30" s="153">
        <v>0</v>
      </c>
      <c r="P30" s="153">
        <v>0</v>
      </c>
      <c r="Q30" s="155">
        <v>0</v>
      </c>
      <c r="R30" s="153">
        <v>0</v>
      </c>
      <c r="S30" s="156">
        <v>0</v>
      </c>
      <c r="T30" s="154" t="s">
        <v>4335</v>
      </c>
      <c r="U30" s="154">
        <v>3</v>
      </c>
      <c r="V30" s="154">
        <v>0</v>
      </c>
      <c r="W30" s="154">
        <v>3</v>
      </c>
      <c r="X30" s="152">
        <v>0</v>
      </c>
      <c r="Y30" s="155">
        <v>0</v>
      </c>
      <c r="Z30" s="155">
        <v>0</v>
      </c>
      <c r="AA30" s="153">
        <v>0</v>
      </c>
      <c r="AB30" s="161">
        <v>0</v>
      </c>
      <c r="AC30" s="152">
        <v>0</v>
      </c>
      <c r="AD30" s="155"/>
      <c r="AE30" s="155"/>
      <c r="AF30" s="153">
        <v>0</v>
      </c>
      <c r="AG30" s="161"/>
    </row>
    <row r="31" spans="1:33" ht="14.25" x14ac:dyDescent="0.45">
      <c r="A31" t="s">
        <v>302</v>
      </c>
      <c r="B31" t="s">
        <v>303</v>
      </c>
      <c r="C31" t="s">
        <v>245</v>
      </c>
      <c r="D31" t="s">
        <v>199</v>
      </c>
      <c r="E31" t="s">
        <v>304</v>
      </c>
      <c r="F31" s="8">
        <v>903653</v>
      </c>
      <c r="G31" s="152">
        <v>0</v>
      </c>
      <c r="H31" s="153">
        <v>0</v>
      </c>
      <c r="I31" s="153">
        <v>0</v>
      </c>
      <c r="J31" s="153">
        <v>0</v>
      </c>
      <c r="K31" s="155">
        <v>0</v>
      </c>
      <c r="L31" s="153">
        <v>0</v>
      </c>
      <c r="M31" s="152">
        <v>0</v>
      </c>
      <c r="N31" s="153">
        <v>0</v>
      </c>
      <c r="O31" s="153">
        <v>0</v>
      </c>
      <c r="P31" s="153">
        <v>0</v>
      </c>
      <c r="Q31" s="155">
        <v>0</v>
      </c>
      <c r="R31" s="153">
        <v>0</v>
      </c>
      <c r="S31" s="156">
        <v>0</v>
      </c>
      <c r="T31" s="154" t="s">
        <v>4335</v>
      </c>
      <c r="U31" s="154">
        <v>3</v>
      </c>
      <c r="V31" s="154">
        <v>0</v>
      </c>
      <c r="W31" s="154">
        <v>3</v>
      </c>
      <c r="X31" s="152">
        <v>0</v>
      </c>
      <c r="Y31" s="155">
        <v>0</v>
      </c>
      <c r="Z31" s="155">
        <v>0</v>
      </c>
      <c r="AA31" s="153">
        <v>0</v>
      </c>
      <c r="AB31" s="161">
        <v>0</v>
      </c>
      <c r="AC31" s="152">
        <v>0</v>
      </c>
      <c r="AD31" s="155"/>
      <c r="AE31" s="155"/>
      <c r="AF31" s="153">
        <v>0</v>
      </c>
      <c r="AG31" s="161"/>
    </row>
    <row r="32" spans="1:33" ht="14.25" x14ac:dyDescent="0.45">
      <c r="A32" t="s">
        <v>305</v>
      </c>
      <c r="B32" t="s">
        <v>306</v>
      </c>
      <c r="C32" t="s">
        <v>307</v>
      </c>
      <c r="D32" t="s">
        <v>193</v>
      </c>
      <c r="E32" t="s">
        <v>308</v>
      </c>
      <c r="F32" s="8">
        <v>107044</v>
      </c>
      <c r="G32" s="152">
        <v>107044</v>
      </c>
      <c r="H32" s="153">
        <v>0</v>
      </c>
      <c r="I32" s="153">
        <v>0</v>
      </c>
      <c r="J32" s="154">
        <v>107044</v>
      </c>
      <c r="K32" s="155">
        <v>0</v>
      </c>
      <c r="L32" s="153">
        <v>0</v>
      </c>
      <c r="M32" s="152">
        <v>90509</v>
      </c>
      <c r="N32" s="153">
        <v>0</v>
      </c>
      <c r="O32" s="153">
        <v>0</v>
      </c>
      <c r="P32" s="154">
        <v>18833</v>
      </c>
      <c r="Q32" s="155">
        <v>0</v>
      </c>
      <c r="R32" s="153">
        <v>0</v>
      </c>
      <c r="S32" s="156">
        <v>5</v>
      </c>
      <c r="T32" s="154" t="s">
        <v>4335</v>
      </c>
      <c r="U32" s="154">
        <v>5</v>
      </c>
      <c r="V32" s="154">
        <v>5</v>
      </c>
      <c r="W32" s="154">
        <v>5</v>
      </c>
      <c r="X32" s="152">
        <v>72263</v>
      </c>
      <c r="Y32" s="155">
        <v>0</v>
      </c>
      <c r="Z32" s="155">
        <v>0</v>
      </c>
      <c r="AA32" s="154">
        <v>9417</v>
      </c>
      <c r="AB32" s="161">
        <v>0</v>
      </c>
      <c r="AC32" s="152">
        <v>72263</v>
      </c>
      <c r="AD32" s="155"/>
      <c r="AE32" s="155"/>
      <c r="AF32" s="154">
        <v>9417</v>
      </c>
      <c r="AG32" s="161"/>
    </row>
    <row r="33" spans="1:33" ht="14.25" x14ac:dyDescent="0.45">
      <c r="A33" t="s">
        <v>305</v>
      </c>
      <c r="B33" t="s">
        <v>306</v>
      </c>
      <c r="C33" t="s">
        <v>254</v>
      </c>
      <c r="D33" t="s">
        <v>196</v>
      </c>
      <c r="E33" t="s">
        <v>309</v>
      </c>
      <c r="F33" s="8">
        <v>201010</v>
      </c>
      <c r="G33" s="152">
        <v>93192.103959224856</v>
      </c>
      <c r="H33" s="153">
        <v>0</v>
      </c>
      <c r="I33" s="153">
        <v>0</v>
      </c>
      <c r="J33" s="154">
        <v>93192</v>
      </c>
      <c r="K33" s="155">
        <v>0</v>
      </c>
      <c r="L33" s="153">
        <v>0</v>
      </c>
      <c r="M33" s="152">
        <v>72296</v>
      </c>
      <c r="N33" s="153">
        <v>0</v>
      </c>
      <c r="O33" s="153">
        <v>0</v>
      </c>
      <c r="P33" s="154">
        <v>14428</v>
      </c>
      <c r="Q33" s="155">
        <v>0</v>
      </c>
      <c r="R33" s="153">
        <v>0</v>
      </c>
      <c r="S33" s="156">
        <v>3</v>
      </c>
      <c r="T33" s="154" t="s">
        <v>4335</v>
      </c>
      <c r="U33" s="154">
        <v>4</v>
      </c>
      <c r="V33" s="154">
        <v>3</v>
      </c>
      <c r="W33" s="154">
        <v>4</v>
      </c>
      <c r="X33" s="152">
        <v>47756</v>
      </c>
      <c r="Y33" s="155">
        <v>0</v>
      </c>
      <c r="Z33" s="155">
        <v>0</v>
      </c>
      <c r="AA33" s="154">
        <v>7214</v>
      </c>
      <c r="AB33" s="161">
        <v>0</v>
      </c>
      <c r="AC33" s="152">
        <v>47756</v>
      </c>
      <c r="AD33" s="155"/>
      <c r="AE33" s="155"/>
      <c r="AF33" s="154">
        <v>1443</v>
      </c>
      <c r="AG33" s="161"/>
    </row>
    <row r="34" spans="1:33" ht="14.25" x14ac:dyDescent="0.45">
      <c r="A34" t="s">
        <v>305</v>
      </c>
      <c r="B34" t="s">
        <v>306</v>
      </c>
      <c r="C34" t="s">
        <v>256</v>
      </c>
      <c r="D34" t="s">
        <v>199</v>
      </c>
      <c r="E34" t="s">
        <v>310</v>
      </c>
      <c r="F34" s="8">
        <v>172549</v>
      </c>
      <c r="G34" s="152">
        <v>0</v>
      </c>
      <c r="H34" s="153">
        <v>0</v>
      </c>
      <c r="I34" s="153">
        <v>0</v>
      </c>
      <c r="J34" s="153">
        <v>0</v>
      </c>
      <c r="K34" s="155">
        <v>0</v>
      </c>
      <c r="L34" s="153">
        <v>0</v>
      </c>
      <c r="M34" s="152">
        <v>0</v>
      </c>
      <c r="N34" s="153">
        <v>0</v>
      </c>
      <c r="O34" s="153">
        <v>0</v>
      </c>
      <c r="P34" s="153">
        <v>0</v>
      </c>
      <c r="Q34" s="155">
        <v>0</v>
      </c>
      <c r="R34" s="153">
        <v>0</v>
      </c>
      <c r="S34" s="156">
        <v>0</v>
      </c>
      <c r="T34" s="154" t="s">
        <v>4335</v>
      </c>
      <c r="U34" s="154">
        <v>3</v>
      </c>
      <c r="V34" s="154">
        <v>0</v>
      </c>
      <c r="W34" s="154">
        <v>3</v>
      </c>
      <c r="X34" s="152">
        <v>0</v>
      </c>
      <c r="Y34" s="155">
        <v>0</v>
      </c>
      <c r="Z34" s="155">
        <v>0</v>
      </c>
      <c r="AA34" s="153">
        <v>0</v>
      </c>
      <c r="AB34" s="161">
        <v>0</v>
      </c>
      <c r="AC34" s="152">
        <v>0</v>
      </c>
      <c r="AD34" s="155"/>
      <c r="AE34" s="155"/>
      <c r="AF34" s="153">
        <v>0</v>
      </c>
      <c r="AG34" s="161"/>
    </row>
    <row r="35" spans="1:33" ht="14.25" x14ac:dyDescent="0.45">
      <c r="A35" t="s">
        <v>305</v>
      </c>
      <c r="B35" t="s">
        <v>306</v>
      </c>
      <c r="C35" t="s">
        <v>311</v>
      </c>
      <c r="D35" t="s">
        <v>193</v>
      </c>
      <c r="E35" t="s">
        <v>312</v>
      </c>
      <c r="F35" s="8">
        <v>231388</v>
      </c>
      <c r="G35" s="152">
        <v>231388</v>
      </c>
      <c r="H35" s="153">
        <v>0</v>
      </c>
      <c r="I35" s="153">
        <v>0</v>
      </c>
      <c r="J35" s="154">
        <v>231388</v>
      </c>
      <c r="K35" s="155">
        <v>0</v>
      </c>
      <c r="L35" s="153">
        <v>0</v>
      </c>
      <c r="M35" s="152">
        <v>231388</v>
      </c>
      <c r="N35" s="153">
        <v>0</v>
      </c>
      <c r="O35" s="153">
        <v>0</v>
      </c>
      <c r="P35" s="154">
        <v>29927</v>
      </c>
      <c r="Q35" s="155">
        <v>0</v>
      </c>
      <c r="R35" s="153">
        <v>0</v>
      </c>
      <c r="S35" s="156">
        <v>4</v>
      </c>
      <c r="T35" s="154" t="s">
        <v>4335</v>
      </c>
      <c r="U35" s="154">
        <v>5</v>
      </c>
      <c r="V35" s="154">
        <v>4</v>
      </c>
      <c r="W35" s="154">
        <v>5</v>
      </c>
      <c r="X35" s="152">
        <v>231388</v>
      </c>
      <c r="Y35" s="155">
        <v>0</v>
      </c>
      <c r="Z35" s="155">
        <v>0</v>
      </c>
      <c r="AA35" s="154">
        <v>2992</v>
      </c>
      <c r="AB35" s="161">
        <v>0</v>
      </c>
      <c r="AC35" s="152">
        <v>231388</v>
      </c>
      <c r="AD35" s="155"/>
      <c r="AE35" s="155"/>
      <c r="AF35" s="154">
        <v>2992</v>
      </c>
      <c r="AG35" s="161"/>
    </row>
    <row r="36" spans="1:33" ht="14.25" x14ac:dyDescent="0.45">
      <c r="A36" t="s">
        <v>313</v>
      </c>
      <c r="B36" t="s">
        <v>314</v>
      </c>
      <c r="C36" t="s">
        <v>245</v>
      </c>
      <c r="D36" t="s">
        <v>199</v>
      </c>
      <c r="E36" t="s">
        <v>315</v>
      </c>
      <c r="F36" s="8">
        <v>652511</v>
      </c>
      <c r="G36" s="152">
        <v>0</v>
      </c>
      <c r="H36" s="153">
        <v>0</v>
      </c>
      <c r="I36" s="153">
        <v>0</v>
      </c>
      <c r="J36" s="153">
        <v>0</v>
      </c>
      <c r="K36" s="155">
        <v>0</v>
      </c>
      <c r="L36" s="153">
        <v>0</v>
      </c>
      <c r="M36" s="152">
        <v>0</v>
      </c>
      <c r="N36" s="153">
        <v>0</v>
      </c>
      <c r="O36" s="153">
        <v>0</v>
      </c>
      <c r="P36" s="153">
        <v>0</v>
      </c>
      <c r="Q36" s="155">
        <v>0</v>
      </c>
      <c r="R36" s="153">
        <v>0</v>
      </c>
      <c r="S36" s="156">
        <v>0</v>
      </c>
      <c r="T36" s="154" t="s">
        <v>4335</v>
      </c>
      <c r="U36" s="154">
        <v>3</v>
      </c>
      <c r="V36" s="154">
        <v>0</v>
      </c>
      <c r="W36" s="154">
        <v>3</v>
      </c>
      <c r="X36" s="152">
        <v>0</v>
      </c>
      <c r="Y36" s="155">
        <v>0</v>
      </c>
      <c r="Z36" s="155">
        <v>0</v>
      </c>
      <c r="AA36" s="153">
        <v>0</v>
      </c>
      <c r="AB36" s="161">
        <v>0</v>
      </c>
      <c r="AC36" s="152">
        <v>0</v>
      </c>
      <c r="AD36" s="155"/>
      <c r="AE36" s="155"/>
      <c r="AF36" s="153">
        <v>0</v>
      </c>
      <c r="AG36" s="161"/>
    </row>
    <row r="37" spans="1:33" ht="14.25" x14ac:dyDescent="0.45">
      <c r="A37" t="s">
        <v>316</v>
      </c>
      <c r="B37" t="s">
        <v>317</v>
      </c>
      <c r="C37" t="s">
        <v>252</v>
      </c>
      <c r="D37" t="s">
        <v>193</v>
      </c>
      <c r="E37" t="s">
        <v>318</v>
      </c>
      <c r="F37" s="8">
        <v>173398</v>
      </c>
      <c r="G37" s="152">
        <v>173398</v>
      </c>
      <c r="H37" s="153">
        <v>0</v>
      </c>
      <c r="I37" s="153">
        <v>0</v>
      </c>
      <c r="J37" s="154">
        <v>173398</v>
      </c>
      <c r="K37" s="155">
        <v>0</v>
      </c>
      <c r="L37" s="153">
        <v>0</v>
      </c>
      <c r="M37" s="152">
        <v>134865</v>
      </c>
      <c r="N37" s="153">
        <v>0</v>
      </c>
      <c r="O37" s="153">
        <v>0</v>
      </c>
      <c r="P37" s="154">
        <v>64082</v>
      </c>
      <c r="Q37" s="155">
        <v>0</v>
      </c>
      <c r="R37" s="153">
        <v>0</v>
      </c>
      <c r="S37" s="156">
        <v>5</v>
      </c>
      <c r="T37" s="154" t="s">
        <v>4335</v>
      </c>
      <c r="U37" s="154">
        <v>5</v>
      </c>
      <c r="V37" s="154">
        <v>5</v>
      </c>
      <c r="W37" s="154">
        <v>5</v>
      </c>
      <c r="X37" s="152">
        <v>134865</v>
      </c>
      <c r="Y37" s="155">
        <v>0</v>
      </c>
      <c r="Z37" s="155">
        <v>0</v>
      </c>
      <c r="AA37" s="154">
        <v>24412</v>
      </c>
      <c r="AB37" s="161">
        <v>0</v>
      </c>
      <c r="AC37" s="152">
        <v>134865</v>
      </c>
      <c r="AD37" s="155"/>
      <c r="AE37" s="155"/>
      <c r="AF37" s="154">
        <v>24412</v>
      </c>
      <c r="AG37" s="161"/>
    </row>
    <row r="38" spans="1:33" ht="14.25" x14ac:dyDescent="0.45">
      <c r="A38" t="s">
        <v>316</v>
      </c>
      <c r="B38" t="s">
        <v>317</v>
      </c>
      <c r="C38" t="s">
        <v>319</v>
      </c>
      <c r="D38" t="s">
        <v>196</v>
      </c>
      <c r="E38" t="s">
        <v>320</v>
      </c>
      <c r="F38" s="8">
        <v>164094</v>
      </c>
      <c r="G38" s="152">
        <v>88204.956185013609</v>
      </c>
      <c r="H38" s="153">
        <v>0</v>
      </c>
      <c r="I38" s="153">
        <v>0</v>
      </c>
      <c r="J38" s="154">
        <v>88205</v>
      </c>
      <c r="K38" s="155">
        <v>0</v>
      </c>
      <c r="L38" s="153">
        <v>0</v>
      </c>
      <c r="M38" s="152">
        <v>68427</v>
      </c>
      <c r="N38" s="153">
        <v>0</v>
      </c>
      <c r="O38" s="153">
        <v>0</v>
      </c>
      <c r="P38" s="154">
        <v>20664</v>
      </c>
      <c r="Q38" s="155">
        <v>0</v>
      </c>
      <c r="R38" s="153">
        <v>0</v>
      </c>
      <c r="S38" s="156">
        <v>4</v>
      </c>
      <c r="T38" s="154" t="s">
        <v>4335</v>
      </c>
      <c r="U38" s="154">
        <v>4</v>
      </c>
      <c r="V38" s="154">
        <v>4</v>
      </c>
      <c r="W38" s="154">
        <v>4</v>
      </c>
      <c r="X38" s="152">
        <v>56883</v>
      </c>
      <c r="Y38" s="155">
        <v>0</v>
      </c>
      <c r="Z38" s="155">
        <v>0</v>
      </c>
      <c r="AA38" s="154">
        <v>10332</v>
      </c>
      <c r="AB38" s="161">
        <v>0</v>
      </c>
      <c r="AC38" s="152">
        <v>56883</v>
      </c>
      <c r="AD38" s="155"/>
      <c r="AE38" s="155"/>
      <c r="AF38" s="154">
        <v>10332</v>
      </c>
      <c r="AG38" s="161"/>
    </row>
    <row r="39" spans="1:33" ht="14.25" x14ac:dyDescent="0.45">
      <c r="A39" t="s">
        <v>316</v>
      </c>
      <c r="B39" t="s">
        <v>317</v>
      </c>
      <c r="C39" t="s">
        <v>256</v>
      </c>
      <c r="D39" t="s">
        <v>199</v>
      </c>
      <c r="E39" t="s">
        <v>321</v>
      </c>
      <c r="F39" s="8">
        <v>209058</v>
      </c>
      <c r="G39" s="152">
        <v>0</v>
      </c>
      <c r="H39" s="153">
        <v>0</v>
      </c>
      <c r="I39" s="153">
        <v>0</v>
      </c>
      <c r="J39" s="153">
        <v>0</v>
      </c>
      <c r="K39" s="155">
        <v>0</v>
      </c>
      <c r="L39" s="153">
        <v>0</v>
      </c>
      <c r="M39" s="152">
        <v>0</v>
      </c>
      <c r="N39" s="153">
        <v>0</v>
      </c>
      <c r="O39" s="153">
        <v>0</v>
      </c>
      <c r="P39" s="153">
        <v>0</v>
      </c>
      <c r="Q39" s="155">
        <v>0</v>
      </c>
      <c r="R39" s="153">
        <v>0</v>
      </c>
      <c r="S39" s="156">
        <v>0</v>
      </c>
      <c r="T39" s="154" t="s">
        <v>4335</v>
      </c>
      <c r="U39" s="154">
        <v>3</v>
      </c>
      <c r="V39" s="154">
        <v>0</v>
      </c>
      <c r="W39" s="154">
        <v>3</v>
      </c>
      <c r="X39" s="152">
        <v>0</v>
      </c>
      <c r="Y39" s="155">
        <v>0</v>
      </c>
      <c r="Z39" s="155">
        <v>0</v>
      </c>
      <c r="AA39" s="153">
        <v>0</v>
      </c>
      <c r="AB39" s="161">
        <v>0</v>
      </c>
      <c r="AC39" s="152">
        <v>0</v>
      </c>
      <c r="AD39" s="155"/>
      <c r="AE39" s="155"/>
      <c r="AF39" s="153">
        <v>0</v>
      </c>
      <c r="AG39" s="161"/>
    </row>
    <row r="40" spans="1:33" ht="14.25" x14ac:dyDescent="0.45">
      <c r="A40" t="s">
        <v>316</v>
      </c>
      <c r="B40" t="s">
        <v>317</v>
      </c>
      <c r="C40" t="s">
        <v>322</v>
      </c>
      <c r="D40" t="s">
        <v>196</v>
      </c>
      <c r="E40" t="s">
        <v>323</v>
      </c>
      <c r="F40" s="8">
        <v>942249</v>
      </c>
      <c r="G40" s="152">
        <v>511154.6862745079</v>
      </c>
      <c r="H40" s="153">
        <v>0</v>
      </c>
      <c r="I40" s="153">
        <v>0</v>
      </c>
      <c r="J40" s="154">
        <v>511155</v>
      </c>
      <c r="K40" s="155">
        <v>0</v>
      </c>
      <c r="L40" s="153">
        <v>0</v>
      </c>
      <c r="M40" s="152">
        <v>454928</v>
      </c>
      <c r="N40" s="153">
        <v>0</v>
      </c>
      <c r="O40" s="153">
        <v>0</v>
      </c>
      <c r="P40" s="154">
        <v>107239</v>
      </c>
      <c r="Q40" s="155">
        <v>0</v>
      </c>
      <c r="R40" s="153">
        <v>0</v>
      </c>
      <c r="S40" s="156">
        <v>4</v>
      </c>
      <c r="T40" s="154" t="s">
        <v>4335</v>
      </c>
      <c r="U40" s="154">
        <v>4</v>
      </c>
      <c r="V40" s="154">
        <v>4</v>
      </c>
      <c r="W40" s="154">
        <v>4</v>
      </c>
      <c r="X40" s="152">
        <v>454928</v>
      </c>
      <c r="Y40" s="155">
        <v>0</v>
      </c>
      <c r="Z40" s="155">
        <v>0</v>
      </c>
      <c r="AA40" s="154">
        <v>21448</v>
      </c>
      <c r="AB40" s="161">
        <v>0</v>
      </c>
      <c r="AC40" s="152">
        <v>454928</v>
      </c>
      <c r="AD40" s="155"/>
      <c r="AE40" s="155"/>
      <c r="AF40" s="154">
        <v>21448</v>
      </c>
      <c r="AG40" s="161"/>
    </row>
    <row r="41" spans="1:33" ht="14.25" x14ac:dyDescent="0.45">
      <c r="A41" t="s">
        <v>324</v>
      </c>
      <c r="B41" t="s">
        <v>325</v>
      </c>
      <c r="C41" t="s">
        <v>326</v>
      </c>
      <c r="D41" t="s">
        <v>193</v>
      </c>
      <c r="E41" t="s">
        <v>327</v>
      </c>
      <c r="F41" s="8">
        <v>18255</v>
      </c>
      <c r="G41" s="152">
        <v>18255</v>
      </c>
      <c r="H41" s="153">
        <v>0</v>
      </c>
      <c r="I41" s="153">
        <v>0</v>
      </c>
      <c r="J41" s="154">
        <v>18255</v>
      </c>
      <c r="K41" s="155">
        <v>0</v>
      </c>
      <c r="L41" s="153">
        <v>0</v>
      </c>
      <c r="M41" s="152">
        <v>17525</v>
      </c>
      <c r="N41" s="153">
        <v>0</v>
      </c>
      <c r="O41" s="153">
        <v>0</v>
      </c>
      <c r="P41" s="154">
        <v>6050</v>
      </c>
      <c r="Q41" s="155">
        <v>0</v>
      </c>
      <c r="R41" s="153">
        <v>0</v>
      </c>
      <c r="S41" s="156">
        <v>5</v>
      </c>
      <c r="T41" s="154" t="s">
        <v>4335</v>
      </c>
      <c r="U41" s="154">
        <v>5</v>
      </c>
      <c r="V41" s="154">
        <v>5</v>
      </c>
      <c r="W41" s="154">
        <v>5</v>
      </c>
      <c r="X41" s="152">
        <v>17525</v>
      </c>
      <c r="Y41" s="155">
        <v>0</v>
      </c>
      <c r="Z41" s="155">
        <v>0</v>
      </c>
      <c r="AA41" s="154">
        <v>3025</v>
      </c>
      <c r="AB41" s="161">
        <v>0</v>
      </c>
      <c r="AC41" s="152">
        <v>17525</v>
      </c>
      <c r="AD41" s="155"/>
      <c r="AE41" s="155"/>
      <c r="AF41" s="154">
        <v>3025</v>
      </c>
      <c r="AG41" s="161"/>
    </row>
    <row r="42" spans="1:33" ht="14.25" x14ac:dyDescent="0.45">
      <c r="A42" t="s">
        <v>324</v>
      </c>
      <c r="B42" t="s">
        <v>325</v>
      </c>
      <c r="C42" t="s">
        <v>254</v>
      </c>
      <c r="D42" t="s">
        <v>196</v>
      </c>
      <c r="E42" t="s">
        <v>328</v>
      </c>
      <c r="F42" s="8">
        <v>4387</v>
      </c>
      <c r="G42" s="152">
        <v>3343.7298994067223</v>
      </c>
      <c r="H42" s="153">
        <v>0</v>
      </c>
      <c r="I42" s="153">
        <v>0</v>
      </c>
      <c r="J42" s="154">
        <v>3344</v>
      </c>
      <c r="K42" s="155">
        <v>0</v>
      </c>
      <c r="L42" s="153">
        <v>0</v>
      </c>
      <c r="M42" s="152">
        <v>3009</v>
      </c>
      <c r="N42" s="153">
        <v>0</v>
      </c>
      <c r="O42" s="153">
        <v>0</v>
      </c>
      <c r="P42" s="154">
        <v>1098</v>
      </c>
      <c r="Q42" s="155">
        <v>0</v>
      </c>
      <c r="R42" s="153">
        <v>0</v>
      </c>
      <c r="S42" s="156">
        <v>4</v>
      </c>
      <c r="T42" s="154" t="s">
        <v>4335</v>
      </c>
      <c r="U42" s="154">
        <v>4</v>
      </c>
      <c r="V42" s="154">
        <v>4</v>
      </c>
      <c r="W42" s="154">
        <v>4</v>
      </c>
      <c r="X42" s="152">
        <v>2786</v>
      </c>
      <c r="Y42" s="155">
        <v>0</v>
      </c>
      <c r="Z42" s="155">
        <v>0</v>
      </c>
      <c r="AA42" s="154">
        <v>1098</v>
      </c>
      <c r="AB42" s="161">
        <v>0</v>
      </c>
      <c r="AC42" s="152">
        <v>2786</v>
      </c>
      <c r="AD42" s="155"/>
      <c r="AE42" s="155"/>
      <c r="AF42" s="154">
        <v>1098</v>
      </c>
      <c r="AG42" s="161"/>
    </row>
    <row r="43" spans="1:33" ht="14.25" x14ac:dyDescent="0.45">
      <c r="A43" t="s">
        <v>324</v>
      </c>
      <c r="B43" t="s">
        <v>325</v>
      </c>
      <c r="C43" t="s">
        <v>256</v>
      </c>
      <c r="D43" t="s">
        <v>199</v>
      </c>
      <c r="E43" t="s">
        <v>329</v>
      </c>
      <c r="F43" s="8">
        <v>435</v>
      </c>
      <c r="G43" s="152">
        <v>0</v>
      </c>
      <c r="H43" s="153">
        <v>0</v>
      </c>
      <c r="I43" s="153">
        <v>0</v>
      </c>
      <c r="J43" s="153">
        <v>0</v>
      </c>
      <c r="K43" s="155">
        <v>0</v>
      </c>
      <c r="L43" s="153">
        <v>0</v>
      </c>
      <c r="M43" s="152">
        <v>0</v>
      </c>
      <c r="N43" s="153">
        <v>0</v>
      </c>
      <c r="O43" s="153">
        <v>0</v>
      </c>
      <c r="P43" s="153">
        <v>0</v>
      </c>
      <c r="Q43" s="155">
        <v>0</v>
      </c>
      <c r="R43" s="153">
        <v>0</v>
      </c>
      <c r="S43" s="156">
        <v>0</v>
      </c>
      <c r="T43" s="154" t="s">
        <v>4335</v>
      </c>
      <c r="U43" s="154">
        <v>3</v>
      </c>
      <c r="V43" s="154">
        <v>0</v>
      </c>
      <c r="W43" s="154">
        <v>3</v>
      </c>
      <c r="X43" s="152">
        <v>0</v>
      </c>
      <c r="Y43" s="155">
        <v>0</v>
      </c>
      <c r="Z43" s="155">
        <v>0</v>
      </c>
      <c r="AA43" s="153">
        <v>0</v>
      </c>
      <c r="AB43" s="161">
        <v>0</v>
      </c>
      <c r="AC43" s="152">
        <v>0</v>
      </c>
      <c r="AD43" s="155"/>
      <c r="AE43" s="155"/>
      <c r="AF43" s="153">
        <v>0</v>
      </c>
      <c r="AG43" s="161"/>
    </row>
    <row r="44" spans="1:33" ht="14.25" x14ac:dyDescent="0.45">
      <c r="A44" t="s">
        <v>324</v>
      </c>
      <c r="B44" t="s">
        <v>325</v>
      </c>
      <c r="C44" t="s">
        <v>330</v>
      </c>
      <c r="D44" t="s">
        <v>193</v>
      </c>
      <c r="E44" t="s">
        <v>331</v>
      </c>
      <c r="F44" s="8">
        <v>67022</v>
      </c>
      <c r="G44" s="152">
        <v>67022</v>
      </c>
      <c r="H44" s="153">
        <v>0</v>
      </c>
      <c r="I44" s="153">
        <v>0</v>
      </c>
      <c r="J44" s="154">
        <v>67022</v>
      </c>
      <c r="K44" s="155">
        <v>0</v>
      </c>
      <c r="L44" s="153">
        <v>0</v>
      </c>
      <c r="M44" s="152">
        <v>67022</v>
      </c>
      <c r="N44" s="153">
        <v>0</v>
      </c>
      <c r="O44" s="153">
        <v>0</v>
      </c>
      <c r="P44" s="154">
        <v>22475</v>
      </c>
      <c r="Q44" s="155">
        <v>0</v>
      </c>
      <c r="R44" s="153">
        <v>0</v>
      </c>
      <c r="S44" s="156">
        <v>5</v>
      </c>
      <c r="T44" s="154" t="s">
        <v>4335</v>
      </c>
      <c r="U44" s="154">
        <v>5</v>
      </c>
      <c r="V44" s="154">
        <v>5</v>
      </c>
      <c r="W44" s="154">
        <v>5</v>
      </c>
      <c r="X44" s="152">
        <v>67022</v>
      </c>
      <c r="Y44" s="155">
        <v>0</v>
      </c>
      <c r="Z44" s="155">
        <v>0</v>
      </c>
      <c r="AA44" s="154">
        <v>11237</v>
      </c>
      <c r="AB44" s="161">
        <v>0</v>
      </c>
      <c r="AC44" s="152">
        <v>67022</v>
      </c>
      <c r="AD44" s="155"/>
      <c r="AE44" s="155"/>
      <c r="AF44" s="154">
        <v>11237</v>
      </c>
      <c r="AG44" s="161"/>
    </row>
    <row r="45" spans="1:33" ht="14.25" x14ac:dyDescent="0.45">
      <c r="A45" t="s">
        <v>332</v>
      </c>
      <c r="B45" t="s">
        <v>333</v>
      </c>
      <c r="C45" t="s">
        <v>245</v>
      </c>
      <c r="D45" t="s">
        <v>199</v>
      </c>
      <c r="E45" t="s">
        <v>334</v>
      </c>
      <c r="F45" s="8">
        <v>956697</v>
      </c>
      <c r="G45" s="152">
        <v>0</v>
      </c>
      <c r="H45" s="153">
        <v>0</v>
      </c>
      <c r="I45" s="153">
        <v>0</v>
      </c>
      <c r="J45" s="153">
        <v>0</v>
      </c>
      <c r="K45" s="155">
        <v>0</v>
      </c>
      <c r="L45" s="153">
        <v>0</v>
      </c>
      <c r="M45" s="152">
        <v>0</v>
      </c>
      <c r="N45" s="153">
        <v>0</v>
      </c>
      <c r="O45" s="153">
        <v>0</v>
      </c>
      <c r="P45" s="153">
        <v>0</v>
      </c>
      <c r="Q45" s="155">
        <v>0</v>
      </c>
      <c r="R45" s="153">
        <v>0</v>
      </c>
      <c r="S45" s="156">
        <v>0</v>
      </c>
      <c r="T45" s="154" t="s">
        <v>4335</v>
      </c>
      <c r="U45" s="154">
        <v>3</v>
      </c>
      <c r="V45" s="154">
        <v>0</v>
      </c>
      <c r="W45" s="154">
        <v>3</v>
      </c>
      <c r="X45" s="152">
        <v>0</v>
      </c>
      <c r="Y45" s="155">
        <v>0</v>
      </c>
      <c r="Z45" s="155">
        <v>0</v>
      </c>
      <c r="AA45" s="153">
        <v>0</v>
      </c>
      <c r="AB45" s="161">
        <v>0</v>
      </c>
      <c r="AC45" s="152">
        <v>0</v>
      </c>
      <c r="AD45" s="155"/>
      <c r="AE45" s="155"/>
      <c r="AF45" s="153">
        <v>0</v>
      </c>
      <c r="AG45" s="161"/>
    </row>
    <row r="46" spans="1:33" ht="14.25" x14ac:dyDescent="0.45">
      <c r="A46" t="s">
        <v>335</v>
      </c>
      <c r="B46" t="s">
        <v>336</v>
      </c>
      <c r="C46" t="s">
        <v>245</v>
      </c>
      <c r="D46" t="s">
        <v>199</v>
      </c>
      <c r="E46" t="s">
        <v>337</v>
      </c>
      <c r="F46" s="8">
        <v>1015007</v>
      </c>
      <c r="G46" s="152">
        <v>0</v>
      </c>
      <c r="H46" s="153">
        <v>0</v>
      </c>
      <c r="I46" s="153">
        <v>0</v>
      </c>
      <c r="J46" s="153">
        <v>0</v>
      </c>
      <c r="K46" s="155">
        <v>0</v>
      </c>
      <c r="L46" s="153">
        <v>0</v>
      </c>
      <c r="M46" s="152">
        <v>0</v>
      </c>
      <c r="N46" s="153">
        <v>0</v>
      </c>
      <c r="O46" s="153">
        <v>0</v>
      </c>
      <c r="P46" s="153">
        <v>0</v>
      </c>
      <c r="Q46" s="155">
        <v>0</v>
      </c>
      <c r="R46" s="153">
        <v>0</v>
      </c>
      <c r="S46" s="156">
        <v>0</v>
      </c>
      <c r="T46" s="154" t="s">
        <v>4335</v>
      </c>
      <c r="U46" s="154">
        <v>3</v>
      </c>
      <c r="V46" s="154">
        <v>0</v>
      </c>
      <c r="W46" s="154">
        <v>3</v>
      </c>
      <c r="X46" s="152">
        <v>0</v>
      </c>
      <c r="Y46" s="155">
        <v>0</v>
      </c>
      <c r="Z46" s="155">
        <v>0</v>
      </c>
      <c r="AA46" s="153">
        <v>0</v>
      </c>
      <c r="AB46" s="161">
        <v>0</v>
      </c>
      <c r="AC46" s="152">
        <v>0</v>
      </c>
      <c r="AD46" s="155"/>
      <c r="AE46" s="155"/>
      <c r="AF46" s="153">
        <v>0</v>
      </c>
      <c r="AG46" s="161"/>
    </row>
    <row r="47" spans="1:33" ht="14.25" x14ac:dyDescent="0.45">
      <c r="A47" t="s">
        <v>338</v>
      </c>
      <c r="B47" t="s">
        <v>339</v>
      </c>
      <c r="C47" t="s">
        <v>245</v>
      </c>
      <c r="D47" t="s">
        <v>199</v>
      </c>
      <c r="E47" t="s">
        <v>340</v>
      </c>
      <c r="F47" s="8">
        <v>596430</v>
      </c>
      <c r="G47" s="152">
        <v>0</v>
      </c>
      <c r="H47" s="153">
        <v>0</v>
      </c>
      <c r="I47" s="153">
        <v>0</v>
      </c>
      <c r="J47" s="153">
        <v>0</v>
      </c>
      <c r="K47" s="155">
        <v>0</v>
      </c>
      <c r="L47" s="153">
        <v>0</v>
      </c>
      <c r="M47" s="152">
        <v>0</v>
      </c>
      <c r="N47" s="153">
        <v>0</v>
      </c>
      <c r="O47" s="153">
        <v>0</v>
      </c>
      <c r="P47" s="153">
        <v>0</v>
      </c>
      <c r="Q47" s="155">
        <v>0</v>
      </c>
      <c r="R47" s="153">
        <v>0</v>
      </c>
      <c r="S47" s="156">
        <v>0</v>
      </c>
      <c r="T47" s="154" t="s">
        <v>4335</v>
      </c>
      <c r="U47" s="154">
        <v>3</v>
      </c>
      <c r="V47" s="154">
        <v>0</v>
      </c>
      <c r="W47" s="154">
        <v>3</v>
      </c>
      <c r="X47" s="152">
        <v>0</v>
      </c>
      <c r="Y47" s="155">
        <v>0</v>
      </c>
      <c r="Z47" s="155">
        <v>0</v>
      </c>
      <c r="AA47" s="153">
        <v>0</v>
      </c>
      <c r="AB47" s="161">
        <v>0</v>
      </c>
      <c r="AC47" s="152">
        <v>0</v>
      </c>
      <c r="AD47" s="155"/>
      <c r="AE47" s="155"/>
      <c r="AF47" s="153">
        <v>0</v>
      </c>
      <c r="AG47" s="161"/>
    </row>
    <row r="48" spans="1:33" ht="14.25" x14ac:dyDescent="0.45">
      <c r="A48" t="s">
        <v>341</v>
      </c>
      <c r="B48" t="s">
        <v>342</v>
      </c>
      <c r="C48" t="s">
        <v>252</v>
      </c>
      <c r="D48" t="s">
        <v>193</v>
      </c>
      <c r="E48" t="s">
        <v>343</v>
      </c>
      <c r="F48" s="8">
        <v>79652</v>
      </c>
      <c r="G48" s="152">
        <v>79652</v>
      </c>
      <c r="H48" s="153">
        <v>0</v>
      </c>
      <c r="I48" s="153">
        <v>0</v>
      </c>
      <c r="J48" s="154">
        <v>79652</v>
      </c>
      <c r="K48" s="155">
        <v>0</v>
      </c>
      <c r="L48" s="153">
        <v>0</v>
      </c>
      <c r="M48" s="152">
        <v>66514</v>
      </c>
      <c r="N48" s="153">
        <v>0</v>
      </c>
      <c r="O48" s="153">
        <v>0</v>
      </c>
      <c r="P48" s="154">
        <v>11301</v>
      </c>
      <c r="Q48" s="155">
        <v>0</v>
      </c>
      <c r="R48" s="153">
        <v>0</v>
      </c>
      <c r="S48" s="156">
        <v>5</v>
      </c>
      <c r="T48" s="154" t="s">
        <v>4335</v>
      </c>
      <c r="U48" s="154">
        <v>5</v>
      </c>
      <c r="V48" s="154">
        <v>5</v>
      </c>
      <c r="W48" s="154">
        <v>5</v>
      </c>
      <c r="X48" s="152">
        <v>66514</v>
      </c>
      <c r="Y48" s="155">
        <v>0</v>
      </c>
      <c r="Z48" s="155">
        <v>0</v>
      </c>
      <c r="AA48" s="154">
        <v>2690</v>
      </c>
      <c r="AB48" s="161">
        <v>0</v>
      </c>
      <c r="AC48" s="152">
        <v>66514</v>
      </c>
      <c r="AD48" s="155"/>
      <c r="AE48" s="155"/>
      <c r="AF48" s="154">
        <v>2690</v>
      </c>
      <c r="AG48" s="161"/>
    </row>
    <row r="49" spans="1:33" ht="14.25" x14ac:dyDescent="0.45">
      <c r="A49" t="s">
        <v>341</v>
      </c>
      <c r="B49" t="s">
        <v>342</v>
      </c>
      <c r="C49" t="s">
        <v>254</v>
      </c>
      <c r="D49" t="s">
        <v>196</v>
      </c>
      <c r="E49" t="s">
        <v>344</v>
      </c>
      <c r="F49" s="8">
        <v>14571</v>
      </c>
      <c r="G49" s="152">
        <v>5332.4750933325968</v>
      </c>
      <c r="H49" s="153">
        <v>0</v>
      </c>
      <c r="I49" s="153">
        <v>0</v>
      </c>
      <c r="J49" s="154">
        <v>5332</v>
      </c>
      <c r="K49" s="155">
        <v>0</v>
      </c>
      <c r="L49" s="153">
        <v>0</v>
      </c>
      <c r="M49" s="152">
        <v>4137</v>
      </c>
      <c r="N49" s="153">
        <v>0</v>
      </c>
      <c r="O49" s="153">
        <v>0</v>
      </c>
      <c r="P49" s="154">
        <v>446</v>
      </c>
      <c r="Q49" s="155">
        <v>0</v>
      </c>
      <c r="R49" s="153">
        <v>0</v>
      </c>
      <c r="S49" s="156">
        <v>3</v>
      </c>
      <c r="T49" s="154" t="s">
        <v>4335</v>
      </c>
      <c r="U49" s="154">
        <v>4</v>
      </c>
      <c r="V49" s="154">
        <v>3</v>
      </c>
      <c r="W49" s="154">
        <v>4</v>
      </c>
      <c r="X49" s="152">
        <v>2784</v>
      </c>
      <c r="Y49" s="155">
        <v>0</v>
      </c>
      <c r="Z49" s="155">
        <v>0</v>
      </c>
      <c r="AA49" s="154">
        <v>223</v>
      </c>
      <c r="AB49" s="161">
        <v>0</v>
      </c>
      <c r="AC49" s="152">
        <v>2784</v>
      </c>
      <c r="AD49" s="155"/>
      <c r="AE49" s="155"/>
      <c r="AF49" s="154">
        <v>45</v>
      </c>
      <c r="AG49" s="161"/>
    </row>
    <row r="50" spans="1:33" ht="14.25" x14ac:dyDescent="0.45">
      <c r="A50" t="s">
        <v>341</v>
      </c>
      <c r="B50" t="s">
        <v>342</v>
      </c>
      <c r="C50" t="s">
        <v>256</v>
      </c>
      <c r="D50" t="s">
        <v>199</v>
      </c>
      <c r="E50" t="s">
        <v>345</v>
      </c>
      <c r="F50" s="8">
        <v>739274</v>
      </c>
      <c r="G50" s="152">
        <v>0</v>
      </c>
      <c r="H50" s="153">
        <v>0</v>
      </c>
      <c r="I50" s="153">
        <v>0</v>
      </c>
      <c r="J50" s="153">
        <v>0</v>
      </c>
      <c r="K50" s="155">
        <v>0</v>
      </c>
      <c r="L50" s="153">
        <v>0</v>
      </c>
      <c r="M50" s="152">
        <v>0</v>
      </c>
      <c r="N50" s="153">
        <v>0</v>
      </c>
      <c r="O50" s="153">
        <v>0</v>
      </c>
      <c r="P50" s="153">
        <v>0</v>
      </c>
      <c r="Q50" s="155">
        <v>0</v>
      </c>
      <c r="R50" s="153">
        <v>0</v>
      </c>
      <c r="S50" s="156">
        <v>0</v>
      </c>
      <c r="T50" s="154" t="s">
        <v>4335</v>
      </c>
      <c r="U50" s="154">
        <v>3</v>
      </c>
      <c r="V50" s="154">
        <v>0</v>
      </c>
      <c r="W50" s="154">
        <v>3</v>
      </c>
      <c r="X50" s="152">
        <v>0</v>
      </c>
      <c r="Y50" s="155">
        <v>0</v>
      </c>
      <c r="Z50" s="155">
        <v>0</v>
      </c>
      <c r="AA50" s="153">
        <v>0</v>
      </c>
      <c r="AB50" s="161">
        <v>0</v>
      </c>
      <c r="AC50" s="152">
        <v>0</v>
      </c>
      <c r="AD50" s="155"/>
      <c r="AE50" s="155"/>
      <c r="AF50" s="153">
        <v>0</v>
      </c>
      <c r="AG50" s="161"/>
    </row>
    <row r="51" spans="1:33" ht="14.25" x14ac:dyDescent="0.45">
      <c r="A51" t="s">
        <v>346</v>
      </c>
      <c r="B51" t="s">
        <v>347</v>
      </c>
      <c r="C51" t="s">
        <v>245</v>
      </c>
      <c r="D51" t="s">
        <v>199</v>
      </c>
      <c r="E51" t="s">
        <v>348</v>
      </c>
      <c r="F51" s="8">
        <v>3034506</v>
      </c>
      <c r="G51" s="152">
        <v>0</v>
      </c>
      <c r="H51" s="153">
        <v>0</v>
      </c>
      <c r="I51" s="153">
        <v>0</v>
      </c>
      <c r="J51" s="153">
        <v>0</v>
      </c>
      <c r="K51" s="155">
        <v>0</v>
      </c>
      <c r="L51" s="153">
        <v>0</v>
      </c>
      <c r="M51" s="152">
        <v>0</v>
      </c>
      <c r="N51" s="153">
        <v>0</v>
      </c>
      <c r="O51" s="153">
        <v>0</v>
      </c>
      <c r="P51" s="153">
        <v>0</v>
      </c>
      <c r="Q51" s="155">
        <v>0</v>
      </c>
      <c r="R51" s="153">
        <v>0</v>
      </c>
      <c r="S51" s="156">
        <v>0</v>
      </c>
      <c r="T51" s="154" t="s">
        <v>4335</v>
      </c>
      <c r="U51" s="154">
        <v>3</v>
      </c>
      <c r="V51" s="154">
        <v>0</v>
      </c>
      <c r="W51" s="154">
        <v>3</v>
      </c>
      <c r="X51" s="152">
        <v>0</v>
      </c>
      <c r="Y51" s="155">
        <v>0</v>
      </c>
      <c r="Z51" s="155">
        <v>0</v>
      </c>
      <c r="AA51" s="153">
        <v>0</v>
      </c>
      <c r="AB51" s="161">
        <v>0</v>
      </c>
      <c r="AC51" s="152">
        <v>0</v>
      </c>
      <c r="AD51" s="155"/>
      <c r="AE51" s="155"/>
      <c r="AF51" s="153">
        <v>0</v>
      </c>
      <c r="AG51" s="161"/>
    </row>
    <row r="52" spans="1:33" ht="14.25" x14ac:dyDescent="0.45">
      <c r="A52" t="s">
        <v>33</v>
      </c>
      <c r="B52" t="s">
        <v>191</v>
      </c>
      <c r="C52" t="s">
        <v>192</v>
      </c>
      <c r="D52" t="s">
        <v>193</v>
      </c>
      <c r="E52" t="s">
        <v>194</v>
      </c>
      <c r="F52" s="8">
        <v>224914</v>
      </c>
      <c r="G52" s="152">
        <v>224914</v>
      </c>
      <c r="H52" s="153">
        <v>0</v>
      </c>
      <c r="I52" s="154">
        <v>15029</v>
      </c>
      <c r="J52" s="154">
        <v>224914</v>
      </c>
      <c r="K52" s="155">
        <v>0</v>
      </c>
      <c r="L52" s="154">
        <v>224914</v>
      </c>
      <c r="M52" s="152">
        <v>224914</v>
      </c>
      <c r="N52" s="153">
        <v>0</v>
      </c>
      <c r="O52" s="154">
        <v>15029</v>
      </c>
      <c r="P52" s="154">
        <v>0</v>
      </c>
      <c r="Q52" s="155">
        <v>0</v>
      </c>
      <c r="R52" s="154">
        <v>224914</v>
      </c>
      <c r="S52" s="156">
        <v>5</v>
      </c>
      <c r="T52" s="154" t="s">
        <v>4335</v>
      </c>
      <c r="U52" s="154">
        <v>5</v>
      </c>
      <c r="V52" s="154">
        <v>5</v>
      </c>
      <c r="W52" s="154">
        <v>5</v>
      </c>
      <c r="X52" s="152">
        <v>128460</v>
      </c>
      <c r="Y52" s="155">
        <v>0</v>
      </c>
      <c r="Z52" s="154">
        <v>7514</v>
      </c>
      <c r="AA52" s="154">
        <v>0</v>
      </c>
      <c r="AB52" s="159">
        <v>128460</v>
      </c>
      <c r="AC52" s="152">
        <v>128460</v>
      </c>
      <c r="AD52" s="155"/>
      <c r="AE52" s="154">
        <v>7514</v>
      </c>
      <c r="AF52" s="154">
        <v>0</v>
      </c>
      <c r="AG52" s="159">
        <v>128460</v>
      </c>
    </row>
    <row r="53" spans="1:33" ht="14.25" x14ac:dyDescent="0.45">
      <c r="A53" t="s">
        <v>33</v>
      </c>
      <c r="B53" t="s">
        <v>191</v>
      </c>
      <c r="C53" t="s">
        <v>195</v>
      </c>
      <c r="D53" t="s">
        <v>196</v>
      </c>
      <c r="E53" t="s">
        <v>197</v>
      </c>
      <c r="F53" s="8">
        <v>225310</v>
      </c>
      <c r="G53" s="152">
        <v>225310</v>
      </c>
      <c r="H53" s="153">
        <v>0</v>
      </c>
      <c r="I53" s="154">
        <v>6485</v>
      </c>
      <c r="J53" s="154">
        <v>225310</v>
      </c>
      <c r="K53" s="155">
        <v>0</v>
      </c>
      <c r="L53" s="154">
        <v>225310</v>
      </c>
      <c r="M53" s="152">
        <v>225310</v>
      </c>
      <c r="N53" s="153">
        <v>0</v>
      </c>
      <c r="O53" s="154">
        <v>6485</v>
      </c>
      <c r="P53" s="154">
        <v>0</v>
      </c>
      <c r="Q53" s="155">
        <v>0</v>
      </c>
      <c r="R53" s="154">
        <v>225310</v>
      </c>
      <c r="S53" s="152">
        <v>4</v>
      </c>
      <c r="T53" s="154" t="s">
        <v>4335</v>
      </c>
      <c r="U53" s="154">
        <v>4</v>
      </c>
      <c r="V53" s="154">
        <v>4</v>
      </c>
      <c r="W53" s="154">
        <v>4</v>
      </c>
      <c r="X53" s="152">
        <v>151946</v>
      </c>
      <c r="Y53" s="155">
        <v>0</v>
      </c>
      <c r="Z53" s="154">
        <v>3243</v>
      </c>
      <c r="AA53" s="154">
        <v>0</v>
      </c>
      <c r="AB53" s="159">
        <v>155189</v>
      </c>
      <c r="AC53" s="152">
        <v>151946</v>
      </c>
      <c r="AD53" s="155"/>
      <c r="AE53" s="154">
        <v>3243</v>
      </c>
      <c r="AF53" s="154">
        <v>0</v>
      </c>
      <c r="AG53" s="159">
        <v>155189</v>
      </c>
    </row>
    <row r="54" spans="1:33" ht="14.25" x14ac:dyDescent="0.45">
      <c r="A54" t="s">
        <v>33</v>
      </c>
      <c r="B54" t="s">
        <v>191</v>
      </c>
      <c r="C54" t="s">
        <v>198</v>
      </c>
      <c r="D54" t="s">
        <v>199</v>
      </c>
      <c r="E54" t="s">
        <v>200</v>
      </c>
      <c r="F54" s="8">
        <v>304427</v>
      </c>
      <c r="G54" s="152">
        <v>0</v>
      </c>
      <c r="H54" s="153">
        <v>0</v>
      </c>
      <c r="I54" s="154">
        <v>6055</v>
      </c>
      <c r="J54" s="153">
        <v>0</v>
      </c>
      <c r="K54" s="158">
        <v>304427</v>
      </c>
      <c r="L54" s="154">
        <v>304427</v>
      </c>
      <c r="M54" s="152">
        <v>0</v>
      </c>
      <c r="N54" s="153">
        <v>0</v>
      </c>
      <c r="O54" s="154">
        <v>6055</v>
      </c>
      <c r="P54" s="153">
        <v>0</v>
      </c>
      <c r="Q54" s="158">
        <v>304427</v>
      </c>
      <c r="R54" s="154">
        <v>304427</v>
      </c>
      <c r="S54" s="152">
        <v>0</v>
      </c>
      <c r="T54" s="154" t="s">
        <v>4335</v>
      </c>
      <c r="U54" s="154">
        <v>4</v>
      </c>
      <c r="V54" s="154">
        <v>0</v>
      </c>
      <c r="W54" s="154">
        <v>4</v>
      </c>
      <c r="X54" s="152">
        <v>0</v>
      </c>
      <c r="Y54" s="155">
        <v>0</v>
      </c>
      <c r="Z54" s="154">
        <v>3028</v>
      </c>
      <c r="AA54" s="153">
        <v>0</v>
      </c>
      <c r="AB54" s="159">
        <v>3028</v>
      </c>
      <c r="AC54" s="152">
        <v>0</v>
      </c>
      <c r="AD54" s="155"/>
      <c r="AE54" s="154">
        <v>3028</v>
      </c>
      <c r="AF54" s="153">
        <v>0</v>
      </c>
      <c r="AG54" s="159">
        <v>3028</v>
      </c>
    </row>
    <row r="55" spans="1:33" ht="14.25" x14ac:dyDescent="0.45">
      <c r="A55" t="s">
        <v>33</v>
      </c>
      <c r="B55" t="s">
        <v>191</v>
      </c>
      <c r="C55" t="s">
        <v>201</v>
      </c>
      <c r="D55" t="s">
        <v>199</v>
      </c>
      <c r="E55" t="s">
        <v>202</v>
      </c>
      <c r="F55" s="8">
        <v>190590</v>
      </c>
      <c r="G55" s="152">
        <v>0</v>
      </c>
      <c r="H55" s="153">
        <v>0</v>
      </c>
      <c r="I55" s="154">
        <v>3791</v>
      </c>
      <c r="J55" s="153">
        <v>0</v>
      </c>
      <c r="K55" s="158">
        <v>190590</v>
      </c>
      <c r="L55" s="154">
        <v>190590</v>
      </c>
      <c r="M55" s="152">
        <v>0</v>
      </c>
      <c r="N55" s="153">
        <v>0</v>
      </c>
      <c r="O55" s="154">
        <v>3790</v>
      </c>
      <c r="P55" s="153">
        <v>0</v>
      </c>
      <c r="Q55" s="158">
        <v>190590</v>
      </c>
      <c r="R55" s="154">
        <v>190590</v>
      </c>
      <c r="S55" s="152">
        <v>0</v>
      </c>
      <c r="T55" s="154" t="s">
        <v>4335</v>
      </c>
      <c r="U55" s="154">
        <v>3</v>
      </c>
      <c r="V55" s="154">
        <v>0</v>
      </c>
      <c r="W55" s="154">
        <v>3</v>
      </c>
      <c r="X55" s="152">
        <v>0</v>
      </c>
      <c r="Y55" s="155">
        <v>0</v>
      </c>
      <c r="Z55" s="154">
        <v>948</v>
      </c>
      <c r="AA55" s="153">
        <v>0</v>
      </c>
      <c r="AB55" s="159">
        <v>948</v>
      </c>
      <c r="AC55" s="152">
        <v>0</v>
      </c>
      <c r="AD55" s="155"/>
      <c r="AE55" s="154">
        <v>189</v>
      </c>
      <c r="AF55" s="153">
        <v>0</v>
      </c>
      <c r="AG55" s="159">
        <v>189</v>
      </c>
    </row>
    <row r="56" spans="1:33" ht="14.25" x14ac:dyDescent="0.45">
      <c r="A56" t="s">
        <v>203</v>
      </c>
      <c r="B56" t="s">
        <v>204</v>
      </c>
      <c r="C56" t="s">
        <v>205</v>
      </c>
      <c r="D56" t="s">
        <v>193</v>
      </c>
      <c r="E56" t="s">
        <v>206</v>
      </c>
      <c r="F56" s="163">
        <v>1104543</v>
      </c>
      <c r="G56" s="163">
        <v>1104543</v>
      </c>
      <c r="H56" s="153">
        <v>0</v>
      </c>
      <c r="I56" s="158">
        <v>428256</v>
      </c>
      <c r="J56" s="162">
        <v>1104543</v>
      </c>
      <c r="K56" s="155">
        <v>0</v>
      </c>
      <c r="L56" s="154">
        <v>1104543</v>
      </c>
      <c r="M56" s="163">
        <v>1004983</v>
      </c>
      <c r="N56" s="153">
        <v>0</v>
      </c>
      <c r="O56" s="158">
        <v>428256</v>
      </c>
      <c r="P56" s="162">
        <v>328817</v>
      </c>
      <c r="Q56" s="155">
        <v>0</v>
      </c>
      <c r="R56" s="154">
        <v>1004983</v>
      </c>
      <c r="S56" s="160">
        <v>0</v>
      </c>
      <c r="T56" s="153" t="s">
        <v>4335</v>
      </c>
      <c r="U56" s="154">
        <v>5</v>
      </c>
      <c r="V56" s="153" t="s">
        <v>4335</v>
      </c>
      <c r="W56" s="153" t="s">
        <v>4335</v>
      </c>
      <c r="X56" s="163">
        <v>982830</v>
      </c>
      <c r="Y56" s="155">
        <v>0</v>
      </c>
      <c r="Z56" s="154">
        <v>214128</v>
      </c>
      <c r="AA56" s="162">
        <v>134864</v>
      </c>
      <c r="AB56" s="159">
        <v>982830</v>
      </c>
      <c r="AC56" s="163">
        <v>982830</v>
      </c>
      <c r="AD56" s="155"/>
      <c r="AE56" s="154">
        <v>214128</v>
      </c>
      <c r="AF56" s="162">
        <v>134864</v>
      </c>
      <c r="AG56" s="159">
        <v>982830</v>
      </c>
    </row>
    <row r="57" spans="1:33" ht="15" customHeight="1" x14ac:dyDescent="0.45">
      <c r="A57" t="s">
        <v>207</v>
      </c>
      <c r="B57" t="s">
        <v>204</v>
      </c>
      <c r="C57" t="s">
        <v>208</v>
      </c>
      <c r="D57" t="s">
        <v>196</v>
      </c>
      <c r="E57" t="s">
        <v>209</v>
      </c>
      <c r="F57" s="163">
        <v>2459334</v>
      </c>
      <c r="G57" s="163">
        <v>1228260.181292699</v>
      </c>
      <c r="H57" s="153">
        <v>0</v>
      </c>
      <c r="I57" s="158">
        <v>297609</v>
      </c>
      <c r="J57" s="162">
        <v>1228261</v>
      </c>
      <c r="K57" s="155">
        <v>0</v>
      </c>
      <c r="L57" s="154">
        <v>1525869.181292699</v>
      </c>
      <c r="M57" s="163">
        <v>1080945</v>
      </c>
      <c r="N57" s="153">
        <v>0</v>
      </c>
      <c r="O57" s="158">
        <v>297609</v>
      </c>
      <c r="P57" s="162">
        <v>287226</v>
      </c>
      <c r="Q57" s="155">
        <v>0</v>
      </c>
      <c r="R57" s="154">
        <v>1378554</v>
      </c>
      <c r="S57" s="160">
        <v>0</v>
      </c>
      <c r="T57" s="153" t="s">
        <v>4335</v>
      </c>
      <c r="U57" s="154">
        <v>4</v>
      </c>
      <c r="V57" s="153" t="s">
        <v>4335</v>
      </c>
      <c r="W57" s="153" t="s">
        <v>4335</v>
      </c>
      <c r="X57" s="163">
        <v>936915</v>
      </c>
      <c r="Y57" s="155">
        <v>0</v>
      </c>
      <c r="Z57" s="154">
        <v>152603</v>
      </c>
      <c r="AA57" s="162">
        <v>104087</v>
      </c>
      <c r="AB57" s="159">
        <v>1193605</v>
      </c>
      <c r="AC57" s="163">
        <v>933328</v>
      </c>
      <c r="AD57" s="155"/>
      <c r="AE57" s="154">
        <v>152602</v>
      </c>
      <c r="AF57" s="162">
        <v>94697</v>
      </c>
      <c r="AG57" s="159">
        <v>1180627</v>
      </c>
    </row>
    <row r="58" spans="1:33" ht="15" customHeight="1" x14ac:dyDescent="0.45">
      <c r="A58" t="s">
        <v>214</v>
      </c>
      <c r="B58" t="s">
        <v>204</v>
      </c>
      <c r="C58" t="s">
        <v>349</v>
      </c>
      <c r="D58" t="s">
        <v>199</v>
      </c>
      <c r="E58" t="s">
        <v>210</v>
      </c>
      <c r="F58" s="163">
        <v>23881586</v>
      </c>
      <c r="G58" s="157">
        <v>0</v>
      </c>
      <c r="H58" s="153">
        <v>0</v>
      </c>
      <c r="I58" s="158">
        <v>1643127</v>
      </c>
      <c r="J58" s="153">
        <v>0</v>
      </c>
      <c r="K58" s="158">
        <v>6407206.9555557044</v>
      </c>
      <c r="L58" s="154">
        <v>6407206.9555557044</v>
      </c>
      <c r="M58" s="157">
        <v>0</v>
      </c>
      <c r="N58" s="153">
        <v>0</v>
      </c>
      <c r="O58" s="158">
        <v>1643127</v>
      </c>
      <c r="P58" s="155">
        <v>0</v>
      </c>
      <c r="Q58" s="158">
        <v>5048344.2923931861</v>
      </c>
      <c r="R58" s="154">
        <v>5048344.2923931861</v>
      </c>
      <c r="S58" s="160">
        <v>0</v>
      </c>
      <c r="T58" s="153" t="s">
        <v>4335</v>
      </c>
      <c r="U58" s="154">
        <v>3</v>
      </c>
      <c r="V58" s="153" t="s">
        <v>4335</v>
      </c>
      <c r="W58" s="153" t="s">
        <v>4335</v>
      </c>
      <c r="X58" s="160">
        <v>0</v>
      </c>
      <c r="Y58" s="155">
        <v>0</v>
      </c>
      <c r="Z58" s="154">
        <v>432427</v>
      </c>
      <c r="AA58" s="155">
        <v>0</v>
      </c>
      <c r="AB58" s="159">
        <v>432427</v>
      </c>
      <c r="AC58" s="160">
        <v>0</v>
      </c>
      <c r="AD58" s="155"/>
      <c r="AE58" s="154">
        <v>86485</v>
      </c>
      <c r="AF58" s="155">
        <v>0</v>
      </c>
      <c r="AG58" s="159">
        <v>86485</v>
      </c>
    </row>
    <row r="59" spans="1:33" ht="15" customHeight="1" x14ac:dyDescent="0.45">
      <c r="A59" t="s">
        <v>141</v>
      </c>
      <c r="F59" s="8">
        <f>SUM(F8:F55)</f>
        <v>28390704</v>
      </c>
      <c r="G59" s="20">
        <f>SUM(G8:G55)</f>
        <v>2783027.1812926992</v>
      </c>
      <c r="H59" s="13">
        <f>SUBTOTAL(109,wand_total[ndp_aff_sp2_joint])</f>
        <v>0</v>
      </c>
      <c r="I59" s="13">
        <f>SUBTOTAL(109,wand_total[ndp_aff_sp3_joint])</f>
        <v>2400352</v>
      </c>
      <c r="J59" s="13">
        <f>SUM(J8:J55)</f>
        <v>2783028</v>
      </c>
      <c r="K59" s="13">
        <f>SUBTOTAL(109,wand_total[ndp_aff_sp5_joint])</f>
        <v>6902223.9555557044</v>
      </c>
      <c r="L59" s="13">
        <f>SUBTOTAL(109,wand_total[ndp_aff_total_joint])</f>
        <v>9982860.1368484031</v>
      </c>
      <c r="M59" s="140">
        <f>SUM(M8:M55)</f>
        <v>2536152</v>
      </c>
      <c r="N59" s="14">
        <f>SUBTOTAL(109,wand_total[ndp_pin_sp2_joint])</f>
        <v>0</v>
      </c>
      <c r="O59" s="14">
        <f>SUBTOTAL(109,wand_total[ndp_pin_sp3_joint])</f>
        <v>2400351</v>
      </c>
      <c r="P59" s="14">
        <f>SUM(P8:P55)</f>
        <v>616043</v>
      </c>
      <c r="Q59" s="14">
        <f>SUBTOTAL(109,wand_total[ndp_pin_sp5_joint])</f>
        <v>5543361.2923931861</v>
      </c>
      <c r="R59" s="14">
        <f>SUBTOTAL(109,wand_total[ndp_pin_total_joint])</f>
        <v>8377122.2923931861</v>
      </c>
      <c r="S59" s="59"/>
      <c r="T59" s="12"/>
      <c r="U59" s="12"/>
      <c r="V59" s="12"/>
      <c r="W59" s="11"/>
      <c r="X59" s="10">
        <f>SUM(X8:X55)</f>
        <v>2200151</v>
      </c>
      <c r="Y59" s="8">
        <f>SUBTOTAL(109,wand_total[ndp_target_sp2_joint])</f>
        <v>0</v>
      </c>
      <c r="Z59" s="8">
        <f>SUBTOTAL(109,wand_total[ndp_target_sp3_joint])</f>
        <v>813891</v>
      </c>
      <c r="AA59" s="8">
        <f>SUM(AA8:AA55)</f>
        <v>238951</v>
      </c>
      <c r="AB59" s="135">
        <f>SUBTOTAL(109,wand_total[ndp_target_total_joint])</f>
        <v>2896487</v>
      </c>
      <c r="AC59" s="10">
        <f>SUM(AC8:AC55)</f>
        <v>2196564</v>
      </c>
      <c r="AD59" s="8">
        <f>SUBTOTAL(109,wand_total[ndp_targetPr_sp2_joint])</f>
        <v>0</v>
      </c>
      <c r="AE59" s="8">
        <f>SUBTOTAL(109,wand_total[ndp_targetPr_sp3_joint])</f>
        <v>467189</v>
      </c>
      <c r="AF59" s="8">
        <f>SUM(AF8:AF55)</f>
        <v>229561</v>
      </c>
      <c r="AG59" s="135">
        <f>SUBTOTAL(109,wand_total[ndp_targetPr_total_joint])</f>
        <v>2536808</v>
      </c>
    </row>
    <row r="61" spans="1:33" ht="15" customHeight="1" x14ac:dyDescent="0.45">
      <c r="F61" s="378" t="s">
        <v>4267</v>
      </c>
      <c r="G61" s="378"/>
      <c r="H61" s="378"/>
      <c r="I61" s="378"/>
      <c r="J61" s="378"/>
      <c r="K61" s="378"/>
      <c r="L61" s="378"/>
      <c r="M61" s="378"/>
      <c r="N61" s="378"/>
      <c r="O61" s="378"/>
      <c r="P61" s="378"/>
      <c r="Q61" s="378"/>
      <c r="R61" s="378"/>
      <c r="S61" s="378"/>
      <c r="T61" s="378"/>
      <c r="U61" s="378"/>
      <c r="V61" s="378"/>
      <c r="W61" s="378"/>
      <c r="X61" s="378"/>
      <c r="Y61" s="378"/>
      <c r="Z61" s="378"/>
      <c r="AA61" s="378"/>
      <c r="AB61" s="378"/>
      <c r="AC61" s="378"/>
      <c r="AD61" s="378"/>
      <c r="AE61" s="378"/>
      <c r="AF61" s="378"/>
      <c r="AG61" s="378"/>
    </row>
  </sheetData>
  <mergeCells count="1">
    <mergeCell ref="F61:AG61"/>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242F9-C39A-4D03-9A99-28E70636F623}">
  <sheetPr codeName="Sheet14"/>
  <dimension ref="A1:BF71"/>
  <sheetViews>
    <sheetView showGridLines="0" zoomScaleNormal="100" workbookViewId="0">
      <pane xSplit="5" ySplit="7" topLeftCell="F8" activePane="bottomRight" state="frozenSplit"/>
      <selection pane="topRight" activeCell="F1" sqref="F1"/>
      <selection pane="bottomLeft" activeCell="A18" sqref="A18"/>
      <selection pane="bottomRight"/>
    </sheetView>
  </sheetViews>
  <sheetFormatPr defaultRowHeight="15" customHeight="1" x14ac:dyDescent="0.45"/>
  <cols>
    <col min="1" max="1" width="19.53125" customWidth="1"/>
    <col min="2" max="2" width="12.1328125" customWidth="1"/>
    <col min="3" max="3" width="14.3984375" customWidth="1"/>
    <col min="4" max="4" width="13.53125" customWidth="1"/>
    <col min="5" max="5" width="14.1328125" customWidth="1"/>
    <col min="6" max="19" width="10.6640625" customWidth="1"/>
    <col min="20" max="20" width="11.53125" customWidth="1"/>
    <col min="21" max="31" width="6.6640625" customWidth="1"/>
    <col min="32" max="32" width="12.59765625" customWidth="1"/>
  </cols>
  <sheetData>
    <row r="1" spans="1:58" ht="27.95" customHeight="1" x14ac:dyDescent="0.45">
      <c r="A1" s="296" t="s">
        <v>730</v>
      </c>
    </row>
    <row r="2" spans="1:58" ht="19.899999999999999" x14ac:dyDescent="0.45">
      <c r="A2" s="297" t="s">
        <v>4281</v>
      </c>
    </row>
    <row r="3" spans="1:58" ht="14.25" x14ac:dyDescent="0.45">
      <c r="A3" s="5" t="str">
        <f>ActivityList!A3</f>
        <v>Release Date: 13 January 2026</v>
      </c>
      <c r="I3" s="48" t="str">
        <f>"sp1_overall_pin_"&amp;I4</f>
        <v>sp1_overall_pin_ed</v>
      </c>
      <c r="J3" s="48" t="str">
        <f t="shared" ref="J3:Q3" si="0">"sp1_overall_pin_"&amp;J4</f>
        <v>sp1_overall_pin_fs</v>
      </c>
      <c r="K3" s="48" t="str">
        <f t="shared" si="0"/>
        <v>sp1_overall_pin_he</v>
      </c>
      <c r="L3" s="48" t="str">
        <f t="shared" si="0"/>
        <v>sp1_overall_pin_pr</v>
      </c>
      <c r="M3" s="48" t="str">
        <f t="shared" si="0"/>
        <v>sp1_overall_pin_sn</v>
      </c>
      <c r="N3" s="48" t="str">
        <f t="shared" si="0"/>
        <v>sp1_overall_pin_wa</v>
      </c>
      <c r="O3" s="48" t="str">
        <f t="shared" si="0"/>
        <v>sp1_overall_pin_gp</v>
      </c>
      <c r="P3" s="48" t="str">
        <f t="shared" si="0"/>
        <v>sp1_overall_pin_cp</v>
      </c>
      <c r="Q3" s="48" t="str">
        <f t="shared" si="0"/>
        <v>sp1_overall_pin_gb</v>
      </c>
      <c r="R3" s="48"/>
      <c r="S3" s="48"/>
    </row>
    <row r="4" spans="1:58" ht="15.75" x14ac:dyDescent="0.5">
      <c r="F4" s="34"/>
      <c r="G4" s="34"/>
      <c r="H4" s="34"/>
      <c r="I4" s="49" t="s">
        <v>154</v>
      </c>
      <c r="J4" s="49" t="s">
        <v>155</v>
      </c>
      <c r="K4" s="49" t="s">
        <v>156</v>
      </c>
      <c r="L4" s="49" t="s">
        <v>157</v>
      </c>
      <c r="M4" s="49" t="s">
        <v>382</v>
      </c>
      <c r="N4" s="49" t="s">
        <v>158</v>
      </c>
      <c r="O4" s="49" t="s">
        <v>478</v>
      </c>
      <c r="P4" s="49" t="s">
        <v>479</v>
      </c>
      <c r="Q4" s="49" t="s">
        <v>480</v>
      </c>
      <c r="R4" s="49"/>
      <c r="S4" s="49"/>
      <c r="T4" s="34"/>
    </row>
    <row r="5" spans="1:58" ht="16.25" customHeight="1" x14ac:dyDescent="0.45">
      <c r="A5" s="2" t="s">
        <v>159</v>
      </c>
      <c r="B5" s="2"/>
      <c r="C5" s="2" t="s">
        <v>160</v>
      </c>
      <c r="D5" s="2"/>
      <c r="E5" s="2"/>
      <c r="F5" s="37" t="s">
        <v>481</v>
      </c>
      <c r="G5" s="38"/>
      <c r="H5" s="39"/>
      <c r="I5" s="43" t="s">
        <v>224</v>
      </c>
      <c r="J5" s="43"/>
      <c r="K5" s="43"/>
      <c r="L5" s="43"/>
      <c r="M5" s="43"/>
      <c r="N5" s="43"/>
      <c r="O5" s="102" t="s">
        <v>351</v>
      </c>
      <c r="P5" s="43"/>
      <c r="Q5" s="43"/>
      <c r="R5" s="102" t="s">
        <v>352</v>
      </c>
      <c r="S5" s="43"/>
      <c r="T5" s="108" t="s">
        <v>4255</v>
      </c>
      <c r="U5" s="35" t="s">
        <v>350</v>
      </c>
      <c r="V5" s="35"/>
      <c r="W5" s="35"/>
      <c r="X5" s="35"/>
      <c r="Y5" s="35"/>
      <c r="Z5" s="35"/>
      <c r="AA5" s="119" t="s">
        <v>351</v>
      </c>
      <c r="AB5" s="35"/>
      <c r="AC5" s="35"/>
      <c r="AD5" s="94" t="s">
        <v>352</v>
      </c>
      <c r="AE5" s="35"/>
      <c r="AF5" s="294" t="s">
        <v>4256</v>
      </c>
      <c r="AG5" s="67" t="s">
        <v>226</v>
      </c>
      <c r="AH5" s="67"/>
      <c r="AI5" s="67"/>
      <c r="AJ5" s="67"/>
      <c r="AK5" s="67"/>
      <c r="AL5" s="67"/>
      <c r="AM5" s="74" t="s">
        <v>351</v>
      </c>
      <c r="AN5" s="67"/>
      <c r="AO5" s="76"/>
      <c r="AP5" s="74" t="s">
        <v>352</v>
      </c>
      <c r="AQ5" s="67"/>
      <c r="AR5" s="78"/>
      <c r="AS5" s="93" t="s">
        <v>141</v>
      </c>
      <c r="AT5" s="189" t="s">
        <v>4035</v>
      </c>
      <c r="AU5" s="189"/>
      <c r="AV5" s="189"/>
      <c r="AW5" s="189"/>
      <c r="AX5" s="189"/>
      <c r="AY5" s="189"/>
      <c r="AZ5" s="190" t="s">
        <v>351</v>
      </c>
      <c r="BA5" s="189"/>
      <c r="BB5" s="191"/>
      <c r="BC5" s="190" t="s">
        <v>352</v>
      </c>
      <c r="BD5" s="189"/>
      <c r="BE5" s="192"/>
      <c r="BF5" s="193" t="s">
        <v>141</v>
      </c>
    </row>
    <row r="6" spans="1:58" ht="14.25" x14ac:dyDescent="0.45">
      <c r="A6" s="1" t="s">
        <v>161</v>
      </c>
      <c r="B6" s="1" t="s">
        <v>162</v>
      </c>
      <c r="C6" s="1" t="s">
        <v>211</v>
      </c>
      <c r="D6" s="1" t="s">
        <v>4252</v>
      </c>
      <c r="E6" s="1" t="s">
        <v>138</v>
      </c>
      <c r="F6" s="40" t="s">
        <v>153</v>
      </c>
      <c r="G6" s="41" t="s">
        <v>482</v>
      </c>
      <c r="H6" s="42" t="s">
        <v>11</v>
      </c>
      <c r="I6" s="44" t="s">
        <v>140</v>
      </c>
      <c r="J6" s="44" t="s">
        <v>368</v>
      </c>
      <c r="K6" s="44" t="s">
        <v>145</v>
      </c>
      <c r="L6" s="44" t="s">
        <v>146</v>
      </c>
      <c r="M6" s="44" t="s">
        <v>150</v>
      </c>
      <c r="N6" s="44" t="s">
        <v>148</v>
      </c>
      <c r="O6" s="109" t="s">
        <v>354</v>
      </c>
      <c r="P6" s="46" t="s">
        <v>143</v>
      </c>
      <c r="Q6" s="110" t="s">
        <v>149</v>
      </c>
      <c r="R6" s="46" t="s">
        <v>142</v>
      </c>
      <c r="S6" s="46" t="s">
        <v>144</v>
      </c>
      <c r="T6" s="108"/>
      <c r="U6" s="36" t="s">
        <v>140</v>
      </c>
      <c r="V6" s="36" t="s">
        <v>368</v>
      </c>
      <c r="W6" s="36" t="s">
        <v>145</v>
      </c>
      <c r="X6" s="36" t="s">
        <v>146</v>
      </c>
      <c r="Y6" s="36" t="s">
        <v>150</v>
      </c>
      <c r="Z6" s="36" t="s">
        <v>148</v>
      </c>
      <c r="AA6" s="107" t="s">
        <v>354</v>
      </c>
      <c r="AB6" s="46" t="s">
        <v>143</v>
      </c>
      <c r="AC6" s="46" t="s">
        <v>149</v>
      </c>
      <c r="AD6" s="75" t="s">
        <v>142</v>
      </c>
      <c r="AE6" s="46" t="s">
        <v>144</v>
      </c>
      <c r="AF6" s="103" t="s">
        <v>4257</v>
      </c>
      <c r="AG6" s="68" t="s">
        <v>140</v>
      </c>
      <c r="AH6" s="68" t="s">
        <v>368</v>
      </c>
      <c r="AI6" s="68" t="s">
        <v>145</v>
      </c>
      <c r="AJ6" s="68" t="s">
        <v>146</v>
      </c>
      <c r="AK6" s="68" t="s">
        <v>150</v>
      </c>
      <c r="AL6" s="68" t="s">
        <v>148</v>
      </c>
      <c r="AM6" s="75" t="s">
        <v>354</v>
      </c>
      <c r="AN6" s="46" t="s">
        <v>143</v>
      </c>
      <c r="AO6" s="77" t="s">
        <v>149</v>
      </c>
      <c r="AP6" s="77" t="s">
        <v>142</v>
      </c>
      <c r="AQ6" s="77" t="s">
        <v>144</v>
      </c>
      <c r="AR6" s="78" t="s">
        <v>147</v>
      </c>
      <c r="AS6" s="111"/>
      <c r="AT6" s="194" t="s">
        <v>140</v>
      </c>
      <c r="AU6" s="194" t="s">
        <v>368</v>
      </c>
      <c r="AV6" s="194" t="s">
        <v>145</v>
      </c>
      <c r="AW6" s="194" t="s">
        <v>146</v>
      </c>
      <c r="AX6" s="194" t="s">
        <v>150</v>
      </c>
      <c r="AY6" s="194" t="s">
        <v>148</v>
      </c>
      <c r="AZ6" s="75" t="s">
        <v>354</v>
      </c>
      <c r="BA6" s="46" t="s">
        <v>143</v>
      </c>
      <c r="BB6" s="77" t="s">
        <v>149</v>
      </c>
      <c r="BC6" s="77" t="s">
        <v>142</v>
      </c>
      <c r="BD6" s="77" t="s">
        <v>144</v>
      </c>
      <c r="BE6" s="196" t="s">
        <v>147</v>
      </c>
      <c r="BF6" s="197"/>
    </row>
    <row r="7" spans="1:58" ht="14.25" x14ac:dyDescent="0.45">
      <c r="A7" s="3" t="s">
        <v>165</v>
      </c>
      <c r="B7" s="3" t="s">
        <v>166</v>
      </c>
      <c r="C7" s="3" t="s">
        <v>167</v>
      </c>
      <c r="D7" s="3" t="s">
        <v>168</v>
      </c>
      <c r="E7" s="3" t="s">
        <v>169</v>
      </c>
      <c r="F7" s="15" t="s">
        <v>486</v>
      </c>
      <c r="G7" s="16" t="s">
        <v>487</v>
      </c>
      <c r="H7" s="128" t="s">
        <v>488</v>
      </c>
      <c r="I7" s="15" t="s">
        <v>555</v>
      </c>
      <c r="J7" s="45" t="s">
        <v>4195</v>
      </c>
      <c r="K7" s="45" t="s">
        <v>557</v>
      </c>
      <c r="L7" s="45" t="s">
        <v>558</v>
      </c>
      <c r="M7" s="45" t="s">
        <v>559</v>
      </c>
      <c r="N7" s="45" t="s">
        <v>560</v>
      </c>
      <c r="O7" s="45" t="s">
        <v>561</v>
      </c>
      <c r="P7" s="45" t="s">
        <v>562</v>
      </c>
      <c r="Q7" s="45" t="s">
        <v>563</v>
      </c>
      <c r="R7" s="45" t="s">
        <v>556</v>
      </c>
      <c r="S7" s="21" t="s">
        <v>564</v>
      </c>
      <c r="T7" s="19" t="s">
        <v>565</v>
      </c>
      <c r="U7" s="136" t="s">
        <v>566</v>
      </c>
      <c r="V7" s="4" t="s">
        <v>4196</v>
      </c>
      <c r="W7" s="4" t="s">
        <v>568</v>
      </c>
      <c r="X7" s="4" t="s">
        <v>569</v>
      </c>
      <c r="Y7" s="4" t="s">
        <v>570</v>
      </c>
      <c r="Z7" s="4" t="s">
        <v>571</v>
      </c>
      <c r="AA7" s="4" t="s">
        <v>572</v>
      </c>
      <c r="AB7" s="4" t="s">
        <v>573</v>
      </c>
      <c r="AC7" s="7" t="s">
        <v>574</v>
      </c>
      <c r="AD7" s="95" t="s">
        <v>567</v>
      </c>
      <c r="AE7" s="7" t="s">
        <v>575</v>
      </c>
      <c r="AF7" s="95" t="s">
        <v>576</v>
      </c>
      <c r="AG7" s="206" t="s">
        <v>577</v>
      </c>
      <c r="AH7" s="207" t="s">
        <v>4197</v>
      </c>
      <c r="AI7" s="207" t="s">
        <v>579</v>
      </c>
      <c r="AJ7" s="207" t="s">
        <v>580</v>
      </c>
      <c r="AK7" s="207" t="s">
        <v>581</v>
      </c>
      <c r="AL7" s="207" t="s">
        <v>582</v>
      </c>
      <c r="AM7" s="207" t="s">
        <v>583</v>
      </c>
      <c r="AN7" s="207" t="s">
        <v>584</v>
      </c>
      <c r="AO7" s="207" t="s">
        <v>585</v>
      </c>
      <c r="AP7" s="212" t="s">
        <v>578</v>
      </c>
      <c r="AQ7" s="207" t="s">
        <v>586</v>
      </c>
      <c r="AR7" s="212" t="s">
        <v>4228</v>
      </c>
      <c r="AS7" s="208" t="s">
        <v>587</v>
      </c>
      <c r="AT7" s="53" t="s">
        <v>4093</v>
      </c>
      <c r="AU7" s="53" t="s">
        <v>4198</v>
      </c>
      <c r="AV7" s="53" t="s">
        <v>4095</v>
      </c>
      <c r="AW7" s="53" t="s">
        <v>4096</v>
      </c>
      <c r="AX7" s="53" t="s">
        <v>4097</v>
      </c>
      <c r="AY7" s="53" t="s">
        <v>4098</v>
      </c>
      <c r="AZ7" s="53" t="s">
        <v>4099</v>
      </c>
      <c r="BA7" s="53" t="s">
        <v>4100</v>
      </c>
      <c r="BB7" s="53" t="s">
        <v>4101</v>
      </c>
      <c r="BC7" s="53" t="s">
        <v>4094</v>
      </c>
      <c r="BD7" s="53" t="s">
        <v>4102</v>
      </c>
      <c r="BE7" s="53" t="s">
        <v>4229</v>
      </c>
      <c r="BF7" s="25" t="s">
        <v>4103</v>
      </c>
    </row>
    <row r="8" spans="1:58" ht="14.25" x14ac:dyDescent="0.45">
      <c r="A8" t="s">
        <v>243</v>
      </c>
      <c r="B8" t="s">
        <v>244</v>
      </c>
      <c r="C8" t="s">
        <v>245</v>
      </c>
      <c r="D8" t="s">
        <v>199</v>
      </c>
      <c r="E8" t="s">
        <v>246</v>
      </c>
      <c r="F8" s="22">
        <v>0</v>
      </c>
      <c r="G8" s="23">
        <v>0</v>
      </c>
      <c r="H8" s="23"/>
      <c r="I8" s="55">
        <f>idp_SP1[[#This Row],[sp1_idp_pin_ed]]+ndp_SP1[[#This Row],[sp1_ndp_pin_ed]]</f>
        <v>0</v>
      </c>
      <c r="J8" s="51">
        <f>idp_SP1[[#This Row],[sp1_idp_pin_fl]]+ndp_SP1[[#This Row],[sp1_ndp_pin_fl]]</f>
        <v>0</v>
      </c>
      <c r="K8" s="51">
        <f>idp_SP1[[#This Row],[sp1_idp_pin_he]]+ndp_SP1[[#This Row],[sp1_ndp_pin_he]]</f>
        <v>0</v>
      </c>
      <c r="L8" s="51">
        <f>idp_SP1[[#This Row],[sp1_idp_pin_pr]]+ndp_SP1[[#This Row],[sp1_ndp_pin_pr]]</f>
        <v>0</v>
      </c>
      <c r="M8" s="51">
        <f>idp_SP1[[#This Row],[sp1_idp_pin_sn]]+ndp_SP1[[#This Row],[sp1_ndp_pin_sn]]</f>
        <v>0</v>
      </c>
      <c r="N8" s="51">
        <f>idp_SP1[[#This Row],[sp1_idp_pin_wa]]+ndp_SP1[[#This Row],[sp1_ndp_pin_wa]]</f>
        <v>0</v>
      </c>
      <c r="O8" s="51">
        <f>idp_SP1[[#This Row],[sp1_idp_pin_gp]]+ndp_SP1[[#This Row],[sp1_ndp_pin_gp]]</f>
        <v>0</v>
      </c>
      <c r="P8" s="51">
        <f>idp_SP1[[#This Row],[sp1_idp_pin_cp]]+ndp_SP1[[#This Row],[sp1_ndp_pin_cp]]</f>
        <v>0</v>
      </c>
      <c r="Q8" s="51">
        <f>idp_SP1[[#This Row],[sp1_idp_pin_gb]]+ndp_SP1[[#This Row],[sp1_ndp_pin_gb]]</f>
        <v>0</v>
      </c>
      <c r="R8" s="51">
        <f>idp_SP1[[#This Row],[sp1_idp_pin_fs]]+ndp_SP1[[#This Row],[sp1_ndp_pin_fs]]</f>
        <v>0</v>
      </c>
      <c r="S8" s="51">
        <f>idp_SP1[[#This Row],[sp1_idp_pin_li]]+ndp_SP1[[#This Row],[sp1_ndp_pin_li]]</f>
        <v>0</v>
      </c>
      <c r="T8" s="51">
        <f>idp_SP1[[#This Row],[sp1_idp_pin_adopted]]+ndp_SP1[[#This Row],[sp1_ndp_pin_adopted]]</f>
        <v>0</v>
      </c>
      <c r="U8" s="55"/>
      <c r="V8" s="51"/>
      <c r="W8" s="51"/>
      <c r="X8" s="51">
        <f>MAX(idp_SP1[[#This Row],[sp1_idp_sev_pr]],ndp_SP1[[#This Row],[sp1_ndp_sev_pr]])</f>
        <v>0</v>
      </c>
      <c r="Y8" s="51">
        <v>0</v>
      </c>
      <c r="Z8" s="51"/>
      <c r="AA8" s="51"/>
      <c r="AB8" s="51"/>
      <c r="AC8" s="51"/>
      <c r="AD8" s="51"/>
      <c r="AE8" s="51"/>
      <c r="AF8" s="51"/>
      <c r="AG8" s="57">
        <f>idp_SP1[[#This Row],[sp1_idp_target_ed]]+ndp_SP1[[#This Row],[sp1_ndp_target_ed]]</f>
        <v>0</v>
      </c>
      <c r="AH8" s="51">
        <f>idp_SP1[[#This Row],[sp1_idp_target_fl]]+ndp_SP1[[#This Row],[sp1_ndp_target_fl]]</f>
        <v>0</v>
      </c>
      <c r="AI8" s="51">
        <f>idp_SP1[[#This Row],[sp1_idp_target_he]]+ndp_SP1[[#This Row],[sp1_ndp_target_he]]</f>
        <v>0</v>
      </c>
      <c r="AJ8" s="51">
        <f>idp_SP1[[#This Row],[sp1_idp_target_pr]]+ndp_SP1[[#This Row],[sp1_ndp_target_pr]]</f>
        <v>0</v>
      </c>
      <c r="AK8" s="51">
        <f>idp_SP1[[#This Row],[sp1_idp_target_sn]]+ndp_SP1[[#This Row],[sp1_ndp_target_sn]]</f>
        <v>0</v>
      </c>
      <c r="AL8" s="51">
        <f>idp_SP1[[#This Row],[sp1_idp_target_wa]]+ndp_SP1[[#This Row],[sp1_ndp_target_wa]]</f>
        <v>0</v>
      </c>
      <c r="AM8" s="51">
        <f>idp_SP1[[#This Row],[sp1_idp_target_gp]]+ndp_SP1[[#This Row],[sp1_ndp_target_gp]]</f>
        <v>0</v>
      </c>
      <c r="AN8" s="51">
        <f>idp_SP1[[#This Row],[sp1_idp_target_cp]]+ndp_SP1[[#This Row],[sp1_ndp_target_cp]]</f>
        <v>0</v>
      </c>
      <c r="AO8" s="51">
        <f>idp_SP1[[#This Row],[sp1_idp_target_gb]]+ndp_SP1[[#This Row],[sp1_ndp_target_gb]]</f>
        <v>0</v>
      </c>
      <c r="AP8" s="51">
        <f>idp_SP1[[#This Row],[sp1_idp_target_fs]]+ndp_SP1[[#This Row],[sp1_ndp_target_fs]]</f>
        <v>0</v>
      </c>
      <c r="AQ8" s="51">
        <f>idp_SP1[[#This Row],[sp1_idp_target_li]]+ndp_SP1[[#This Row],[sp1_ndp_target_li]]</f>
        <v>0</v>
      </c>
      <c r="AR8" s="51">
        <f>idp_SP1[[#This Row],[sp1_idp_target_cw]]+ndp_SP1[[#This Row],[sp1_ndp_target_cw]]</f>
        <v>0</v>
      </c>
      <c r="AS8" s="201">
        <f>idp_SP1[[#This Row],[sp1_idp_target_joint]]+ndp_SP1[[#This Row],[sp1_ndp_target_joint]]</f>
        <v>0</v>
      </c>
      <c r="AT8" s="57">
        <v>0</v>
      </c>
      <c r="AU8" s="51">
        <v>0</v>
      </c>
      <c r="AV8" s="51">
        <v>0</v>
      </c>
      <c r="AW8" s="51">
        <v>0</v>
      </c>
      <c r="AX8" s="51">
        <v>0</v>
      </c>
      <c r="AY8" s="51">
        <v>0</v>
      </c>
      <c r="AZ8" s="51">
        <v>0</v>
      </c>
      <c r="BA8" s="51">
        <v>0</v>
      </c>
      <c r="BB8" s="51">
        <v>0</v>
      </c>
      <c r="BC8" s="51">
        <v>0</v>
      </c>
      <c r="BD8" s="51">
        <v>0</v>
      </c>
      <c r="BE8" s="51">
        <v>0</v>
      </c>
      <c r="BF8" s="201">
        <v>0</v>
      </c>
    </row>
    <row r="9" spans="1:58" ht="14.25" x14ac:dyDescent="0.45">
      <c r="A9" t="s">
        <v>247</v>
      </c>
      <c r="B9" t="s">
        <v>248</v>
      </c>
      <c r="C9" t="s">
        <v>245</v>
      </c>
      <c r="D9" t="s">
        <v>199</v>
      </c>
      <c r="E9" t="s">
        <v>249</v>
      </c>
      <c r="F9" s="22">
        <v>0</v>
      </c>
      <c r="G9" s="23">
        <v>0</v>
      </c>
      <c r="H9" s="23"/>
      <c r="I9" s="55">
        <f>idp_SP1[[#This Row],[sp1_idp_pin_ed]]+ndp_SP1[[#This Row],[sp1_ndp_pin_ed]]</f>
        <v>0</v>
      </c>
      <c r="J9" s="51">
        <f>idp_SP1[[#This Row],[sp1_idp_pin_fl]]+ndp_SP1[[#This Row],[sp1_ndp_pin_fl]]</f>
        <v>0</v>
      </c>
      <c r="K9" s="51">
        <f>idp_SP1[[#This Row],[sp1_idp_pin_he]]+ndp_SP1[[#This Row],[sp1_ndp_pin_he]]</f>
        <v>0</v>
      </c>
      <c r="L9" s="51">
        <f>idp_SP1[[#This Row],[sp1_idp_pin_pr]]+ndp_SP1[[#This Row],[sp1_ndp_pin_pr]]</f>
        <v>0</v>
      </c>
      <c r="M9" s="51">
        <f>idp_SP1[[#This Row],[sp1_idp_pin_sn]]+ndp_SP1[[#This Row],[sp1_ndp_pin_sn]]</f>
        <v>0</v>
      </c>
      <c r="N9" s="51">
        <f>idp_SP1[[#This Row],[sp1_idp_pin_wa]]+ndp_SP1[[#This Row],[sp1_ndp_pin_wa]]</f>
        <v>0</v>
      </c>
      <c r="O9" s="51">
        <f>idp_SP1[[#This Row],[sp1_idp_pin_gp]]+ndp_SP1[[#This Row],[sp1_ndp_pin_gp]]</f>
        <v>0</v>
      </c>
      <c r="P9" s="51">
        <f>idp_SP1[[#This Row],[sp1_idp_pin_cp]]+ndp_SP1[[#This Row],[sp1_ndp_pin_cp]]</f>
        <v>0</v>
      </c>
      <c r="Q9" s="51">
        <f>idp_SP1[[#This Row],[sp1_idp_pin_gb]]+ndp_SP1[[#This Row],[sp1_ndp_pin_gb]]</f>
        <v>0</v>
      </c>
      <c r="R9" s="51">
        <f>idp_SP1[[#This Row],[sp1_idp_pin_fs]]+ndp_SP1[[#This Row],[sp1_ndp_pin_fs]]</f>
        <v>0</v>
      </c>
      <c r="S9" s="51">
        <f>idp_SP1[[#This Row],[sp1_idp_pin_li]]+ndp_SP1[[#This Row],[sp1_ndp_pin_li]]</f>
        <v>0</v>
      </c>
      <c r="T9" s="51">
        <f>idp_SP1[[#This Row],[sp1_idp_pin_adopted]]+ndp_SP1[[#This Row],[sp1_ndp_pin_adopted]]</f>
        <v>0</v>
      </c>
      <c r="U9" s="55"/>
      <c r="V9" s="51"/>
      <c r="W9" s="51"/>
      <c r="X9" s="51">
        <f>MAX(idp_SP1[[#This Row],[sp1_idp_sev_pr]],ndp_SP1[[#This Row],[sp1_ndp_sev_pr]])</f>
        <v>0</v>
      </c>
      <c r="Y9" s="51">
        <v>0</v>
      </c>
      <c r="Z9" s="51"/>
      <c r="AA9" s="51"/>
      <c r="AB9" s="51"/>
      <c r="AC9" s="51"/>
      <c r="AD9" s="51"/>
      <c r="AE9" s="51"/>
      <c r="AF9" s="51"/>
      <c r="AG9" s="57">
        <f>idp_SP1[[#This Row],[sp1_idp_target_ed]]+ndp_SP1[[#This Row],[sp1_ndp_target_ed]]</f>
        <v>0</v>
      </c>
      <c r="AH9" s="51">
        <f>idp_SP1[[#This Row],[sp1_idp_target_fl]]+ndp_SP1[[#This Row],[sp1_ndp_target_fl]]</f>
        <v>0</v>
      </c>
      <c r="AI9" s="51">
        <f>idp_SP1[[#This Row],[sp1_idp_target_he]]+ndp_SP1[[#This Row],[sp1_ndp_target_he]]</f>
        <v>0</v>
      </c>
      <c r="AJ9" s="51">
        <f>idp_SP1[[#This Row],[sp1_idp_target_pr]]+ndp_SP1[[#This Row],[sp1_ndp_target_pr]]</f>
        <v>0</v>
      </c>
      <c r="AK9" s="51">
        <f>idp_SP1[[#This Row],[sp1_idp_target_sn]]+ndp_SP1[[#This Row],[sp1_ndp_target_sn]]</f>
        <v>0</v>
      </c>
      <c r="AL9" s="51">
        <f>idp_SP1[[#This Row],[sp1_idp_target_wa]]+ndp_SP1[[#This Row],[sp1_ndp_target_wa]]</f>
        <v>0</v>
      </c>
      <c r="AM9" s="51">
        <f>idp_SP1[[#This Row],[sp1_idp_target_gp]]+ndp_SP1[[#This Row],[sp1_ndp_target_gp]]</f>
        <v>0</v>
      </c>
      <c r="AN9" s="51">
        <f>idp_SP1[[#This Row],[sp1_idp_target_cp]]+ndp_SP1[[#This Row],[sp1_ndp_target_cp]]</f>
        <v>0</v>
      </c>
      <c r="AO9" s="51">
        <f>idp_SP1[[#This Row],[sp1_idp_target_gb]]+ndp_SP1[[#This Row],[sp1_ndp_target_gb]]</f>
        <v>0</v>
      </c>
      <c r="AP9" s="51">
        <f>idp_SP1[[#This Row],[sp1_idp_target_fs]]+ndp_SP1[[#This Row],[sp1_ndp_target_fs]]</f>
        <v>0</v>
      </c>
      <c r="AQ9" s="51">
        <f>idp_SP1[[#This Row],[sp1_idp_target_li]]+ndp_SP1[[#This Row],[sp1_ndp_target_li]]</f>
        <v>0</v>
      </c>
      <c r="AR9" s="51">
        <f>idp_SP1[[#This Row],[sp1_idp_target_cw]]+ndp_SP1[[#This Row],[sp1_ndp_target_cw]]</f>
        <v>0</v>
      </c>
      <c r="AS9" s="201">
        <f>idp_SP1[[#This Row],[sp1_idp_target_joint]]+ndp_SP1[[#This Row],[sp1_ndp_target_joint]]</f>
        <v>0</v>
      </c>
      <c r="AT9" s="57">
        <v>0</v>
      </c>
      <c r="AU9" s="51">
        <v>0</v>
      </c>
      <c r="AV9" s="51">
        <v>0</v>
      </c>
      <c r="AW9" s="51">
        <v>0</v>
      </c>
      <c r="AX9" s="51">
        <v>0</v>
      </c>
      <c r="AY9" s="51">
        <v>0</v>
      </c>
      <c r="AZ9" s="51">
        <v>0</v>
      </c>
      <c r="BA9" s="51">
        <v>0</v>
      </c>
      <c r="BB9" s="51">
        <v>0</v>
      </c>
      <c r="BC9" s="51">
        <v>0</v>
      </c>
      <c r="BD9" s="51">
        <v>0</v>
      </c>
      <c r="BE9" s="51">
        <v>0</v>
      </c>
      <c r="BF9" s="201">
        <v>0</v>
      </c>
    </row>
    <row r="10" spans="1:58" ht="14.25" x14ac:dyDescent="0.45">
      <c r="A10" t="s">
        <v>250</v>
      </c>
      <c r="B10" t="s">
        <v>251</v>
      </c>
      <c r="C10" t="s">
        <v>252</v>
      </c>
      <c r="D10" t="s">
        <v>193</v>
      </c>
      <c r="E10" t="s">
        <v>253</v>
      </c>
      <c r="F10" s="10">
        <v>23346</v>
      </c>
      <c r="G10" s="8">
        <v>204922</v>
      </c>
      <c r="H10" s="8">
        <v>228268</v>
      </c>
      <c r="I10" s="10">
        <f>idp_SP1[[#This Row],[sp1_idp_pin_ed]]+ndp_SP1[[#This Row],[sp1_ndp_pin_ed]]</f>
        <v>14307</v>
      </c>
      <c r="J10" s="8">
        <f>idp_SP1[[#This Row],[sp1_idp_pin_fl]]+ndp_SP1[[#This Row],[sp1_ndp_pin_fl]]</f>
        <v>89572</v>
      </c>
      <c r="K10" s="8">
        <f>idp_SP1[[#This Row],[sp1_idp_pin_he]]+ndp_SP1[[#This Row],[sp1_ndp_pin_he]]</f>
        <v>177085</v>
      </c>
      <c r="L10" s="8">
        <f>idp_SP1[[#This Row],[sp1_idp_pin_pr]]+ndp_SP1[[#This Row],[sp1_ndp_pin_pr]]</f>
        <v>161529</v>
      </c>
      <c r="M10" s="8">
        <f>idp_SP1[[#This Row],[sp1_idp_pin_sn]]+ndp_SP1[[#This Row],[sp1_ndp_pin_sn]]</f>
        <v>190223</v>
      </c>
      <c r="N10" s="8">
        <f>idp_SP1[[#This Row],[sp1_idp_pin_wa]]+ndp_SP1[[#This Row],[sp1_ndp_pin_wa]]</f>
        <v>210709</v>
      </c>
      <c r="O10" s="8">
        <f>idp_SP1[[#This Row],[sp1_idp_pin_gp]]+ndp_SP1[[#This Row],[sp1_ndp_pin_gp]]</f>
        <v>161529</v>
      </c>
      <c r="P10" s="8">
        <f>idp_SP1[[#This Row],[sp1_idp_pin_cp]]+ndp_SP1[[#This Row],[sp1_ndp_pin_cp]]</f>
        <v>61777</v>
      </c>
      <c r="Q10" s="8">
        <f>idp_SP1[[#This Row],[sp1_idp_pin_gb]]+ndp_SP1[[#This Row],[sp1_ndp_pin_gb]]</f>
        <v>115047</v>
      </c>
      <c r="R10" s="8">
        <f>idp_SP1[[#This Row],[sp1_idp_pin_fs]]+ndp_SP1[[#This Row],[sp1_ndp_pin_fs]]</f>
        <v>89572</v>
      </c>
      <c r="S10" s="8">
        <f>idp_SP1[[#This Row],[sp1_idp_pin_li]]+ndp_SP1[[#This Row],[sp1_ndp_pin_li]]</f>
        <v>0</v>
      </c>
      <c r="T10" s="8">
        <f>idp_SP1[[#This Row],[sp1_idp_pin_adopted]]+ndp_SP1[[#This Row],[sp1_ndp_pin_adopted]]</f>
        <v>210709</v>
      </c>
      <c r="U10" s="137">
        <v>5</v>
      </c>
      <c r="V10" s="52">
        <v>4</v>
      </c>
      <c r="W10" s="52">
        <v>4</v>
      </c>
      <c r="X10" s="52">
        <f>MAX(idp_SP1[[#This Row],[sp1_idp_sev_pr]],ndp_SP1[[#This Row],[sp1_ndp_sev_pr]])</f>
        <v>5</v>
      </c>
      <c r="Y10" s="52">
        <v>5</v>
      </c>
      <c r="Z10" s="52">
        <v>5</v>
      </c>
      <c r="AA10" s="52">
        <v>5</v>
      </c>
      <c r="AB10" s="52">
        <v>5</v>
      </c>
      <c r="AC10" s="52">
        <v>5</v>
      </c>
      <c r="AD10" s="52">
        <v>4</v>
      </c>
      <c r="AE10" s="52">
        <v>4</v>
      </c>
      <c r="AF10" s="8">
        <v>5</v>
      </c>
      <c r="AG10" s="54">
        <f>idp_SP1[[#This Row],[sp1_idp_target_ed]]+ndp_SP1[[#This Row],[sp1_ndp_target_ed]]</f>
        <v>12877</v>
      </c>
      <c r="AH10" s="8">
        <f>idp_SP1[[#This Row],[sp1_idp_target_fl]]+ndp_SP1[[#This Row],[sp1_ndp_target_fl]]</f>
        <v>89572</v>
      </c>
      <c r="AI10" s="8">
        <f>idp_SP1[[#This Row],[sp1_idp_target_he]]+ndp_SP1[[#This Row],[sp1_ndp_target_he]]</f>
        <v>100563</v>
      </c>
      <c r="AJ10" s="8">
        <f>idp_SP1[[#This Row],[sp1_idp_target_pr]]+ndp_SP1[[#This Row],[sp1_ndp_target_pr]]</f>
        <v>64939</v>
      </c>
      <c r="AK10" s="8">
        <f>idp_SP1[[#This Row],[sp1_idp_target_sn]]+ndp_SP1[[#This Row],[sp1_ndp_target_sn]]</f>
        <v>128305</v>
      </c>
      <c r="AL10" s="8">
        <f>idp_SP1[[#This Row],[sp1_idp_target_wa]]+ndp_SP1[[#This Row],[sp1_ndp_target_wa]]</f>
        <v>210709</v>
      </c>
      <c r="AM10" s="8">
        <f>idp_SP1[[#This Row],[sp1_idp_target_gp]]+ndp_SP1[[#This Row],[sp1_ndp_target_gp]]</f>
        <v>64939</v>
      </c>
      <c r="AN10" s="8">
        <f>idp_SP1[[#This Row],[sp1_idp_target_cp]]+ndp_SP1[[#This Row],[sp1_ndp_target_cp]]</f>
        <v>51951</v>
      </c>
      <c r="AO10" s="8">
        <f>idp_SP1[[#This Row],[sp1_idp_target_gb]]+ndp_SP1[[#This Row],[sp1_ndp_target_gb]]</f>
        <v>5752</v>
      </c>
      <c r="AP10" s="8">
        <f>idp_SP1[[#This Row],[sp1_idp_target_fs]]+ndp_SP1[[#This Row],[sp1_ndp_target_fs]]</f>
        <v>89572</v>
      </c>
      <c r="AQ10" s="8">
        <f>idp_SP1[[#This Row],[sp1_idp_target_li]]+ndp_SP1[[#This Row],[sp1_ndp_target_li]]</f>
        <v>0</v>
      </c>
      <c r="AR10" s="8">
        <f>idp_SP1[[#This Row],[sp1_idp_target_cw]]+ndp_SP1[[#This Row],[sp1_ndp_target_cw]]</f>
        <v>143399</v>
      </c>
      <c r="AS10" s="202">
        <f>idp_SP1[[#This Row],[sp1_idp_target_joint]]+ndp_SP1[[#This Row],[sp1_ndp_target_joint]]</f>
        <v>210709</v>
      </c>
      <c r="AT10" s="54">
        <v>12877</v>
      </c>
      <c r="AU10" s="8">
        <v>89572</v>
      </c>
      <c r="AV10" s="8">
        <v>100563</v>
      </c>
      <c r="AW10" s="8">
        <v>64939</v>
      </c>
      <c r="AX10" s="8">
        <v>128305</v>
      </c>
      <c r="AY10" s="8">
        <v>210709</v>
      </c>
      <c r="AZ10" s="8">
        <v>64939</v>
      </c>
      <c r="BA10" s="8">
        <v>51951</v>
      </c>
      <c r="BB10" s="8">
        <v>5752</v>
      </c>
      <c r="BC10" s="8">
        <v>89572</v>
      </c>
      <c r="BD10" s="8">
        <v>0</v>
      </c>
      <c r="BE10" s="8">
        <v>143399</v>
      </c>
      <c r="BF10" s="202">
        <v>210709</v>
      </c>
    </row>
    <row r="11" spans="1:58" ht="14.25" x14ac:dyDescent="0.45">
      <c r="A11" t="s">
        <v>250</v>
      </c>
      <c r="B11" t="s">
        <v>251</v>
      </c>
      <c r="C11" t="s">
        <v>254</v>
      </c>
      <c r="D11" t="s">
        <v>196</v>
      </c>
      <c r="E11" t="s">
        <v>255</v>
      </c>
      <c r="F11" s="10">
        <v>37607</v>
      </c>
      <c r="G11" s="8">
        <v>61335.748157433001</v>
      </c>
      <c r="H11" s="8">
        <v>98942.748157433001</v>
      </c>
      <c r="I11" s="10">
        <f>idp_SP1[[#This Row],[sp1_idp_pin_ed]]+ndp_SP1[[#This Row],[sp1_ndp_pin_ed]]</f>
        <v>11127</v>
      </c>
      <c r="J11" s="8">
        <f>idp_SP1[[#This Row],[sp1_idp_pin_fl]]+ndp_SP1[[#This Row],[sp1_ndp_pin_fl]]</f>
        <v>36386</v>
      </c>
      <c r="K11" s="8">
        <f>idp_SP1[[#This Row],[sp1_idp_pin_he]]+ndp_SP1[[#This Row],[sp1_ndp_pin_he]]</f>
        <v>76758</v>
      </c>
      <c r="L11" s="8">
        <f>idp_SP1[[#This Row],[sp1_idp_pin_pr]]+ndp_SP1[[#This Row],[sp1_ndp_pin_pr]]</f>
        <v>70901</v>
      </c>
      <c r="M11" s="8">
        <f>idp_SP1[[#This Row],[sp1_idp_pin_sn]]+ndp_SP1[[#This Row],[sp1_ndp_pin_sn]]</f>
        <v>69599</v>
      </c>
      <c r="N11" s="8">
        <f>idp_SP1[[#This Row],[sp1_idp_pin_wa]]+ndp_SP1[[#This Row],[sp1_ndp_pin_wa]]</f>
        <v>80620</v>
      </c>
      <c r="O11" s="8">
        <f>idp_SP1[[#This Row],[sp1_idp_pin_gp]]+ndp_SP1[[#This Row],[sp1_ndp_pin_gp]]</f>
        <v>70901</v>
      </c>
      <c r="P11" s="8">
        <f>idp_SP1[[#This Row],[sp1_idp_pin_cp]]+ndp_SP1[[#This Row],[sp1_ndp_pin_cp]]</f>
        <v>27712</v>
      </c>
      <c r="Q11" s="8">
        <f>idp_SP1[[#This Row],[sp1_idp_pin_gb]]+ndp_SP1[[#This Row],[sp1_ndp_pin_gb]]</f>
        <v>38786</v>
      </c>
      <c r="R11" s="8">
        <f>idp_SP1[[#This Row],[sp1_idp_pin_fs]]+ndp_SP1[[#This Row],[sp1_ndp_pin_fs]]</f>
        <v>36386</v>
      </c>
      <c r="S11" s="8">
        <f>idp_SP1[[#This Row],[sp1_idp_pin_li]]+ndp_SP1[[#This Row],[sp1_ndp_pin_li]]</f>
        <v>0</v>
      </c>
      <c r="T11" s="8">
        <f>idp_SP1[[#This Row],[sp1_idp_pin_adopted]]+ndp_SP1[[#This Row],[sp1_ndp_pin_adopted]]</f>
        <v>82212</v>
      </c>
      <c r="U11" s="137">
        <v>4</v>
      </c>
      <c r="V11" s="52">
        <v>4</v>
      </c>
      <c r="W11" s="52">
        <v>4</v>
      </c>
      <c r="X11" s="52">
        <f>MAX(idp_SP1[[#This Row],[sp1_idp_sev_pr]],ndp_SP1[[#This Row],[sp1_ndp_sev_pr]])</f>
        <v>4</v>
      </c>
      <c r="Y11" s="52">
        <v>4</v>
      </c>
      <c r="Z11" s="52">
        <v>4</v>
      </c>
      <c r="AA11" s="52">
        <v>4</v>
      </c>
      <c r="AB11" s="52">
        <v>4</v>
      </c>
      <c r="AC11" s="52">
        <v>4</v>
      </c>
      <c r="AD11" s="52">
        <v>4</v>
      </c>
      <c r="AE11" s="52">
        <v>4</v>
      </c>
      <c r="AF11" s="8">
        <v>4</v>
      </c>
      <c r="AG11" s="54">
        <f>idp_SP1[[#This Row],[sp1_idp_target_ed]]+ndp_SP1[[#This Row],[sp1_ndp_target_ed]]</f>
        <v>10015</v>
      </c>
      <c r="AH11" s="8">
        <f>idp_SP1[[#This Row],[sp1_idp_target_fl]]+ndp_SP1[[#This Row],[sp1_ndp_target_fl]]</f>
        <v>36386</v>
      </c>
      <c r="AI11" s="8">
        <f>idp_SP1[[#This Row],[sp1_idp_target_he]]+ndp_SP1[[#This Row],[sp1_ndp_target_he]]</f>
        <v>53397</v>
      </c>
      <c r="AJ11" s="8">
        <f>idp_SP1[[#This Row],[sp1_idp_target_pr]]+ndp_SP1[[#This Row],[sp1_ndp_target_pr]]</f>
        <v>37709</v>
      </c>
      <c r="AK11" s="8">
        <f>idp_SP1[[#This Row],[sp1_idp_target_sn]]+ndp_SP1[[#This Row],[sp1_ndp_target_sn]]</f>
        <v>40472</v>
      </c>
      <c r="AL11" s="8">
        <f>idp_SP1[[#This Row],[sp1_idp_target_wa]]+ndp_SP1[[#This Row],[sp1_ndp_target_wa]]</f>
        <v>80620</v>
      </c>
      <c r="AM11" s="8">
        <f>idp_SP1[[#This Row],[sp1_idp_target_gp]]+ndp_SP1[[#This Row],[sp1_ndp_target_gp]]</f>
        <v>37709</v>
      </c>
      <c r="AN11" s="8">
        <f>idp_SP1[[#This Row],[sp1_idp_target_cp]]+ndp_SP1[[#This Row],[sp1_ndp_target_cp]]</f>
        <v>20048</v>
      </c>
      <c r="AO11" s="8">
        <f>idp_SP1[[#This Row],[sp1_idp_target_gb]]+ndp_SP1[[#This Row],[sp1_ndp_target_gb]]</f>
        <v>14584</v>
      </c>
      <c r="AP11" s="8">
        <f>idp_SP1[[#This Row],[sp1_idp_target_fs]]+ndp_SP1[[#This Row],[sp1_ndp_target_fs]]</f>
        <v>36386</v>
      </c>
      <c r="AQ11" s="8">
        <f>idp_SP1[[#This Row],[sp1_idp_target_li]]+ndp_SP1[[#This Row],[sp1_ndp_target_li]]</f>
        <v>0</v>
      </c>
      <c r="AR11" s="8">
        <f>idp_SP1[[#This Row],[sp1_idp_target_cw]]+ndp_SP1[[#This Row],[sp1_ndp_target_cw]]</f>
        <v>26375</v>
      </c>
      <c r="AS11" s="202">
        <f>idp_SP1[[#This Row],[sp1_idp_target_joint]]+ndp_SP1[[#This Row],[sp1_ndp_target_joint]]</f>
        <v>80620</v>
      </c>
      <c r="AT11" s="54">
        <v>10015</v>
      </c>
      <c r="AU11" s="8">
        <v>36386</v>
      </c>
      <c r="AV11" s="8">
        <v>53397</v>
      </c>
      <c r="AW11" s="8">
        <v>37709</v>
      </c>
      <c r="AX11" s="8">
        <v>40472</v>
      </c>
      <c r="AY11" s="8">
        <v>80620</v>
      </c>
      <c r="AZ11" s="8">
        <v>37709</v>
      </c>
      <c r="BA11" s="8">
        <v>20048</v>
      </c>
      <c r="BB11" s="8">
        <v>14584</v>
      </c>
      <c r="BC11" s="8">
        <v>36386</v>
      </c>
      <c r="BD11" s="8">
        <v>0</v>
      </c>
      <c r="BE11" s="8">
        <v>26375</v>
      </c>
      <c r="BF11" s="202">
        <v>80620</v>
      </c>
    </row>
    <row r="12" spans="1:58" ht="14.25" x14ac:dyDescent="0.45">
      <c r="A12" t="s">
        <v>250</v>
      </c>
      <c r="B12" t="s">
        <v>251</v>
      </c>
      <c r="C12" t="s">
        <v>256</v>
      </c>
      <c r="D12" t="s">
        <v>199</v>
      </c>
      <c r="E12" t="s">
        <v>257</v>
      </c>
      <c r="F12" s="22">
        <v>0</v>
      </c>
      <c r="G12" s="23">
        <v>0</v>
      </c>
      <c r="H12" s="23"/>
      <c r="I12" s="55">
        <f>idp_SP1[[#This Row],[sp1_idp_pin_ed]]+ndp_SP1[[#This Row],[sp1_ndp_pin_ed]]</f>
        <v>0</v>
      </c>
      <c r="J12" s="51">
        <f>idp_SP1[[#This Row],[sp1_idp_pin_fl]]+ndp_SP1[[#This Row],[sp1_ndp_pin_fl]]</f>
        <v>0</v>
      </c>
      <c r="K12" s="51">
        <f>idp_SP1[[#This Row],[sp1_idp_pin_he]]+ndp_SP1[[#This Row],[sp1_ndp_pin_he]]</f>
        <v>0</v>
      </c>
      <c r="L12" s="51">
        <f>idp_SP1[[#This Row],[sp1_idp_pin_pr]]+ndp_SP1[[#This Row],[sp1_ndp_pin_pr]]</f>
        <v>0</v>
      </c>
      <c r="M12" s="51">
        <f>idp_SP1[[#This Row],[sp1_idp_pin_sn]]+ndp_SP1[[#This Row],[sp1_ndp_pin_sn]]</f>
        <v>0</v>
      </c>
      <c r="N12" s="51">
        <f>idp_SP1[[#This Row],[sp1_idp_pin_wa]]+ndp_SP1[[#This Row],[sp1_ndp_pin_wa]]</f>
        <v>0</v>
      </c>
      <c r="O12" s="51">
        <f>idp_SP1[[#This Row],[sp1_idp_pin_gp]]+ndp_SP1[[#This Row],[sp1_ndp_pin_gp]]</f>
        <v>0</v>
      </c>
      <c r="P12" s="51">
        <f>idp_SP1[[#This Row],[sp1_idp_pin_cp]]+ndp_SP1[[#This Row],[sp1_ndp_pin_cp]]</f>
        <v>0</v>
      </c>
      <c r="Q12" s="51">
        <f>idp_SP1[[#This Row],[sp1_idp_pin_gb]]+ndp_SP1[[#This Row],[sp1_ndp_pin_gb]]</f>
        <v>0</v>
      </c>
      <c r="R12" s="51">
        <f>idp_SP1[[#This Row],[sp1_idp_pin_fs]]+ndp_SP1[[#This Row],[sp1_ndp_pin_fs]]</f>
        <v>0</v>
      </c>
      <c r="S12" s="51">
        <f>idp_SP1[[#This Row],[sp1_idp_pin_li]]+ndp_SP1[[#This Row],[sp1_ndp_pin_li]]</f>
        <v>0</v>
      </c>
      <c r="T12" s="51">
        <f>idp_SP1[[#This Row],[sp1_idp_pin_adopted]]+ndp_SP1[[#This Row],[sp1_ndp_pin_adopted]]</f>
        <v>0</v>
      </c>
      <c r="U12" s="55"/>
      <c r="V12" s="51"/>
      <c r="W12" s="51"/>
      <c r="X12" s="51">
        <f>MAX(idp_SP1[[#This Row],[sp1_idp_sev_pr]],ndp_SP1[[#This Row],[sp1_ndp_sev_pr]])</f>
        <v>0</v>
      </c>
      <c r="Y12" s="51">
        <v>0</v>
      </c>
      <c r="Z12" s="51"/>
      <c r="AA12" s="51"/>
      <c r="AB12" s="51"/>
      <c r="AC12" s="51"/>
      <c r="AD12" s="51"/>
      <c r="AE12" s="51"/>
      <c r="AF12" s="51"/>
      <c r="AG12" s="57">
        <f>idp_SP1[[#This Row],[sp1_idp_target_ed]]+ndp_SP1[[#This Row],[sp1_ndp_target_ed]]</f>
        <v>0</v>
      </c>
      <c r="AH12" s="51">
        <f>idp_SP1[[#This Row],[sp1_idp_target_fl]]+ndp_SP1[[#This Row],[sp1_ndp_target_fl]]</f>
        <v>0</v>
      </c>
      <c r="AI12" s="51">
        <f>idp_SP1[[#This Row],[sp1_idp_target_he]]+ndp_SP1[[#This Row],[sp1_ndp_target_he]]</f>
        <v>0</v>
      </c>
      <c r="AJ12" s="51">
        <f>idp_SP1[[#This Row],[sp1_idp_target_pr]]+ndp_SP1[[#This Row],[sp1_ndp_target_pr]]</f>
        <v>0</v>
      </c>
      <c r="AK12" s="51">
        <f>idp_SP1[[#This Row],[sp1_idp_target_sn]]+ndp_SP1[[#This Row],[sp1_ndp_target_sn]]</f>
        <v>0</v>
      </c>
      <c r="AL12" s="51">
        <f>idp_SP1[[#This Row],[sp1_idp_target_wa]]+ndp_SP1[[#This Row],[sp1_ndp_target_wa]]</f>
        <v>0</v>
      </c>
      <c r="AM12" s="51">
        <f>idp_SP1[[#This Row],[sp1_idp_target_gp]]+ndp_SP1[[#This Row],[sp1_ndp_target_gp]]</f>
        <v>0</v>
      </c>
      <c r="AN12" s="51">
        <f>idp_SP1[[#This Row],[sp1_idp_target_cp]]+ndp_SP1[[#This Row],[sp1_ndp_target_cp]]</f>
        <v>0</v>
      </c>
      <c r="AO12" s="51">
        <f>idp_SP1[[#This Row],[sp1_idp_target_gb]]+ndp_SP1[[#This Row],[sp1_ndp_target_gb]]</f>
        <v>0</v>
      </c>
      <c r="AP12" s="51">
        <f>idp_SP1[[#This Row],[sp1_idp_target_fs]]+ndp_SP1[[#This Row],[sp1_ndp_target_fs]]</f>
        <v>0</v>
      </c>
      <c r="AQ12" s="51">
        <f>idp_SP1[[#This Row],[sp1_idp_target_li]]+ndp_SP1[[#This Row],[sp1_ndp_target_li]]</f>
        <v>0</v>
      </c>
      <c r="AR12" s="51">
        <f>idp_SP1[[#This Row],[sp1_idp_target_cw]]+ndp_SP1[[#This Row],[sp1_ndp_target_cw]]</f>
        <v>0</v>
      </c>
      <c r="AS12" s="201">
        <f>idp_SP1[[#This Row],[sp1_idp_target_joint]]+ndp_SP1[[#This Row],[sp1_ndp_target_joint]]</f>
        <v>0</v>
      </c>
      <c r="AT12" s="57">
        <v>0</v>
      </c>
      <c r="AU12" s="51">
        <v>0</v>
      </c>
      <c r="AV12" s="51">
        <v>0</v>
      </c>
      <c r="AW12" s="51">
        <v>0</v>
      </c>
      <c r="AX12" s="51">
        <v>0</v>
      </c>
      <c r="AY12" s="51">
        <v>0</v>
      </c>
      <c r="AZ12" s="51">
        <v>0</v>
      </c>
      <c r="BA12" s="51">
        <v>0</v>
      </c>
      <c r="BB12" s="51">
        <v>0</v>
      </c>
      <c r="BC12" s="51">
        <v>0</v>
      </c>
      <c r="BD12" s="51">
        <v>0</v>
      </c>
      <c r="BE12" s="51">
        <v>0</v>
      </c>
      <c r="BF12" s="201">
        <v>0</v>
      </c>
    </row>
    <row r="13" spans="1:58" ht="14.25" x14ac:dyDescent="0.45">
      <c r="A13" t="s">
        <v>258</v>
      </c>
      <c r="B13" t="s">
        <v>259</v>
      </c>
      <c r="C13" t="s">
        <v>252</v>
      </c>
      <c r="D13" t="s">
        <v>193</v>
      </c>
      <c r="E13" t="s">
        <v>260</v>
      </c>
      <c r="F13" s="10">
        <v>28205</v>
      </c>
      <c r="G13" s="8">
        <v>152005</v>
      </c>
      <c r="H13" s="8">
        <v>180210</v>
      </c>
      <c r="I13" s="10">
        <f>idp_SP1[[#This Row],[sp1_idp_pin_ed]]+ndp_SP1[[#This Row],[sp1_ndp_pin_ed]]</f>
        <v>13100</v>
      </c>
      <c r="J13" s="8">
        <f>idp_SP1[[#This Row],[sp1_idp_pin_fl]]+ndp_SP1[[#This Row],[sp1_ndp_pin_fl]]</f>
        <v>79143</v>
      </c>
      <c r="K13" s="8">
        <f>idp_SP1[[#This Row],[sp1_idp_pin_he]]+ndp_SP1[[#This Row],[sp1_ndp_pin_he]]</f>
        <v>139803</v>
      </c>
      <c r="L13" s="8">
        <f>idp_SP1[[#This Row],[sp1_idp_pin_pr]]+ndp_SP1[[#This Row],[sp1_ndp_pin_pr]]</f>
        <v>149183</v>
      </c>
      <c r="M13" s="8">
        <f>idp_SP1[[#This Row],[sp1_idp_pin_sn]]+ndp_SP1[[#This Row],[sp1_ndp_pin_sn]]</f>
        <v>159255</v>
      </c>
      <c r="N13" s="8">
        <f>idp_SP1[[#This Row],[sp1_idp_pin_wa]]+ndp_SP1[[#This Row],[sp1_ndp_pin_wa]]</f>
        <v>167637</v>
      </c>
      <c r="O13" s="8">
        <f>idp_SP1[[#This Row],[sp1_idp_pin_gp]]+ndp_SP1[[#This Row],[sp1_ndp_pin_gp]]</f>
        <v>149183</v>
      </c>
      <c r="P13" s="8">
        <f>idp_SP1[[#This Row],[sp1_idp_pin_cp]]+ndp_SP1[[#This Row],[sp1_ndp_pin_cp]]</f>
        <v>50601</v>
      </c>
      <c r="Q13" s="8">
        <f>idp_SP1[[#This Row],[sp1_idp_pin_gb]]+ndp_SP1[[#This Row],[sp1_ndp_pin_gb]]</f>
        <v>90826</v>
      </c>
      <c r="R13" s="8">
        <f>idp_SP1[[#This Row],[sp1_idp_pin_fs]]+ndp_SP1[[#This Row],[sp1_ndp_pin_fs]]</f>
        <v>79143</v>
      </c>
      <c r="S13" s="8">
        <f>idp_SP1[[#This Row],[sp1_idp_pin_li]]+ndp_SP1[[#This Row],[sp1_ndp_pin_li]]</f>
        <v>0</v>
      </c>
      <c r="T13" s="8">
        <f>idp_SP1[[#This Row],[sp1_idp_pin_adopted]]+ndp_SP1[[#This Row],[sp1_ndp_pin_adopted]]</f>
        <v>167637</v>
      </c>
      <c r="U13" s="137">
        <v>5</v>
      </c>
      <c r="V13" s="52">
        <v>4</v>
      </c>
      <c r="W13" s="52">
        <v>4</v>
      </c>
      <c r="X13" s="52">
        <f>MAX(idp_SP1[[#This Row],[sp1_idp_sev_pr]],ndp_SP1[[#This Row],[sp1_ndp_sev_pr]])</f>
        <v>5</v>
      </c>
      <c r="Y13" s="52">
        <v>5</v>
      </c>
      <c r="Z13" s="52">
        <v>5</v>
      </c>
      <c r="AA13" s="52">
        <v>5</v>
      </c>
      <c r="AB13" s="52">
        <v>5</v>
      </c>
      <c r="AC13" s="52">
        <v>5</v>
      </c>
      <c r="AD13" s="52">
        <v>4</v>
      </c>
      <c r="AE13" s="52">
        <v>4</v>
      </c>
      <c r="AF13" s="8">
        <v>5</v>
      </c>
      <c r="AG13" s="54">
        <f>idp_SP1[[#This Row],[sp1_idp_target_ed]]+ndp_SP1[[#This Row],[sp1_ndp_target_ed]]</f>
        <v>11789</v>
      </c>
      <c r="AH13" s="8">
        <f>idp_SP1[[#This Row],[sp1_idp_target_fl]]+ndp_SP1[[#This Row],[sp1_ndp_target_fl]]</f>
        <v>79143</v>
      </c>
      <c r="AI13" s="8">
        <f>idp_SP1[[#This Row],[sp1_idp_target_he]]+ndp_SP1[[#This Row],[sp1_ndp_target_he]]</f>
        <v>80867</v>
      </c>
      <c r="AJ13" s="8">
        <f>idp_SP1[[#This Row],[sp1_idp_target_pr]]+ndp_SP1[[#This Row],[sp1_ndp_target_pr]]</f>
        <v>62368</v>
      </c>
      <c r="AK13" s="8">
        <f>idp_SP1[[#This Row],[sp1_idp_target_sn]]+ndp_SP1[[#This Row],[sp1_ndp_target_sn]]</f>
        <v>77884</v>
      </c>
      <c r="AL13" s="8">
        <f>idp_SP1[[#This Row],[sp1_idp_target_wa]]+ndp_SP1[[#This Row],[sp1_ndp_target_wa]]</f>
        <v>167637</v>
      </c>
      <c r="AM13" s="8">
        <f>idp_SP1[[#This Row],[sp1_idp_target_gp]]+ndp_SP1[[#This Row],[sp1_ndp_target_gp]]</f>
        <v>62368</v>
      </c>
      <c r="AN13" s="8">
        <f>idp_SP1[[#This Row],[sp1_idp_target_cp]]+ndp_SP1[[#This Row],[sp1_ndp_target_cp]]</f>
        <v>42069</v>
      </c>
      <c r="AO13" s="8">
        <f>idp_SP1[[#This Row],[sp1_idp_target_gb]]+ndp_SP1[[#This Row],[sp1_ndp_target_gb]]</f>
        <v>4542</v>
      </c>
      <c r="AP13" s="8">
        <f>idp_SP1[[#This Row],[sp1_idp_target_fs]]+ndp_SP1[[#This Row],[sp1_ndp_target_fs]]</f>
        <v>79143</v>
      </c>
      <c r="AQ13" s="8">
        <f>idp_SP1[[#This Row],[sp1_idp_target_li]]+ndp_SP1[[#This Row],[sp1_ndp_target_li]]</f>
        <v>0</v>
      </c>
      <c r="AR13" s="8">
        <f>idp_SP1[[#This Row],[sp1_idp_target_cw]]+ndp_SP1[[#This Row],[sp1_ndp_target_cw]]</f>
        <v>129919</v>
      </c>
      <c r="AS13" s="202">
        <f>idp_SP1[[#This Row],[sp1_idp_target_joint]]+ndp_SP1[[#This Row],[sp1_ndp_target_joint]]</f>
        <v>167637</v>
      </c>
      <c r="AT13" s="54">
        <v>11789</v>
      </c>
      <c r="AU13" s="8">
        <v>79143</v>
      </c>
      <c r="AV13" s="8">
        <v>80867</v>
      </c>
      <c r="AW13" s="8">
        <v>62368</v>
      </c>
      <c r="AX13" s="8">
        <v>77884</v>
      </c>
      <c r="AY13" s="8">
        <v>167637</v>
      </c>
      <c r="AZ13" s="8">
        <v>62368</v>
      </c>
      <c r="BA13" s="8">
        <v>42069</v>
      </c>
      <c r="BB13" s="8">
        <v>4542</v>
      </c>
      <c r="BC13" s="8">
        <v>79143</v>
      </c>
      <c r="BD13" s="8">
        <v>0</v>
      </c>
      <c r="BE13" s="8">
        <v>129919</v>
      </c>
      <c r="BF13" s="202">
        <v>167637</v>
      </c>
    </row>
    <row r="14" spans="1:58" ht="14.25" x14ac:dyDescent="0.45">
      <c r="A14" t="s">
        <v>258</v>
      </c>
      <c r="B14" t="s">
        <v>259</v>
      </c>
      <c r="C14" t="s">
        <v>254</v>
      </c>
      <c r="D14" t="s">
        <v>196</v>
      </c>
      <c r="E14" t="s">
        <v>261</v>
      </c>
      <c r="F14" s="10">
        <v>10472</v>
      </c>
      <c r="G14" s="8">
        <v>35228.320498224006</v>
      </c>
      <c r="H14" s="8">
        <v>45700.320498224006</v>
      </c>
      <c r="I14" s="10">
        <f>idp_SP1[[#This Row],[sp1_idp_pin_ed]]+ndp_SP1[[#This Row],[sp1_ndp_pin_ed]]</f>
        <v>2961</v>
      </c>
      <c r="J14" s="8">
        <f>idp_SP1[[#This Row],[sp1_idp_pin_fl]]+ndp_SP1[[#This Row],[sp1_ndp_pin_fl]]</f>
        <v>13988</v>
      </c>
      <c r="K14" s="8">
        <f>idp_SP1[[#This Row],[sp1_idp_pin_he]]+ndp_SP1[[#This Row],[sp1_ndp_pin_he]]</f>
        <v>35453</v>
      </c>
      <c r="L14" s="8">
        <f>idp_SP1[[#This Row],[sp1_idp_pin_pr]]+ndp_SP1[[#This Row],[sp1_ndp_pin_pr]]</f>
        <v>32544</v>
      </c>
      <c r="M14" s="8">
        <f>idp_SP1[[#This Row],[sp1_idp_pin_sn]]+ndp_SP1[[#This Row],[sp1_ndp_pin_sn]]</f>
        <v>36540</v>
      </c>
      <c r="N14" s="8">
        <f>idp_SP1[[#This Row],[sp1_idp_pin_wa]]+ndp_SP1[[#This Row],[sp1_ndp_pin_wa]]</f>
        <v>37090</v>
      </c>
      <c r="O14" s="8">
        <f>idp_SP1[[#This Row],[sp1_idp_pin_gp]]+ndp_SP1[[#This Row],[sp1_ndp_pin_gp]]</f>
        <v>32544</v>
      </c>
      <c r="P14" s="8">
        <f>idp_SP1[[#This Row],[sp1_idp_pin_cp]]+ndp_SP1[[#This Row],[sp1_ndp_pin_cp]]</f>
        <v>13151</v>
      </c>
      <c r="Q14" s="8">
        <f>idp_SP1[[#This Row],[sp1_idp_pin_gb]]+ndp_SP1[[#This Row],[sp1_ndp_pin_gb]]</f>
        <v>23033</v>
      </c>
      <c r="R14" s="8">
        <f>idp_SP1[[#This Row],[sp1_idp_pin_fs]]+ndp_SP1[[#This Row],[sp1_ndp_pin_fs]]</f>
        <v>13988</v>
      </c>
      <c r="S14" s="8">
        <f>idp_SP1[[#This Row],[sp1_idp_pin_li]]+ndp_SP1[[#This Row],[sp1_ndp_pin_li]]</f>
        <v>0</v>
      </c>
      <c r="T14" s="8">
        <f>idp_SP1[[#This Row],[sp1_idp_pin_adopted]]+ndp_SP1[[#This Row],[sp1_ndp_pin_adopted]]</f>
        <v>38016</v>
      </c>
      <c r="U14" s="137">
        <v>5</v>
      </c>
      <c r="V14" s="52">
        <v>4</v>
      </c>
      <c r="W14" s="52">
        <v>4</v>
      </c>
      <c r="X14" s="52">
        <f>MAX(idp_SP1[[#This Row],[sp1_idp_sev_pr]],ndp_SP1[[#This Row],[sp1_ndp_sev_pr]])</f>
        <v>5</v>
      </c>
      <c r="Y14" s="52">
        <v>5</v>
      </c>
      <c r="Z14" s="52">
        <v>4</v>
      </c>
      <c r="AA14" s="52">
        <v>5</v>
      </c>
      <c r="AB14" s="52">
        <v>5</v>
      </c>
      <c r="AC14" s="52">
        <v>5</v>
      </c>
      <c r="AD14" s="52">
        <v>4</v>
      </c>
      <c r="AE14" s="52">
        <v>4</v>
      </c>
      <c r="AF14" s="8">
        <v>5</v>
      </c>
      <c r="AG14" s="54">
        <f>idp_SP1[[#This Row],[sp1_idp_target_ed]]+ndp_SP1[[#This Row],[sp1_ndp_target_ed]]</f>
        <v>2665</v>
      </c>
      <c r="AH14" s="8">
        <f>idp_SP1[[#This Row],[sp1_idp_target_fl]]+ndp_SP1[[#This Row],[sp1_ndp_target_fl]]</f>
        <v>13988</v>
      </c>
      <c r="AI14" s="8">
        <f>idp_SP1[[#This Row],[sp1_idp_target_he]]+ndp_SP1[[#This Row],[sp1_ndp_target_he]]</f>
        <v>24502</v>
      </c>
      <c r="AJ14" s="8">
        <f>idp_SP1[[#This Row],[sp1_idp_target_pr]]+ndp_SP1[[#This Row],[sp1_ndp_target_pr]]</f>
        <v>17722</v>
      </c>
      <c r="AK14" s="8">
        <f>idp_SP1[[#This Row],[sp1_idp_target_sn]]+ndp_SP1[[#This Row],[sp1_ndp_target_sn]]</f>
        <v>17666</v>
      </c>
      <c r="AL14" s="8">
        <f>idp_SP1[[#This Row],[sp1_idp_target_wa]]+ndp_SP1[[#This Row],[sp1_ndp_target_wa]]</f>
        <v>37090</v>
      </c>
      <c r="AM14" s="8">
        <f>idp_SP1[[#This Row],[sp1_idp_target_gp]]+ndp_SP1[[#This Row],[sp1_ndp_target_gp]]</f>
        <v>15161</v>
      </c>
      <c r="AN14" s="8">
        <f>idp_SP1[[#This Row],[sp1_idp_target_cp]]+ndp_SP1[[#This Row],[sp1_ndp_target_cp]]</f>
        <v>10578</v>
      </c>
      <c r="AO14" s="8">
        <f>idp_SP1[[#This Row],[sp1_idp_target_gb]]+ndp_SP1[[#This Row],[sp1_ndp_target_gb]]</f>
        <v>13820</v>
      </c>
      <c r="AP14" s="8">
        <f>idp_SP1[[#This Row],[sp1_idp_target_fs]]+ndp_SP1[[#This Row],[sp1_ndp_target_fs]]</f>
        <v>13988</v>
      </c>
      <c r="AQ14" s="8">
        <f>idp_SP1[[#This Row],[sp1_idp_target_li]]+ndp_SP1[[#This Row],[sp1_ndp_target_li]]</f>
        <v>0</v>
      </c>
      <c r="AR14" s="8">
        <f>idp_SP1[[#This Row],[sp1_idp_target_cw]]+ndp_SP1[[#This Row],[sp1_ndp_target_cw]]</f>
        <v>11273</v>
      </c>
      <c r="AS14" s="202">
        <f>idp_SP1[[#This Row],[sp1_idp_target_joint]]+ndp_SP1[[#This Row],[sp1_ndp_target_joint]]</f>
        <v>37090</v>
      </c>
      <c r="AT14" s="54">
        <v>2665</v>
      </c>
      <c r="AU14" s="8">
        <v>13988</v>
      </c>
      <c r="AV14" s="8">
        <v>24502</v>
      </c>
      <c r="AW14" s="8">
        <v>17722</v>
      </c>
      <c r="AX14" s="8">
        <v>17666</v>
      </c>
      <c r="AY14" s="8">
        <v>37090</v>
      </c>
      <c r="AZ14" s="8">
        <v>15161</v>
      </c>
      <c r="BA14" s="8">
        <v>10578</v>
      </c>
      <c r="BB14" s="8">
        <v>13820</v>
      </c>
      <c r="BC14" s="8">
        <v>13988</v>
      </c>
      <c r="BD14" s="8">
        <v>0</v>
      </c>
      <c r="BE14" s="8">
        <v>11273</v>
      </c>
      <c r="BF14" s="202">
        <v>37090</v>
      </c>
    </row>
    <row r="15" spans="1:58" ht="14.25" x14ac:dyDescent="0.45">
      <c r="A15" t="s">
        <v>262</v>
      </c>
      <c r="B15" t="s">
        <v>263</v>
      </c>
      <c r="C15" t="s">
        <v>245</v>
      </c>
      <c r="D15" t="s">
        <v>199</v>
      </c>
      <c r="E15" t="s">
        <v>264</v>
      </c>
      <c r="F15" s="22">
        <v>0</v>
      </c>
      <c r="G15" s="23">
        <v>0</v>
      </c>
      <c r="H15" s="23"/>
      <c r="I15" s="55">
        <f>idp_SP1[[#This Row],[sp1_idp_pin_ed]]+ndp_SP1[[#This Row],[sp1_ndp_pin_ed]]</f>
        <v>0</v>
      </c>
      <c r="J15" s="51">
        <f>idp_SP1[[#This Row],[sp1_idp_pin_fl]]+ndp_SP1[[#This Row],[sp1_ndp_pin_fl]]</f>
        <v>0</v>
      </c>
      <c r="K15" s="51">
        <f>idp_SP1[[#This Row],[sp1_idp_pin_he]]+ndp_SP1[[#This Row],[sp1_ndp_pin_he]]</f>
        <v>0</v>
      </c>
      <c r="L15" s="51">
        <f>idp_SP1[[#This Row],[sp1_idp_pin_pr]]+ndp_SP1[[#This Row],[sp1_ndp_pin_pr]]</f>
        <v>0</v>
      </c>
      <c r="M15" s="51">
        <f>idp_SP1[[#This Row],[sp1_idp_pin_sn]]+ndp_SP1[[#This Row],[sp1_ndp_pin_sn]]</f>
        <v>0</v>
      </c>
      <c r="N15" s="51">
        <f>idp_SP1[[#This Row],[sp1_idp_pin_wa]]+ndp_SP1[[#This Row],[sp1_ndp_pin_wa]]</f>
        <v>0</v>
      </c>
      <c r="O15" s="51">
        <f>idp_SP1[[#This Row],[sp1_idp_pin_gp]]+ndp_SP1[[#This Row],[sp1_ndp_pin_gp]]</f>
        <v>0</v>
      </c>
      <c r="P15" s="51">
        <f>idp_SP1[[#This Row],[sp1_idp_pin_cp]]+ndp_SP1[[#This Row],[sp1_ndp_pin_cp]]</f>
        <v>0</v>
      </c>
      <c r="Q15" s="51">
        <f>idp_SP1[[#This Row],[sp1_idp_pin_gb]]+ndp_SP1[[#This Row],[sp1_ndp_pin_gb]]</f>
        <v>0</v>
      </c>
      <c r="R15" s="51">
        <f>idp_SP1[[#This Row],[sp1_idp_pin_fs]]+ndp_SP1[[#This Row],[sp1_ndp_pin_fs]]</f>
        <v>0</v>
      </c>
      <c r="S15" s="51">
        <f>idp_SP1[[#This Row],[sp1_idp_pin_li]]+ndp_SP1[[#This Row],[sp1_ndp_pin_li]]</f>
        <v>0</v>
      </c>
      <c r="T15" s="51">
        <f>idp_SP1[[#This Row],[sp1_idp_pin_adopted]]+ndp_SP1[[#This Row],[sp1_ndp_pin_adopted]]</f>
        <v>0</v>
      </c>
      <c r="U15" s="55"/>
      <c r="V15" s="51"/>
      <c r="W15" s="51"/>
      <c r="X15" s="51">
        <f>MAX(idp_SP1[[#This Row],[sp1_idp_sev_pr]],ndp_SP1[[#This Row],[sp1_ndp_sev_pr]])</f>
        <v>0</v>
      </c>
      <c r="Y15" s="51">
        <v>0</v>
      </c>
      <c r="Z15" s="51"/>
      <c r="AA15" s="51"/>
      <c r="AB15" s="51"/>
      <c r="AC15" s="51"/>
      <c r="AD15" s="51"/>
      <c r="AE15" s="51"/>
      <c r="AF15" s="51"/>
      <c r="AG15" s="57">
        <f>idp_SP1[[#This Row],[sp1_idp_target_ed]]+ndp_SP1[[#This Row],[sp1_ndp_target_ed]]</f>
        <v>0</v>
      </c>
      <c r="AH15" s="51">
        <f>idp_SP1[[#This Row],[sp1_idp_target_fl]]+ndp_SP1[[#This Row],[sp1_ndp_target_fl]]</f>
        <v>0</v>
      </c>
      <c r="AI15" s="51">
        <f>idp_SP1[[#This Row],[sp1_idp_target_he]]+ndp_SP1[[#This Row],[sp1_ndp_target_he]]</f>
        <v>0</v>
      </c>
      <c r="AJ15" s="51">
        <f>idp_SP1[[#This Row],[sp1_idp_target_pr]]+ndp_SP1[[#This Row],[sp1_ndp_target_pr]]</f>
        <v>0</v>
      </c>
      <c r="AK15" s="51">
        <f>idp_SP1[[#This Row],[sp1_idp_target_sn]]+ndp_SP1[[#This Row],[sp1_ndp_target_sn]]</f>
        <v>0</v>
      </c>
      <c r="AL15" s="51">
        <f>idp_SP1[[#This Row],[sp1_idp_target_wa]]+ndp_SP1[[#This Row],[sp1_ndp_target_wa]]</f>
        <v>0</v>
      </c>
      <c r="AM15" s="51">
        <f>idp_SP1[[#This Row],[sp1_idp_target_gp]]+ndp_SP1[[#This Row],[sp1_ndp_target_gp]]</f>
        <v>0</v>
      </c>
      <c r="AN15" s="51">
        <f>idp_SP1[[#This Row],[sp1_idp_target_cp]]+ndp_SP1[[#This Row],[sp1_ndp_target_cp]]</f>
        <v>0</v>
      </c>
      <c r="AO15" s="51">
        <f>idp_SP1[[#This Row],[sp1_idp_target_gb]]+ndp_SP1[[#This Row],[sp1_ndp_target_gb]]</f>
        <v>0</v>
      </c>
      <c r="AP15" s="51">
        <f>idp_SP1[[#This Row],[sp1_idp_target_fs]]+ndp_SP1[[#This Row],[sp1_ndp_target_fs]]</f>
        <v>0</v>
      </c>
      <c r="AQ15" s="51">
        <f>idp_SP1[[#This Row],[sp1_idp_target_li]]+ndp_SP1[[#This Row],[sp1_ndp_target_li]]</f>
        <v>0</v>
      </c>
      <c r="AR15" s="51">
        <f>idp_SP1[[#This Row],[sp1_idp_target_cw]]+ndp_SP1[[#This Row],[sp1_ndp_target_cw]]</f>
        <v>0</v>
      </c>
      <c r="AS15" s="201">
        <f>idp_SP1[[#This Row],[sp1_idp_target_joint]]+ndp_SP1[[#This Row],[sp1_ndp_target_joint]]</f>
        <v>0</v>
      </c>
      <c r="AT15" s="57">
        <v>0</v>
      </c>
      <c r="AU15" s="51">
        <v>0</v>
      </c>
      <c r="AV15" s="51">
        <v>0</v>
      </c>
      <c r="AW15" s="51">
        <v>0</v>
      </c>
      <c r="AX15" s="51">
        <v>0</v>
      </c>
      <c r="AY15" s="51">
        <v>0</v>
      </c>
      <c r="AZ15" s="51">
        <v>0</v>
      </c>
      <c r="BA15" s="51">
        <v>0</v>
      </c>
      <c r="BB15" s="51">
        <v>0</v>
      </c>
      <c r="BC15" s="51">
        <v>0</v>
      </c>
      <c r="BD15" s="51">
        <v>0</v>
      </c>
      <c r="BE15" s="51">
        <v>0</v>
      </c>
      <c r="BF15" s="201">
        <v>0</v>
      </c>
    </row>
    <row r="16" spans="1:58" ht="14.25" x14ac:dyDescent="0.45">
      <c r="A16" t="s">
        <v>265</v>
      </c>
      <c r="B16" t="s">
        <v>266</v>
      </c>
      <c r="C16" t="s">
        <v>245</v>
      </c>
      <c r="D16" t="s">
        <v>199</v>
      </c>
      <c r="E16" t="s">
        <v>267</v>
      </c>
      <c r="F16" s="22">
        <v>0</v>
      </c>
      <c r="G16" s="23">
        <v>0</v>
      </c>
      <c r="H16" s="23"/>
      <c r="I16" s="55">
        <f>idp_SP1[[#This Row],[sp1_idp_pin_ed]]+ndp_SP1[[#This Row],[sp1_ndp_pin_ed]]</f>
        <v>0</v>
      </c>
      <c r="J16" s="51">
        <f>idp_SP1[[#This Row],[sp1_idp_pin_fl]]+ndp_SP1[[#This Row],[sp1_ndp_pin_fl]]</f>
        <v>0</v>
      </c>
      <c r="K16" s="51">
        <f>idp_SP1[[#This Row],[sp1_idp_pin_he]]+ndp_SP1[[#This Row],[sp1_ndp_pin_he]]</f>
        <v>0</v>
      </c>
      <c r="L16" s="51">
        <f>idp_SP1[[#This Row],[sp1_idp_pin_pr]]+ndp_SP1[[#This Row],[sp1_ndp_pin_pr]]</f>
        <v>0</v>
      </c>
      <c r="M16" s="51">
        <f>idp_SP1[[#This Row],[sp1_idp_pin_sn]]+ndp_SP1[[#This Row],[sp1_ndp_pin_sn]]</f>
        <v>0</v>
      </c>
      <c r="N16" s="51">
        <f>idp_SP1[[#This Row],[sp1_idp_pin_wa]]+ndp_SP1[[#This Row],[sp1_ndp_pin_wa]]</f>
        <v>0</v>
      </c>
      <c r="O16" s="51">
        <f>idp_SP1[[#This Row],[sp1_idp_pin_gp]]+ndp_SP1[[#This Row],[sp1_ndp_pin_gp]]</f>
        <v>0</v>
      </c>
      <c r="P16" s="51">
        <f>idp_SP1[[#This Row],[sp1_idp_pin_cp]]+ndp_SP1[[#This Row],[sp1_ndp_pin_cp]]</f>
        <v>0</v>
      </c>
      <c r="Q16" s="51">
        <f>idp_SP1[[#This Row],[sp1_idp_pin_gb]]+ndp_SP1[[#This Row],[sp1_ndp_pin_gb]]</f>
        <v>0</v>
      </c>
      <c r="R16" s="51">
        <f>idp_SP1[[#This Row],[sp1_idp_pin_fs]]+ndp_SP1[[#This Row],[sp1_ndp_pin_fs]]</f>
        <v>0</v>
      </c>
      <c r="S16" s="51">
        <f>idp_SP1[[#This Row],[sp1_idp_pin_li]]+ndp_SP1[[#This Row],[sp1_ndp_pin_li]]</f>
        <v>0</v>
      </c>
      <c r="T16" s="51">
        <f>idp_SP1[[#This Row],[sp1_idp_pin_adopted]]+ndp_SP1[[#This Row],[sp1_ndp_pin_adopted]]</f>
        <v>0</v>
      </c>
      <c r="U16" s="55"/>
      <c r="V16" s="51"/>
      <c r="W16" s="51"/>
      <c r="X16" s="51">
        <f>MAX(idp_SP1[[#This Row],[sp1_idp_sev_pr]],ndp_SP1[[#This Row],[sp1_ndp_sev_pr]])</f>
        <v>0</v>
      </c>
      <c r="Y16" s="51">
        <v>0</v>
      </c>
      <c r="Z16" s="51"/>
      <c r="AA16" s="51"/>
      <c r="AB16" s="51"/>
      <c r="AC16" s="51"/>
      <c r="AD16" s="51"/>
      <c r="AE16" s="51"/>
      <c r="AF16" s="51"/>
      <c r="AG16" s="57">
        <f>idp_SP1[[#This Row],[sp1_idp_target_ed]]+ndp_SP1[[#This Row],[sp1_ndp_target_ed]]</f>
        <v>0</v>
      </c>
      <c r="AH16" s="51">
        <f>idp_SP1[[#This Row],[sp1_idp_target_fl]]+ndp_SP1[[#This Row],[sp1_ndp_target_fl]]</f>
        <v>0</v>
      </c>
      <c r="AI16" s="51">
        <f>idp_SP1[[#This Row],[sp1_idp_target_he]]+ndp_SP1[[#This Row],[sp1_ndp_target_he]]</f>
        <v>0</v>
      </c>
      <c r="AJ16" s="51">
        <f>idp_SP1[[#This Row],[sp1_idp_target_pr]]+ndp_SP1[[#This Row],[sp1_ndp_target_pr]]</f>
        <v>0</v>
      </c>
      <c r="AK16" s="51">
        <f>idp_SP1[[#This Row],[sp1_idp_target_sn]]+ndp_SP1[[#This Row],[sp1_ndp_target_sn]]</f>
        <v>0</v>
      </c>
      <c r="AL16" s="51">
        <f>idp_SP1[[#This Row],[sp1_idp_target_wa]]+ndp_SP1[[#This Row],[sp1_ndp_target_wa]]</f>
        <v>0</v>
      </c>
      <c r="AM16" s="51">
        <f>idp_SP1[[#This Row],[sp1_idp_target_gp]]+ndp_SP1[[#This Row],[sp1_ndp_target_gp]]</f>
        <v>0</v>
      </c>
      <c r="AN16" s="51">
        <f>idp_SP1[[#This Row],[sp1_idp_target_cp]]+ndp_SP1[[#This Row],[sp1_ndp_target_cp]]</f>
        <v>0</v>
      </c>
      <c r="AO16" s="51">
        <f>idp_SP1[[#This Row],[sp1_idp_target_gb]]+ndp_SP1[[#This Row],[sp1_ndp_target_gb]]</f>
        <v>0</v>
      </c>
      <c r="AP16" s="51">
        <f>idp_SP1[[#This Row],[sp1_idp_target_fs]]+ndp_SP1[[#This Row],[sp1_ndp_target_fs]]</f>
        <v>0</v>
      </c>
      <c r="AQ16" s="51">
        <f>idp_SP1[[#This Row],[sp1_idp_target_li]]+ndp_SP1[[#This Row],[sp1_ndp_target_li]]</f>
        <v>0</v>
      </c>
      <c r="AR16" s="51">
        <f>idp_SP1[[#This Row],[sp1_idp_target_cw]]+ndp_SP1[[#This Row],[sp1_ndp_target_cw]]</f>
        <v>0</v>
      </c>
      <c r="AS16" s="201">
        <f>idp_SP1[[#This Row],[sp1_idp_target_joint]]+ndp_SP1[[#This Row],[sp1_ndp_target_joint]]</f>
        <v>0</v>
      </c>
      <c r="AT16" s="57">
        <v>0</v>
      </c>
      <c r="AU16" s="51">
        <v>0</v>
      </c>
      <c r="AV16" s="51">
        <v>0</v>
      </c>
      <c r="AW16" s="51">
        <v>0</v>
      </c>
      <c r="AX16" s="51">
        <v>0</v>
      </c>
      <c r="AY16" s="51">
        <v>0</v>
      </c>
      <c r="AZ16" s="51">
        <v>0</v>
      </c>
      <c r="BA16" s="51">
        <v>0</v>
      </c>
      <c r="BB16" s="51">
        <v>0</v>
      </c>
      <c r="BC16" s="51">
        <v>0</v>
      </c>
      <c r="BD16" s="51">
        <v>0</v>
      </c>
      <c r="BE16" s="51">
        <v>0</v>
      </c>
      <c r="BF16" s="201">
        <v>0</v>
      </c>
    </row>
    <row r="17" spans="1:58" ht="14.25" x14ac:dyDescent="0.45">
      <c r="A17" t="s">
        <v>268</v>
      </c>
      <c r="B17" t="s">
        <v>269</v>
      </c>
      <c r="C17" t="s">
        <v>252</v>
      </c>
      <c r="D17" t="s">
        <v>193</v>
      </c>
      <c r="E17" t="s">
        <v>270</v>
      </c>
      <c r="F17" s="10">
        <v>7270</v>
      </c>
      <c r="G17" s="8">
        <v>50450</v>
      </c>
      <c r="H17" s="8">
        <v>57720</v>
      </c>
      <c r="I17" s="10">
        <f>idp_SP1[[#This Row],[sp1_idp_pin_ed]]+ndp_SP1[[#This Row],[sp1_ndp_pin_ed]]</f>
        <v>2736</v>
      </c>
      <c r="J17" s="8">
        <f>idp_SP1[[#This Row],[sp1_idp_pin_fl]]+ndp_SP1[[#This Row],[sp1_ndp_pin_fl]]</f>
        <v>25078</v>
      </c>
      <c r="K17" s="8">
        <f>idp_SP1[[#This Row],[sp1_idp_pin_he]]+ndp_SP1[[#This Row],[sp1_ndp_pin_he]]</f>
        <v>44778</v>
      </c>
      <c r="L17" s="8">
        <f>idp_SP1[[#This Row],[sp1_idp_pin_pr]]+ndp_SP1[[#This Row],[sp1_ndp_pin_pr]]</f>
        <v>49559</v>
      </c>
      <c r="M17" s="8">
        <f>idp_SP1[[#This Row],[sp1_idp_pin_sn]]+ndp_SP1[[#This Row],[sp1_ndp_pin_sn]]</f>
        <v>45250</v>
      </c>
      <c r="N17" s="8">
        <f>idp_SP1[[#This Row],[sp1_idp_pin_wa]]+ndp_SP1[[#This Row],[sp1_ndp_pin_wa]]</f>
        <v>57720</v>
      </c>
      <c r="O17" s="8">
        <f>idp_SP1[[#This Row],[sp1_idp_pin_gp]]+ndp_SP1[[#This Row],[sp1_ndp_pin_gp]]</f>
        <v>49559</v>
      </c>
      <c r="P17" s="8">
        <f>idp_SP1[[#This Row],[sp1_idp_pin_cp]]+ndp_SP1[[#This Row],[sp1_ndp_pin_cp]]</f>
        <v>17762</v>
      </c>
      <c r="Q17" s="8">
        <f>idp_SP1[[#This Row],[sp1_idp_pin_gb]]+ndp_SP1[[#This Row],[sp1_ndp_pin_gb]]</f>
        <v>29091</v>
      </c>
      <c r="R17" s="8">
        <f>idp_SP1[[#This Row],[sp1_idp_pin_fs]]+ndp_SP1[[#This Row],[sp1_ndp_pin_fs]]</f>
        <v>25078</v>
      </c>
      <c r="S17" s="8">
        <f>idp_SP1[[#This Row],[sp1_idp_pin_li]]+ndp_SP1[[#This Row],[sp1_ndp_pin_li]]</f>
        <v>0</v>
      </c>
      <c r="T17" s="8">
        <f>idp_SP1[[#This Row],[sp1_idp_pin_adopted]]+ndp_SP1[[#This Row],[sp1_ndp_pin_adopted]]</f>
        <v>57720</v>
      </c>
      <c r="U17" s="137">
        <v>5</v>
      </c>
      <c r="V17" s="52">
        <v>4</v>
      </c>
      <c r="W17" s="52">
        <v>4</v>
      </c>
      <c r="X17" s="52">
        <f>MAX(idp_SP1[[#This Row],[sp1_idp_sev_pr]],ndp_SP1[[#This Row],[sp1_ndp_sev_pr]])</f>
        <v>5</v>
      </c>
      <c r="Y17" s="52">
        <v>5</v>
      </c>
      <c r="Z17" s="52">
        <v>5</v>
      </c>
      <c r="AA17" s="52">
        <v>4</v>
      </c>
      <c r="AB17" s="52">
        <v>5</v>
      </c>
      <c r="AC17" s="52">
        <v>5</v>
      </c>
      <c r="AD17" s="52">
        <v>4</v>
      </c>
      <c r="AE17" s="52">
        <v>4</v>
      </c>
      <c r="AF17" s="8">
        <v>5</v>
      </c>
      <c r="AG17" s="54">
        <f>idp_SP1[[#This Row],[sp1_idp_target_ed]]+ndp_SP1[[#This Row],[sp1_ndp_target_ed]]</f>
        <v>2463</v>
      </c>
      <c r="AH17" s="8">
        <f>idp_SP1[[#This Row],[sp1_idp_target_fl]]+ndp_SP1[[#This Row],[sp1_ndp_target_fl]]</f>
        <v>25078</v>
      </c>
      <c r="AI17" s="8">
        <f>idp_SP1[[#This Row],[sp1_idp_target_he]]+ndp_SP1[[#This Row],[sp1_ndp_target_he]]</f>
        <v>25612</v>
      </c>
      <c r="AJ17" s="8">
        <f>idp_SP1[[#This Row],[sp1_idp_target_pr]]+ndp_SP1[[#This Row],[sp1_ndp_target_pr]]</f>
        <v>19008</v>
      </c>
      <c r="AK17" s="8">
        <f>idp_SP1[[#This Row],[sp1_idp_target_sn]]+ndp_SP1[[#This Row],[sp1_ndp_target_sn]]</f>
        <v>27809</v>
      </c>
      <c r="AL17" s="8">
        <f>idp_SP1[[#This Row],[sp1_idp_target_wa]]+ndp_SP1[[#This Row],[sp1_ndp_target_wa]]</f>
        <v>57720</v>
      </c>
      <c r="AM17" s="8">
        <f>idp_SP1[[#This Row],[sp1_idp_target_gp]]+ndp_SP1[[#This Row],[sp1_ndp_target_gp]]</f>
        <v>19008</v>
      </c>
      <c r="AN17" s="8">
        <f>idp_SP1[[#This Row],[sp1_idp_target_cp]]+ndp_SP1[[#This Row],[sp1_ndp_target_cp]]</f>
        <v>14868</v>
      </c>
      <c r="AO17" s="8">
        <f>idp_SP1[[#This Row],[sp1_idp_target_gb]]+ndp_SP1[[#This Row],[sp1_ndp_target_gb]]</f>
        <v>1454</v>
      </c>
      <c r="AP17" s="8">
        <f>idp_SP1[[#This Row],[sp1_idp_target_fs]]+ndp_SP1[[#This Row],[sp1_ndp_target_fs]]</f>
        <v>25078</v>
      </c>
      <c r="AQ17" s="8">
        <f>idp_SP1[[#This Row],[sp1_idp_target_li]]+ndp_SP1[[#This Row],[sp1_ndp_target_li]]</f>
        <v>0</v>
      </c>
      <c r="AR17" s="8">
        <f>idp_SP1[[#This Row],[sp1_idp_target_cw]]+ndp_SP1[[#This Row],[sp1_ndp_target_cw]]</f>
        <v>13079</v>
      </c>
      <c r="AS17" s="202">
        <f>idp_SP1[[#This Row],[sp1_idp_target_joint]]+ndp_SP1[[#This Row],[sp1_ndp_target_joint]]</f>
        <v>57720</v>
      </c>
      <c r="AT17" s="54">
        <v>2463</v>
      </c>
      <c r="AU17" s="8">
        <v>25078</v>
      </c>
      <c r="AV17" s="8">
        <v>25612</v>
      </c>
      <c r="AW17" s="8">
        <v>19008</v>
      </c>
      <c r="AX17" s="8">
        <v>27809</v>
      </c>
      <c r="AY17" s="8">
        <v>57720</v>
      </c>
      <c r="AZ17" s="8">
        <v>19008</v>
      </c>
      <c r="BA17" s="8">
        <v>14868</v>
      </c>
      <c r="BB17" s="8">
        <v>1454</v>
      </c>
      <c r="BC17" s="8">
        <v>25078</v>
      </c>
      <c r="BD17" s="8">
        <v>0</v>
      </c>
      <c r="BE17" s="8">
        <v>13079</v>
      </c>
      <c r="BF17" s="202">
        <v>57720</v>
      </c>
    </row>
    <row r="18" spans="1:58" ht="14.25" x14ac:dyDescent="0.45">
      <c r="A18" t="s">
        <v>268</v>
      </c>
      <c r="B18" t="s">
        <v>269</v>
      </c>
      <c r="C18" t="s">
        <v>271</v>
      </c>
      <c r="D18" t="s">
        <v>196</v>
      </c>
      <c r="E18" t="s">
        <v>272</v>
      </c>
      <c r="F18" s="10">
        <v>22234</v>
      </c>
      <c r="G18" s="8">
        <v>20057.226344045768</v>
      </c>
      <c r="H18" s="8">
        <v>42291.226344045768</v>
      </c>
      <c r="I18" s="10">
        <f>idp_SP1[[#This Row],[sp1_idp_pin_ed]]+ndp_SP1[[#This Row],[sp1_ndp_pin_ed]]</f>
        <v>1640</v>
      </c>
      <c r="J18" s="8">
        <f>idp_SP1[[#This Row],[sp1_idp_pin_fl]]+ndp_SP1[[#This Row],[sp1_ndp_pin_fl]]</f>
        <v>13153</v>
      </c>
      <c r="K18" s="8">
        <f>idp_SP1[[#This Row],[sp1_idp_pin_he]]+ndp_SP1[[#This Row],[sp1_ndp_pin_he]]</f>
        <v>32809</v>
      </c>
      <c r="L18" s="8">
        <f>idp_SP1[[#This Row],[sp1_idp_pin_pr]]+ndp_SP1[[#This Row],[sp1_ndp_pin_pr]]</f>
        <v>37016</v>
      </c>
      <c r="M18" s="8">
        <f>idp_SP1[[#This Row],[sp1_idp_pin_sn]]+ndp_SP1[[#This Row],[sp1_ndp_pin_sn]]</f>
        <v>26223</v>
      </c>
      <c r="N18" s="8">
        <f>idp_SP1[[#This Row],[sp1_idp_pin_wa]]+ndp_SP1[[#This Row],[sp1_ndp_pin_wa]]</f>
        <v>25374</v>
      </c>
      <c r="O18" s="8">
        <f>idp_SP1[[#This Row],[sp1_idp_pin_gp]]+ndp_SP1[[#This Row],[sp1_ndp_pin_gp]]</f>
        <v>37016</v>
      </c>
      <c r="P18" s="8">
        <f>idp_SP1[[#This Row],[sp1_idp_pin_cp]]+ndp_SP1[[#This Row],[sp1_ndp_pin_cp]]</f>
        <v>15382</v>
      </c>
      <c r="Q18" s="8">
        <f>idp_SP1[[#This Row],[sp1_idp_pin_gb]]+ndp_SP1[[#This Row],[sp1_ndp_pin_gb]]</f>
        <v>16578</v>
      </c>
      <c r="R18" s="8">
        <f>idp_SP1[[#This Row],[sp1_idp_pin_fs]]+ndp_SP1[[#This Row],[sp1_ndp_pin_fs]]</f>
        <v>13153</v>
      </c>
      <c r="S18" s="8">
        <f>idp_SP1[[#This Row],[sp1_idp_pin_li]]+ndp_SP1[[#This Row],[sp1_ndp_pin_li]]</f>
        <v>0</v>
      </c>
      <c r="T18" s="8">
        <f>idp_SP1[[#This Row],[sp1_idp_pin_adopted]]+ndp_SP1[[#This Row],[sp1_ndp_pin_adopted]]</f>
        <v>37016</v>
      </c>
      <c r="U18" s="137">
        <v>4</v>
      </c>
      <c r="V18" s="52">
        <v>4</v>
      </c>
      <c r="W18" s="52">
        <v>4</v>
      </c>
      <c r="X18" s="52">
        <f>MAX(idp_SP1[[#This Row],[sp1_idp_sev_pr]],ndp_SP1[[#This Row],[sp1_ndp_sev_pr]])</f>
        <v>4</v>
      </c>
      <c r="Y18" s="52">
        <v>4</v>
      </c>
      <c r="Z18" s="52">
        <v>4</v>
      </c>
      <c r="AA18" s="52">
        <v>4</v>
      </c>
      <c r="AB18" s="52">
        <v>4</v>
      </c>
      <c r="AC18" s="52">
        <v>4</v>
      </c>
      <c r="AD18" s="52">
        <v>4</v>
      </c>
      <c r="AE18" s="52">
        <v>4</v>
      </c>
      <c r="AF18" s="8">
        <v>4</v>
      </c>
      <c r="AG18" s="54">
        <f>idp_SP1[[#This Row],[sp1_idp_target_ed]]+ndp_SP1[[#This Row],[sp1_ndp_target_ed]]</f>
        <v>1477</v>
      </c>
      <c r="AH18" s="8">
        <f>idp_SP1[[#This Row],[sp1_idp_target_fl]]+ndp_SP1[[#This Row],[sp1_ndp_target_fl]]</f>
        <v>13153</v>
      </c>
      <c r="AI18" s="8">
        <f>idp_SP1[[#This Row],[sp1_idp_target_he]]+ndp_SP1[[#This Row],[sp1_ndp_target_he]]</f>
        <v>22968</v>
      </c>
      <c r="AJ18" s="8">
        <f>idp_SP1[[#This Row],[sp1_idp_target_pr]]+ndp_SP1[[#This Row],[sp1_ndp_target_pr]]</f>
        <v>20541</v>
      </c>
      <c r="AK18" s="8">
        <f>idp_SP1[[#This Row],[sp1_idp_target_sn]]+ndp_SP1[[#This Row],[sp1_ndp_target_sn]]</f>
        <v>18004</v>
      </c>
      <c r="AL18" s="8">
        <f>idp_SP1[[#This Row],[sp1_idp_target_wa]]+ndp_SP1[[#This Row],[sp1_ndp_target_wa]]</f>
        <v>25374</v>
      </c>
      <c r="AM18" s="8">
        <f>idp_SP1[[#This Row],[sp1_idp_target_gp]]+ndp_SP1[[#This Row],[sp1_ndp_target_gp]]</f>
        <v>20541</v>
      </c>
      <c r="AN18" s="8">
        <f>idp_SP1[[#This Row],[sp1_idp_target_cp]]+ndp_SP1[[#This Row],[sp1_ndp_target_cp]]</f>
        <v>10390</v>
      </c>
      <c r="AO18" s="8">
        <f>idp_SP1[[#This Row],[sp1_idp_target_gb]]+ndp_SP1[[#This Row],[sp1_ndp_target_gb]]</f>
        <v>8289</v>
      </c>
      <c r="AP18" s="8">
        <f>idp_SP1[[#This Row],[sp1_idp_target_fs]]+ndp_SP1[[#This Row],[sp1_ndp_target_fs]]</f>
        <v>13153</v>
      </c>
      <c r="AQ18" s="8">
        <f>idp_SP1[[#This Row],[sp1_idp_target_li]]+ndp_SP1[[#This Row],[sp1_ndp_target_li]]</f>
        <v>0</v>
      </c>
      <c r="AR18" s="8">
        <f>idp_SP1[[#This Row],[sp1_idp_target_cw]]+ndp_SP1[[#This Row],[sp1_ndp_target_cw]]</f>
        <v>2027</v>
      </c>
      <c r="AS18" s="202">
        <f>idp_SP1[[#This Row],[sp1_idp_target_joint]]+ndp_SP1[[#This Row],[sp1_ndp_target_joint]]</f>
        <v>26257</v>
      </c>
      <c r="AT18" s="54">
        <v>1477</v>
      </c>
      <c r="AU18" s="8">
        <v>13153</v>
      </c>
      <c r="AV18" s="8">
        <v>22968</v>
      </c>
      <c r="AW18" s="8">
        <v>20541</v>
      </c>
      <c r="AX18" s="8">
        <v>18004</v>
      </c>
      <c r="AY18" s="8">
        <v>25374</v>
      </c>
      <c r="AZ18" s="8">
        <v>20541</v>
      </c>
      <c r="BA18" s="8">
        <v>10390</v>
      </c>
      <c r="BB18" s="8">
        <v>8289</v>
      </c>
      <c r="BC18" s="8">
        <v>13153</v>
      </c>
      <c r="BD18" s="8">
        <v>0</v>
      </c>
      <c r="BE18" s="8">
        <v>2027</v>
      </c>
      <c r="BF18" s="202">
        <v>26257</v>
      </c>
    </row>
    <row r="19" spans="1:58" ht="14.25" x14ac:dyDescent="0.45">
      <c r="A19" t="s">
        <v>268</v>
      </c>
      <c r="B19" t="s">
        <v>269</v>
      </c>
      <c r="C19" t="s">
        <v>256</v>
      </c>
      <c r="D19" t="s">
        <v>199</v>
      </c>
      <c r="E19" t="s">
        <v>273</v>
      </c>
      <c r="F19" s="22">
        <v>0</v>
      </c>
      <c r="G19" s="23">
        <v>0</v>
      </c>
      <c r="H19" s="23"/>
      <c r="I19" s="55">
        <f>idp_SP1[[#This Row],[sp1_idp_pin_ed]]+ndp_SP1[[#This Row],[sp1_ndp_pin_ed]]</f>
        <v>0</v>
      </c>
      <c r="J19" s="51">
        <f>idp_SP1[[#This Row],[sp1_idp_pin_fl]]+ndp_SP1[[#This Row],[sp1_ndp_pin_fl]]</f>
        <v>0</v>
      </c>
      <c r="K19" s="51">
        <f>idp_SP1[[#This Row],[sp1_idp_pin_he]]+ndp_SP1[[#This Row],[sp1_ndp_pin_he]]</f>
        <v>0</v>
      </c>
      <c r="L19" s="51">
        <f>idp_SP1[[#This Row],[sp1_idp_pin_pr]]+ndp_SP1[[#This Row],[sp1_ndp_pin_pr]]</f>
        <v>0</v>
      </c>
      <c r="M19" s="51">
        <f>idp_SP1[[#This Row],[sp1_idp_pin_sn]]+ndp_SP1[[#This Row],[sp1_ndp_pin_sn]]</f>
        <v>0</v>
      </c>
      <c r="N19" s="51">
        <f>idp_SP1[[#This Row],[sp1_idp_pin_wa]]+ndp_SP1[[#This Row],[sp1_ndp_pin_wa]]</f>
        <v>0</v>
      </c>
      <c r="O19" s="51">
        <f>idp_SP1[[#This Row],[sp1_idp_pin_gp]]+ndp_SP1[[#This Row],[sp1_ndp_pin_gp]]</f>
        <v>0</v>
      </c>
      <c r="P19" s="51">
        <f>idp_SP1[[#This Row],[sp1_idp_pin_cp]]+ndp_SP1[[#This Row],[sp1_ndp_pin_cp]]</f>
        <v>0</v>
      </c>
      <c r="Q19" s="51">
        <f>idp_SP1[[#This Row],[sp1_idp_pin_gb]]+ndp_SP1[[#This Row],[sp1_ndp_pin_gb]]</f>
        <v>0</v>
      </c>
      <c r="R19" s="51">
        <f>idp_SP1[[#This Row],[sp1_idp_pin_fs]]+ndp_SP1[[#This Row],[sp1_ndp_pin_fs]]</f>
        <v>0</v>
      </c>
      <c r="S19" s="51">
        <f>idp_SP1[[#This Row],[sp1_idp_pin_li]]+ndp_SP1[[#This Row],[sp1_ndp_pin_li]]</f>
        <v>0</v>
      </c>
      <c r="T19" s="51">
        <f>idp_SP1[[#This Row],[sp1_idp_pin_adopted]]+ndp_SP1[[#This Row],[sp1_ndp_pin_adopted]]</f>
        <v>0</v>
      </c>
      <c r="U19" s="55"/>
      <c r="V19" s="51"/>
      <c r="W19" s="51"/>
      <c r="X19" s="51">
        <f>MAX(idp_SP1[[#This Row],[sp1_idp_sev_pr]],ndp_SP1[[#This Row],[sp1_ndp_sev_pr]])</f>
        <v>0</v>
      </c>
      <c r="Y19" s="51">
        <v>0</v>
      </c>
      <c r="Z19" s="51">
        <v>0</v>
      </c>
      <c r="AA19" s="51">
        <v>0</v>
      </c>
      <c r="AB19" s="51"/>
      <c r="AC19" s="51"/>
      <c r="AD19" s="51"/>
      <c r="AE19" s="51"/>
      <c r="AF19" s="51"/>
      <c r="AG19" s="57">
        <f>idp_SP1[[#This Row],[sp1_idp_target_ed]]+ndp_SP1[[#This Row],[sp1_ndp_target_ed]]</f>
        <v>0</v>
      </c>
      <c r="AH19" s="51">
        <f>idp_SP1[[#This Row],[sp1_idp_target_fl]]+ndp_SP1[[#This Row],[sp1_ndp_target_fl]]</f>
        <v>0</v>
      </c>
      <c r="AI19" s="51">
        <f>idp_SP1[[#This Row],[sp1_idp_target_he]]+ndp_SP1[[#This Row],[sp1_ndp_target_he]]</f>
        <v>0</v>
      </c>
      <c r="AJ19" s="51">
        <f>idp_SP1[[#This Row],[sp1_idp_target_pr]]+ndp_SP1[[#This Row],[sp1_ndp_target_pr]]</f>
        <v>0</v>
      </c>
      <c r="AK19" s="51">
        <f>idp_SP1[[#This Row],[sp1_idp_target_sn]]+ndp_SP1[[#This Row],[sp1_ndp_target_sn]]</f>
        <v>0</v>
      </c>
      <c r="AL19" s="51">
        <f>idp_SP1[[#This Row],[sp1_idp_target_wa]]+ndp_SP1[[#This Row],[sp1_ndp_target_wa]]</f>
        <v>0</v>
      </c>
      <c r="AM19" s="51">
        <f>idp_SP1[[#This Row],[sp1_idp_target_gp]]+ndp_SP1[[#This Row],[sp1_ndp_target_gp]]</f>
        <v>0</v>
      </c>
      <c r="AN19" s="51">
        <f>idp_SP1[[#This Row],[sp1_idp_target_cp]]+ndp_SP1[[#This Row],[sp1_ndp_target_cp]]</f>
        <v>0</v>
      </c>
      <c r="AO19" s="51">
        <f>idp_SP1[[#This Row],[sp1_idp_target_gb]]+ndp_SP1[[#This Row],[sp1_ndp_target_gb]]</f>
        <v>0</v>
      </c>
      <c r="AP19" s="51">
        <f>idp_SP1[[#This Row],[sp1_idp_target_fs]]+ndp_SP1[[#This Row],[sp1_ndp_target_fs]]</f>
        <v>0</v>
      </c>
      <c r="AQ19" s="51">
        <f>idp_SP1[[#This Row],[sp1_idp_target_li]]+ndp_SP1[[#This Row],[sp1_ndp_target_li]]</f>
        <v>0</v>
      </c>
      <c r="AR19" s="51">
        <f>idp_SP1[[#This Row],[sp1_idp_target_cw]]+ndp_SP1[[#This Row],[sp1_ndp_target_cw]]</f>
        <v>0</v>
      </c>
      <c r="AS19" s="201">
        <f>idp_SP1[[#This Row],[sp1_idp_target_joint]]+ndp_SP1[[#This Row],[sp1_ndp_target_joint]]</f>
        <v>0</v>
      </c>
      <c r="AT19" s="57">
        <v>0</v>
      </c>
      <c r="AU19" s="51">
        <v>0</v>
      </c>
      <c r="AV19" s="51">
        <v>0</v>
      </c>
      <c r="AW19" s="51">
        <v>0</v>
      </c>
      <c r="AX19" s="51">
        <v>0</v>
      </c>
      <c r="AY19" s="51">
        <v>0</v>
      </c>
      <c r="AZ19" s="51">
        <v>0</v>
      </c>
      <c r="BA19" s="51">
        <v>0</v>
      </c>
      <c r="BB19" s="51">
        <v>0</v>
      </c>
      <c r="BC19" s="51">
        <v>0</v>
      </c>
      <c r="BD19" s="51">
        <v>0</v>
      </c>
      <c r="BE19" s="51">
        <v>0</v>
      </c>
      <c r="BF19" s="201">
        <v>0</v>
      </c>
    </row>
    <row r="20" spans="1:58" ht="14.25" x14ac:dyDescent="0.45">
      <c r="A20" t="s">
        <v>268</v>
      </c>
      <c r="B20" t="s">
        <v>269</v>
      </c>
      <c r="C20" t="s">
        <v>274</v>
      </c>
      <c r="D20" t="s">
        <v>196</v>
      </c>
      <c r="E20" t="s">
        <v>275</v>
      </c>
      <c r="F20" s="10">
        <v>131221</v>
      </c>
      <c r="G20" s="8">
        <v>246952.55813953432</v>
      </c>
      <c r="H20" s="8">
        <v>378173.55813953432</v>
      </c>
      <c r="I20" s="10">
        <f>idp_SP1[[#This Row],[sp1_idp_pin_ed]]+ndp_SP1[[#This Row],[sp1_ndp_pin_ed]]</f>
        <v>25643</v>
      </c>
      <c r="J20" s="8">
        <f>idp_SP1[[#This Row],[sp1_idp_pin_fl]]+ndp_SP1[[#This Row],[sp1_ndp_pin_fl]]</f>
        <v>118553</v>
      </c>
      <c r="K20" s="8">
        <f>idp_SP1[[#This Row],[sp1_idp_pin_he]]+ndp_SP1[[#This Row],[sp1_ndp_pin_he]]</f>
        <v>293378</v>
      </c>
      <c r="L20" s="8">
        <f>idp_SP1[[#This Row],[sp1_idp_pin_pr]]+ndp_SP1[[#This Row],[sp1_ndp_pin_pr]]</f>
        <v>342542</v>
      </c>
      <c r="M20" s="8">
        <f>idp_SP1[[#This Row],[sp1_idp_pin_sn]]+ndp_SP1[[#This Row],[sp1_ndp_pin_sn]]</f>
        <v>225732</v>
      </c>
      <c r="N20" s="8">
        <f>idp_SP1[[#This Row],[sp1_idp_pin_wa]]+ndp_SP1[[#This Row],[sp1_ndp_pin_wa]]</f>
        <v>223122</v>
      </c>
      <c r="O20" s="8">
        <f>idp_SP1[[#This Row],[sp1_idp_pin_gp]]+ndp_SP1[[#This Row],[sp1_ndp_pin_gp]]</f>
        <v>342542</v>
      </c>
      <c r="P20" s="8">
        <f>idp_SP1[[#This Row],[sp1_idp_pin_cp]]+ndp_SP1[[#This Row],[sp1_ndp_pin_cp]]</f>
        <v>118951</v>
      </c>
      <c r="Q20" s="8">
        <f>idp_SP1[[#This Row],[sp1_idp_pin_gb]]+ndp_SP1[[#This Row],[sp1_ndp_pin_gb]]</f>
        <v>148244</v>
      </c>
      <c r="R20" s="8">
        <f>idp_SP1[[#This Row],[sp1_idp_pin_fs]]+ndp_SP1[[#This Row],[sp1_ndp_pin_fs]]</f>
        <v>118553</v>
      </c>
      <c r="S20" s="8">
        <f>idp_SP1[[#This Row],[sp1_idp_pin_li]]+ndp_SP1[[#This Row],[sp1_ndp_pin_li]]</f>
        <v>0</v>
      </c>
      <c r="T20" s="8">
        <f>idp_SP1[[#This Row],[sp1_idp_pin_adopted]]+ndp_SP1[[#This Row],[sp1_ndp_pin_adopted]]</f>
        <v>342542</v>
      </c>
      <c r="U20" s="137">
        <v>4</v>
      </c>
      <c r="V20" s="52">
        <v>4</v>
      </c>
      <c r="W20" s="52">
        <v>4</v>
      </c>
      <c r="X20" s="52">
        <f>MAX(idp_SP1[[#This Row],[sp1_idp_sev_pr]],ndp_SP1[[#This Row],[sp1_ndp_sev_pr]])</f>
        <v>4</v>
      </c>
      <c r="Y20" s="52">
        <v>4</v>
      </c>
      <c r="Z20" s="52">
        <v>4</v>
      </c>
      <c r="AA20" s="52">
        <v>4</v>
      </c>
      <c r="AB20" s="52">
        <v>4</v>
      </c>
      <c r="AC20" s="52">
        <v>4</v>
      </c>
      <c r="AD20" s="52">
        <v>4</v>
      </c>
      <c r="AE20" s="52">
        <v>4</v>
      </c>
      <c r="AF20" s="8">
        <v>4</v>
      </c>
      <c r="AG20" s="54">
        <f>idp_SP1[[#This Row],[sp1_idp_target_ed]]+ndp_SP1[[#This Row],[sp1_ndp_target_ed]]</f>
        <v>23078</v>
      </c>
      <c r="AH20" s="8">
        <f>idp_SP1[[#This Row],[sp1_idp_target_fl]]+ndp_SP1[[#This Row],[sp1_ndp_target_fl]]</f>
        <v>118553</v>
      </c>
      <c r="AI20" s="8">
        <f>idp_SP1[[#This Row],[sp1_idp_target_he]]+ndp_SP1[[#This Row],[sp1_ndp_target_he]]</f>
        <v>151280</v>
      </c>
      <c r="AJ20" s="8">
        <f>idp_SP1[[#This Row],[sp1_idp_target_pr]]+ndp_SP1[[#This Row],[sp1_ndp_target_pr]]</f>
        <v>162720</v>
      </c>
      <c r="AK20" s="8">
        <f>idp_SP1[[#This Row],[sp1_idp_target_sn]]+ndp_SP1[[#This Row],[sp1_ndp_target_sn]]</f>
        <v>110476</v>
      </c>
      <c r="AL20" s="8">
        <f>idp_SP1[[#This Row],[sp1_idp_target_wa]]+ndp_SP1[[#This Row],[sp1_ndp_target_wa]]</f>
        <v>223122</v>
      </c>
      <c r="AM20" s="8">
        <f>idp_SP1[[#This Row],[sp1_idp_target_gp]]+ndp_SP1[[#This Row],[sp1_ndp_target_gp]]</f>
        <v>162720</v>
      </c>
      <c r="AN20" s="8">
        <f>idp_SP1[[#This Row],[sp1_idp_target_cp]]+ndp_SP1[[#This Row],[sp1_ndp_target_cp]]</f>
        <v>87484</v>
      </c>
      <c r="AO20" s="8">
        <f>idp_SP1[[#This Row],[sp1_idp_target_gb]]+ndp_SP1[[#This Row],[sp1_ndp_target_gb]]</f>
        <v>74122</v>
      </c>
      <c r="AP20" s="8">
        <f>idp_SP1[[#This Row],[sp1_idp_target_fs]]+ndp_SP1[[#This Row],[sp1_ndp_target_fs]]</f>
        <v>118553</v>
      </c>
      <c r="AQ20" s="8">
        <f>idp_SP1[[#This Row],[sp1_idp_target_li]]+ndp_SP1[[#This Row],[sp1_ndp_target_li]]</f>
        <v>0</v>
      </c>
      <c r="AR20" s="8">
        <f>idp_SP1[[#This Row],[sp1_idp_target_cw]]+ndp_SP1[[#This Row],[sp1_ndp_target_cw]]</f>
        <v>10266</v>
      </c>
      <c r="AS20" s="202">
        <f>idp_SP1[[#This Row],[sp1_idp_target_joint]]+ndp_SP1[[#This Row],[sp1_ndp_target_joint]]</f>
        <v>227145</v>
      </c>
      <c r="AT20" s="54">
        <v>23078</v>
      </c>
      <c r="AU20" s="8">
        <v>118553</v>
      </c>
      <c r="AV20" s="8">
        <v>95410</v>
      </c>
      <c r="AW20" s="8">
        <v>162720</v>
      </c>
      <c r="AX20" s="8">
        <v>110476</v>
      </c>
      <c r="AY20" s="8">
        <v>223122</v>
      </c>
      <c r="AZ20" s="8">
        <v>162720</v>
      </c>
      <c r="BA20" s="8">
        <v>87484</v>
      </c>
      <c r="BB20" s="8">
        <v>74122</v>
      </c>
      <c r="BC20" s="8">
        <v>118553</v>
      </c>
      <c r="BD20" s="8">
        <v>0</v>
      </c>
      <c r="BE20" s="8">
        <v>10266</v>
      </c>
      <c r="BF20" s="202">
        <v>227145</v>
      </c>
    </row>
    <row r="21" spans="1:58" ht="14.25" x14ac:dyDescent="0.45">
      <c r="A21" t="s">
        <v>276</v>
      </c>
      <c r="B21" t="s">
        <v>277</v>
      </c>
      <c r="C21" t="s">
        <v>245</v>
      </c>
      <c r="D21" t="s">
        <v>199</v>
      </c>
      <c r="E21" t="s">
        <v>278</v>
      </c>
      <c r="F21" s="22">
        <v>0</v>
      </c>
      <c r="G21" s="23">
        <v>0</v>
      </c>
      <c r="H21" s="23"/>
      <c r="I21" s="55">
        <f>idp_SP1[[#This Row],[sp1_idp_pin_ed]]+ndp_SP1[[#This Row],[sp1_ndp_pin_ed]]</f>
        <v>0</v>
      </c>
      <c r="J21" s="51">
        <f>idp_SP1[[#This Row],[sp1_idp_pin_fl]]+ndp_SP1[[#This Row],[sp1_ndp_pin_fl]]</f>
        <v>0</v>
      </c>
      <c r="K21" s="51">
        <f>idp_SP1[[#This Row],[sp1_idp_pin_he]]+ndp_SP1[[#This Row],[sp1_ndp_pin_he]]</f>
        <v>0</v>
      </c>
      <c r="L21" s="51">
        <f>idp_SP1[[#This Row],[sp1_idp_pin_pr]]+ndp_SP1[[#This Row],[sp1_ndp_pin_pr]]</f>
        <v>0</v>
      </c>
      <c r="M21" s="51">
        <f>idp_SP1[[#This Row],[sp1_idp_pin_sn]]+ndp_SP1[[#This Row],[sp1_ndp_pin_sn]]</f>
        <v>0</v>
      </c>
      <c r="N21" s="51">
        <f>idp_SP1[[#This Row],[sp1_idp_pin_wa]]+ndp_SP1[[#This Row],[sp1_ndp_pin_wa]]</f>
        <v>0</v>
      </c>
      <c r="O21" s="51">
        <f>idp_SP1[[#This Row],[sp1_idp_pin_gp]]+ndp_SP1[[#This Row],[sp1_ndp_pin_gp]]</f>
        <v>0</v>
      </c>
      <c r="P21" s="51">
        <f>idp_SP1[[#This Row],[sp1_idp_pin_cp]]+ndp_SP1[[#This Row],[sp1_ndp_pin_cp]]</f>
        <v>0</v>
      </c>
      <c r="Q21" s="51">
        <f>idp_SP1[[#This Row],[sp1_idp_pin_gb]]+ndp_SP1[[#This Row],[sp1_ndp_pin_gb]]</f>
        <v>0</v>
      </c>
      <c r="R21" s="51">
        <f>idp_SP1[[#This Row],[sp1_idp_pin_fs]]+ndp_SP1[[#This Row],[sp1_ndp_pin_fs]]</f>
        <v>0</v>
      </c>
      <c r="S21" s="51">
        <f>idp_SP1[[#This Row],[sp1_idp_pin_li]]+ndp_SP1[[#This Row],[sp1_ndp_pin_li]]</f>
        <v>0</v>
      </c>
      <c r="T21" s="51">
        <f>idp_SP1[[#This Row],[sp1_idp_pin_adopted]]+ndp_SP1[[#This Row],[sp1_ndp_pin_adopted]]</f>
        <v>0</v>
      </c>
      <c r="U21" s="55"/>
      <c r="V21" s="51"/>
      <c r="W21" s="51"/>
      <c r="X21" s="51">
        <f>MAX(idp_SP1[[#This Row],[sp1_idp_sev_pr]],ndp_SP1[[#This Row],[sp1_ndp_sev_pr]])</f>
        <v>0</v>
      </c>
      <c r="Y21" s="51">
        <v>0</v>
      </c>
      <c r="Z21" s="51"/>
      <c r="AA21" s="51"/>
      <c r="AB21" s="51"/>
      <c r="AC21" s="51"/>
      <c r="AD21" s="51"/>
      <c r="AE21" s="51"/>
      <c r="AF21" s="51"/>
      <c r="AG21" s="57">
        <f>idp_SP1[[#This Row],[sp1_idp_target_ed]]+ndp_SP1[[#This Row],[sp1_ndp_target_ed]]</f>
        <v>0</v>
      </c>
      <c r="AH21" s="51">
        <f>idp_SP1[[#This Row],[sp1_idp_target_fl]]+ndp_SP1[[#This Row],[sp1_ndp_target_fl]]</f>
        <v>0</v>
      </c>
      <c r="AI21" s="51">
        <f>idp_SP1[[#This Row],[sp1_idp_target_he]]+ndp_SP1[[#This Row],[sp1_ndp_target_he]]</f>
        <v>0</v>
      </c>
      <c r="AJ21" s="51">
        <f>idp_SP1[[#This Row],[sp1_idp_target_pr]]+ndp_SP1[[#This Row],[sp1_ndp_target_pr]]</f>
        <v>0</v>
      </c>
      <c r="AK21" s="51">
        <f>idp_SP1[[#This Row],[sp1_idp_target_sn]]+ndp_SP1[[#This Row],[sp1_ndp_target_sn]]</f>
        <v>0</v>
      </c>
      <c r="AL21" s="51">
        <f>idp_SP1[[#This Row],[sp1_idp_target_wa]]+ndp_SP1[[#This Row],[sp1_ndp_target_wa]]</f>
        <v>0</v>
      </c>
      <c r="AM21" s="51">
        <f>idp_SP1[[#This Row],[sp1_idp_target_gp]]+ndp_SP1[[#This Row],[sp1_ndp_target_gp]]</f>
        <v>0</v>
      </c>
      <c r="AN21" s="51">
        <f>idp_SP1[[#This Row],[sp1_idp_target_cp]]+ndp_SP1[[#This Row],[sp1_ndp_target_cp]]</f>
        <v>0</v>
      </c>
      <c r="AO21" s="51">
        <f>idp_SP1[[#This Row],[sp1_idp_target_gb]]+ndp_SP1[[#This Row],[sp1_ndp_target_gb]]</f>
        <v>0</v>
      </c>
      <c r="AP21" s="51">
        <f>idp_SP1[[#This Row],[sp1_idp_target_fs]]+ndp_SP1[[#This Row],[sp1_ndp_target_fs]]</f>
        <v>0</v>
      </c>
      <c r="AQ21" s="51">
        <f>idp_SP1[[#This Row],[sp1_idp_target_li]]+ndp_SP1[[#This Row],[sp1_ndp_target_li]]</f>
        <v>0</v>
      </c>
      <c r="AR21" s="51">
        <f>idp_SP1[[#This Row],[sp1_idp_target_cw]]+ndp_SP1[[#This Row],[sp1_ndp_target_cw]]</f>
        <v>0</v>
      </c>
      <c r="AS21" s="201">
        <f>idp_SP1[[#This Row],[sp1_idp_target_joint]]+ndp_SP1[[#This Row],[sp1_ndp_target_joint]]</f>
        <v>0</v>
      </c>
      <c r="AT21" s="57">
        <v>0</v>
      </c>
      <c r="AU21" s="51">
        <v>0</v>
      </c>
      <c r="AV21" s="51">
        <v>0</v>
      </c>
      <c r="AW21" s="51">
        <v>0</v>
      </c>
      <c r="AX21" s="51">
        <v>0</v>
      </c>
      <c r="AY21" s="51">
        <v>0</v>
      </c>
      <c r="AZ21" s="51">
        <v>0</v>
      </c>
      <c r="BA21" s="51">
        <v>0</v>
      </c>
      <c r="BB21" s="51">
        <v>0</v>
      </c>
      <c r="BC21" s="51">
        <v>0</v>
      </c>
      <c r="BD21" s="51">
        <v>0</v>
      </c>
      <c r="BE21" s="51">
        <v>0</v>
      </c>
      <c r="BF21" s="201">
        <v>0</v>
      </c>
    </row>
    <row r="22" spans="1:58" ht="14.25" x14ac:dyDescent="0.45">
      <c r="A22" t="s">
        <v>279</v>
      </c>
      <c r="B22" t="s">
        <v>280</v>
      </c>
      <c r="C22" t="s">
        <v>245</v>
      </c>
      <c r="D22" t="s">
        <v>199</v>
      </c>
      <c r="E22" t="s">
        <v>281</v>
      </c>
      <c r="F22" s="22">
        <v>0</v>
      </c>
      <c r="G22" s="23">
        <v>0</v>
      </c>
      <c r="H22" s="23"/>
      <c r="I22" s="55">
        <f>idp_SP1[[#This Row],[sp1_idp_pin_ed]]+ndp_SP1[[#This Row],[sp1_ndp_pin_ed]]</f>
        <v>0</v>
      </c>
      <c r="J22" s="51">
        <f>idp_SP1[[#This Row],[sp1_idp_pin_fl]]+ndp_SP1[[#This Row],[sp1_ndp_pin_fl]]</f>
        <v>0</v>
      </c>
      <c r="K22" s="51">
        <f>idp_SP1[[#This Row],[sp1_idp_pin_he]]+ndp_SP1[[#This Row],[sp1_ndp_pin_he]]</f>
        <v>0</v>
      </c>
      <c r="L22" s="51">
        <f>idp_SP1[[#This Row],[sp1_idp_pin_pr]]+ndp_SP1[[#This Row],[sp1_ndp_pin_pr]]</f>
        <v>0</v>
      </c>
      <c r="M22" s="51">
        <f>idp_SP1[[#This Row],[sp1_idp_pin_sn]]+ndp_SP1[[#This Row],[sp1_ndp_pin_sn]]</f>
        <v>0</v>
      </c>
      <c r="N22" s="51">
        <f>idp_SP1[[#This Row],[sp1_idp_pin_wa]]+ndp_SP1[[#This Row],[sp1_ndp_pin_wa]]</f>
        <v>0</v>
      </c>
      <c r="O22" s="51">
        <f>idp_SP1[[#This Row],[sp1_idp_pin_gp]]+ndp_SP1[[#This Row],[sp1_ndp_pin_gp]]</f>
        <v>0</v>
      </c>
      <c r="P22" s="51">
        <f>idp_SP1[[#This Row],[sp1_idp_pin_cp]]+ndp_SP1[[#This Row],[sp1_ndp_pin_cp]]</f>
        <v>0</v>
      </c>
      <c r="Q22" s="51">
        <f>idp_SP1[[#This Row],[sp1_idp_pin_gb]]+ndp_SP1[[#This Row],[sp1_ndp_pin_gb]]</f>
        <v>0</v>
      </c>
      <c r="R22" s="51">
        <f>idp_SP1[[#This Row],[sp1_idp_pin_fs]]+ndp_SP1[[#This Row],[sp1_ndp_pin_fs]]</f>
        <v>0</v>
      </c>
      <c r="S22" s="51">
        <f>idp_SP1[[#This Row],[sp1_idp_pin_li]]+ndp_SP1[[#This Row],[sp1_ndp_pin_li]]</f>
        <v>0</v>
      </c>
      <c r="T22" s="51">
        <f>idp_SP1[[#This Row],[sp1_idp_pin_adopted]]+ndp_SP1[[#This Row],[sp1_ndp_pin_adopted]]</f>
        <v>0</v>
      </c>
      <c r="U22" s="55"/>
      <c r="V22" s="51"/>
      <c r="W22" s="51"/>
      <c r="X22" s="51">
        <f>MAX(idp_SP1[[#This Row],[sp1_idp_sev_pr]],ndp_SP1[[#This Row],[sp1_ndp_sev_pr]])</f>
        <v>0</v>
      </c>
      <c r="Y22" s="51">
        <v>0</v>
      </c>
      <c r="Z22" s="51"/>
      <c r="AA22" s="51"/>
      <c r="AB22" s="51"/>
      <c r="AC22" s="51"/>
      <c r="AD22" s="51"/>
      <c r="AE22" s="51"/>
      <c r="AF22" s="51"/>
      <c r="AG22" s="57">
        <f>idp_SP1[[#This Row],[sp1_idp_target_ed]]+ndp_SP1[[#This Row],[sp1_ndp_target_ed]]</f>
        <v>0</v>
      </c>
      <c r="AH22" s="51">
        <f>idp_SP1[[#This Row],[sp1_idp_target_fl]]+ndp_SP1[[#This Row],[sp1_ndp_target_fl]]</f>
        <v>0</v>
      </c>
      <c r="AI22" s="51">
        <f>idp_SP1[[#This Row],[sp1_idp_target_he]]+ndp_SP1[[#This Row],[sp1_ndp_target_he]]</f>
        <v>0</v>
      </c>
      <c r="AJ22" s="51">
        <f>idp_SP1[[#This Row],[sp1_idp_target_pr]]+ndp_SP1[[#This Row],[sp1_ndp_target_pr]]</f>
        <v>0</v>
      </c>
      <c r="AK22" s="51">
        <f>idp_SP1[[#This Row],[sp1_idp_target_sn]]+ndp_SP1[[#This Row],[sp1_ndp_target_sn]]</f>
        <v>0</v>
      </c>
      <c r="AL22" s="51">
        <f>idp_SP1[[#This Row],[sp1_idp_target_wa]]+ndp_SP1[[#This Row],[sp1_ndp_target_wa]]</f>
        <v>0</v>
      </c>
      <c r="AM22" s="51">
        <f>idp_SP1[[#This Row],[sp1_idp_target_gp]]+ndp_SP1[[#This Row],[sp1_ndp_target_gp]]</f>
        <v>0</v>
      </c>
      <c r="AN22" s="51">
        <f>idp_SP1[[#This Row],[sp1_idp_target_cp]]+ndp_SP1[[#This Row],[sp1_ndp_target_cp]]</f>
        <v>0</v>
      </c>
      <c r="AO22" s="51">
        <f>idp_SP1[[#This Row],[sp1_idp_target_gb]]+ndp_SP1[[#This Row],[sp1_ndp_target_gb]]</f>
        <v>0</v>
      </c>
      <c r="AP22" s="51">
        <f>idp_SP1[[#This Row],[sp1_idp_target_fs]]+ndp_SP1[[#This Row],[sp1_ndp_target_fs]]</f>
        <v>0</v>
      </c>
      <c r="AQ22" s="51">
        <f>idp_SP1[[#This Row],[sp1_idp_target_li]]+ndp_SP1[[#This Row],[sp1_ndp_target_li]]</f>
        <v>0</v>
      </c>
      <c r="AR22" s="51">
        <f>idp_SP1[[#This Row],[sp1_idp_target_cw]]+ndp_SP1[[#This Row],[sp1_ndp_target_cw]]</f>
        <v>0</v>
      </c>
      <c r="AS22" s="201">
        <f>idp_SP1[[#This Row],[sp1_idp_target_joint]]+ndp_SP1[[#This Row],[sp1_ndp_target_joint]]</f>
        <v>0</v>
      </c>
      <c r="AT22" s="57">
        <v>0</v>
      </c>
      <c r="AU22" s="51">
        <v>0</v>
      </c>
      <c r="AV22" s="51">
        <v>0</v>
      </c>
      <c r="AW22" s="51">
        <v>0</v>
      </c>
      <c r="AX22" s="51">
        <v>0</v>
      </c>
      <c r="AY22" s="51">
        <v>0</v>
      </c>
      <c r="AZ22" s="51">
        <v>0</v>
      </c>
      <c r="BA22" s="51">
        <v>0</v>
      </c>
      <c r="BB22" s="51">
        <v>0</v>
      </c>
      <c r="BC22" s="51">
        <v>0</v>
      </c>
      <c r="BD22" s="51">
        <v>0</v>
      </c>
      <c r="BE22" s="51">
        <v>0</v>
      </c>
      <c r="BF22" s="201">
        <v>0</v>
      </c>
    </row>
    <row r="23" spans="1:58" ht="14.25" x14ac:dyDescent="0.45">
      <c r="A23" t="s">
        <v>282</v>
      </c>
      <c r="B23" t="s">
        <v>283</v>
      </c>
      <c r="C23" t="s">
        <v>245</v>
      </c>
      <c r="D23" t="s">
        <v>199</v>
      </c>
      <c r="E23" t="s">
        <v>284</v>
      </c>
      <c r="F23" s="22">
        <v>0</v>
      </c>
      <c r="G23" s="23">
        <v>0</v>
      </c>
      <c r="H23" s="23"/>
      <c r="I23" s="55">
        <f>idp_SP1[[#This Row],[sp1_idp_pin_ed]]+ndp_SP1[[#This Row],[sp1_ndp_pin_ed]]</f>
        <v>0</v>
      </c>
      <c r="J23" s="51">
        <f>idp_SP1[[#This Row],[sp1_idp_pin_fl]]+ndp_SP1[[#This Row],[sp1_ndp_pin_fl]]</f>
        <v>0</v>
      </c>
      <c r="K23" s="51">
        <f>idp_SP1[[#This Row],[sp1_idp_pin_he]]+ndp_SP1[[#This Row],[sp1_ndp_pin_he]]</f>
        <v>0</v>
      </c>
      <c r="L23" s="51">
        <f>idp_SP1[[#This Row],[sp1_idp_pin_pr]]+ndp_SP1[[#This Row],[sp1_ndp_pin_pr]]</f>
        <v>0</v>
      </c>
      <c r="M23" s="51">
        <f>idp_SP1[[#This Row],[sp1_idp_pin_sn]]+ndp_SP1[[#This Row],[sp1_ndp_pin_sn]]</f>
        <v>0</v>
      </c>
      <c r="N23" s="51">
        <f>idp_SP1[[#This Row],[sp1_idp_pin_wa]]+ndp_SP1[[#This Row],[sp1_ndp_pin_wa]]</f>
        <v>0</v>
      </c>
      <c r="O23" s="51">
        <f>idp_SP1[[#This Row],[sp1_idp_pin_gp]]+ndp_SP1[[#This Row],[sp1_ndp_pin_gp]]</f>
        <v>0</v>
      </c>
      <c r="P23" s="51">
        <f>idp_SP1[[#This Row],[sp1_idp_pin_cp]]+ndp_SP1[[#This Row],[sp1_ndp_pin_cp]]</f>
        <v>0</v>
      </c>
      <c r="Q23" s="51">
        <f>idp_SP1[[#This Row],[sp1_idp_pin_gb]]+ndp_SP1[[#This Row],[sp1_ndp_pin_gb]]</f>
        <v>0</v>
      </c>
      <c r="R23" s="51">
        <f>idp_SP1[[#This Row],[sp1_idp_pin_fs]]+ndp_SP1[[#This Row],[sp1_ndp_pin_fs]]</f>
        <v>0</v>
      </c>
      <c r="S23" s="51">
        <f>idp_SP1[[#This Row],[sp1_idp_pin_li]]+ndp_SP1[[#This Row],[sp1_ndp_pin_li]]</f>
        <v>0</v>
      </c>
      <c r="T23" s="51">
        <f>idp_SP1[[#This Row],[sp1_idp_pin_adopted]]+ndp_SP1[[#This Row],[sp1_ndp_pin_adopted]]</f>
        <v>0</v>
      </c>
      <c r="U23" s="55"/>
      <c r="V23" s="51"/>
      <c r="W23" s="51"/>
      <c r="X23" s="51">
        <f>MAX(idp_SP1[[#This Row],[sp1_idp_sev_pr]],ndp_SP1[[#This Row],[sp1_ndp_sev_pr]])</f>
        <v>0</v>
      </c>
      <c r="Y23" s="51">
        <v>0</v>
      </c>
      <c r="Z23" s="51"/>
      <c r="AA23" s="51"/>
      <c r="AB23" s="51"/>
      <c r="AC23" s="51"/>
      <c r="AD23" s="51"/>
      <c r="AE23" s="51"/>
      <c r="AF23" s="51"/>
      <c r="AG23" s="57">
        <f>idp_SP1[[#This Row],[sp1_idp_target_ed]]+ndp_SP1[[#This Row],[sp1_ndp_target_ed]]</f>
        <v>0</v>
      </c>
      <c r="AH23" s="51">
        <f>idp_SP1[[#This Row],[sp1_idp_target_fl]]+ndp_SP1[[#This Row],[sp1_ndp_target_fl]]</f>
        <v>0</v>
      </c>
      <c r="AI23" s="51">
        <f>idp_SP1[[#This Row],[sp1_idp_target_he]]+ndp_SP1[[#This Row],[sp1_ndp_target_he]]</f>
        <v>0</v>
      </c>
      <c r="AJ23" s="51">
        <f>idp_SP1[[#This Row],[sp1_idp_target_pr]]+ndp_SP1[[#This Row],[sp1_ndp_target_pr]]</f>
        <v>0</v>
      </c>
      <c r="AK23" s="51">
        <f>idp_SP1[[#This Row],[sp1_idp_target_sn]]+ndp_SP1[[#This Row],[sp1_ndp_target_sn]]</f>
        <v>0</v>
      </c>
      <c r="AL23" s="51">
        <f>idp_SP1[[#This Row],[sp1_idp_target_wa]]+ndp_SP1[[#This Row],[sp1_ndp_target_wa]]</f>
        <v>0</v>
      </c>
      <c r="AM23" s="51">
        <f>idp_SP1[[#This Row],[sp1_idp_target_gp]]+ndp_SP1[[#This Row],[sp1_ndp_target_gp]]</f>
        <v>0</v>
      </c>
      <c r="AN23" s="51">
        <f>idp_SP1[[#This Row],[sp1_idp_target_cp]]+ndp_SP1[[#This Row],[sp1_ndp_target_cp]]</f>
        <v>0</v>
      </c>
      <c r="AO23" s="51">
        <f>idp_SP1[[#This Row],[sp1_idp_target_gb]]+ndp_SP1[[#This Row],[sp1_ndp_target_gb]]</f>
        <v>0</v>
      </c>
      <c r="AP23" s="51">
        <f>idp_SP1[[#This Row],[sp1_idp_target_fs]]+ndp_SP1[[#This Row],[sp1_ndp_target_fs]]</f>
        <v>0</v>
      </c>
      <c r="AQ23" s="51">
        <f>idp_SP1[[#This Row],[sp1_idp_target_li]]+ndp_SP1[[#This Row],[sp1_ndp_target_li]]</f>
        <v>0</v>
      </c>
      <c r="AR23" s="51">
        <f>idp_SP1[[#This Row],[sp1_idp_target_cw]]+ndp_SP1[[#This Row],[sp1_ndp_target_cw]]</f>
        <v>0</v>
      </c>
      <c r="AS23" s="201">
        <f>idp_SP1[[#This Row],[sp1_idp_target_joint]]+ndp_SP1[[#This Row],[sp1_ndp_target_joint]]</f>
        <v>0</v>
      </c>
      <c r="AT23" s="57">
        <v>0</v>
      </c>
      <c r="AU23" s="51">
        <v>0</v>
      </c>
      <c r="AV23" s="51">
        <v>0</v>
      </c>
      <c r="AW23" s="51">
        <v>0</v>
      </c>
      <c r="AX23" s="51">
        <v>0</v>
      </c>
      <c r="AY23" s="51">
        <v>0</v>
      </c>
      <c r="AZ23" s="51">
        <v>0</v>
      </c>
      <c r="BA23" s="51">
        <v>0</v>
      </c>
      <c r="BB23" s="51">
        <v>0</v>
      </c>
      <c r="BC23" s="51">
        <v>0</v>
      </c>
      <c r="BD23" s="51">
        <v>0</v>
      </c>
      <c r="BE23" s="51">
        <v>0</v>
      </c>
      <c r="BF23" s="201">
        <v>0</v>
      </c>
    </row>
    <row r="24" spans="1:58" ht="14.25" x14ac:dyDescent="0.45">
      <c r="A24" t="s">
        <v>285</v>
      </c>
      <c r="B24" t="s">
        <v>286</v>
      </c>
      <c r="C24" t="s">
        <v>245</v>
      </c>
      <c r="D24" t="s">
        <v>199</v>
      </c>
      <c r="E24" t="s">
        <v>287</v>
      </c>
      <c r="F24" s="22">
        <v>0</v>
      </c>
      <c r="G24" s="23">
        <v>0</v>
      </c>
      <c r="H24" s="23"/>
      <c r="I24" s="55">
        <f>idp_SP1[[#This Row],[sp1_idp_pin_ed]]+ndp_SP1[[#This Row],[sp1_ndp_pin_ed]]</f>
        <v>0</v>
      </c>
      <c r="J24" s="51">
        <f>idp_SP1[[#This Row],[sp1_idp_pin_fl]]+ndp_SP1[[#This Row],[sp1_ndp_pin_fl]]</f>
        <v>0</v>
      </c>
      <c r="K24" s="51">
        <f>idp_SP1[[#This Row],[sp1_idp_pin_he]]+ndp_SP1[[#This Row],[sp1_ndp_pin_he]]</f>
        <v>0</v>
      </c>
      <c r="L24" s="51">
        <f>idp_SP1[[#This Row],[sp1_idp_pin_pr]]+ndp_SP1[[#This Row],[sp1_ndp_pin_pr]]</f>
        <v>0</v>
      </c>
      <c r="M24" s="51">
        <f>idp_SP1[[#This Row],[sp1_idp_pin_sn]]+ndp_SP1[[#This Row],[sp1_ndp_pin_sn]]</f>
        <v>0</v>
      </c>
      <c r="N24" s="51">
        <f>idp_SP1[[#This Row],[sp1_idp_pin_wa]]+ndp_SP1[[#This Row],[sp1_ndp_pin_wa]]</f>
        <v>0</v>
      </c>
      <c r="O24" s="51">
        <f>idp_SP1[[#This Row],[sp1_idp_pin_gp]]+ndp_SP1[[#This Row],[sp1_ndp_pin_gp]]</f>
        <v>0</v>
      </c>
      <c r="P24" s="51">
        <f>idp_SP1[[#This Row],[sp1_idp_pin_cp]]+ndp_SP1[[#This Row],[sp1_ndp_pin_cp]]</f>
        <v>0</v>
      </c>
      <c r="Q24" s="51">
        <f>idp_SP1[[#This Row],[sp1_idp_pin_gb]]+ndp_SP1[[#This Row],[sp1_ndp_pin_gb]]</f>
        <v>0</v>
      </c>
      <c r="R24" s="51">
        <f>idp_SP1[[#This Row],[sp1_idp_pin_fs]]+ndp_SP1[[#This Row],[sp1_ndp_pin_fs]]</f>
        <v>0</v>
      </c>
      <c r="S24" s="51">
        <f>idp_SP1[[#This Row],[sp1_idp_pin_li]]+ndp_SP1[[#This Row],[sp1_ndp_pin_li]]</f>
        <v>0</v>
      </c>
      <c r="T24" s="51">
        <f>idp_SP1[[#This Row],[sp1_idp_pin_adopted]]+ndp_SP1[[#This Row],[sp1_ndp_pin_adopted]]</f>
        <v>0</v>
      </c>
      <c r="U24" s="55"/>
      <c r="V24" s="51"/>
      <c r="W24" s="51"/>
      <c r="X24" s="51">
        <f>MAX(idp_SP1[[#This Row],[sp1_idp_sev_pr]],ndp_SP1[[#This Row],[sp1_ndp_sev_pr]])</f>
        <v>0</v>
      </c>
      <c r="Y24" s="51">
        <v>0</v>
      </c>
      <c r="Z24" s="51"/>
      <c r="AA24" s="51"/>
      <c r="AB24" s="51"/>
      <c r="AC24" s="51"/>
      <c r="AD24" s="51"/>
      <c r="AE24" s="51"/>
      <c r="AF24" s="51"/>
      <c r="AG24" s="57">
        <f>idp_SP1[[#This Row],[sp1_idp_target_ed]]+ndp_SP1[[#This Row],[sp1_ndp_target_ed]]</f>
        <v>0</v>
      </c>
      <c r="AH24" s="51">
        <f>idp_SP1[[#This Row],[sp1_idp_target_fl]]+ndp_SP1[[#This Row],[sp1_ndp_target_fl]]</f>
        <v>0</v>
      </c>
      <c r="AI24" s="51">
        <f>idp_SP1[[#This Row],[sp1_idp_target_he]]+ndp_SP1[[#This Row],[sp1_ndp_target_he]]</f>
        <v>0</v>
      </c>
      <c r="AJ24" s="51">
        <f>idp_SP1[[#This Row],[sp1_idp_target_pr]]+ndp_SP1[[#This Row],[sp1_ndp_target_pr]]</f>
        <v>0</v>
      </c>
      <c r="AK24" s="51">
        <f>idp_SP1[[#This Row],[sp1_idp_target_sn]]+ndp_SP1[[#This Row],[sp1_ndp_target_sn]]</f>
        <v>0</v>
      </c>
      <c r="AL24" s="51">
        <f>idp_SP1[[#This Row],[sp1_idp_target_wa]]+ndp_SP1[[#This Row],[sp1_ndp_target_wa]]</f>
        <v>0</v>
      </c>
      <c r="AM24" s="51">
        <f>idp_SP1[[#This Row],[sp1_idp_target_gp]]+ndp_SP1[[#This Row],[sp1_ndp_target_gp]]</f>
        <v>0</v>
      </c>
      <c r="AN24" s="51">
        <f>idp_SP1[[#This Row],[sp1_idp_target_cp]]+ndp_SP1[[#This Row],[sp1_ndp_target_cp]]</f>
        <v>0</v>
      </c>
      <c r="AO24" s="51">
        <f>idp_SP1[[#This Row],[sp1_idp_target_gb]]+ndp_SP1[[#This Row],[sp1_ndp_target_gb]]</f>
        <v>0</v>
      </c>
      <c r="AP24" s="51">
        <f>idp_SP1[[#This Row],[sp1_idp_target_fs]]+ndp_SP1[[#This Row],[sp1_ndp_target_fs]]</f>
        <v>0</v>
      </c>
      <c r="AQ24" s="51">
        <f>idp_SP1[[#This Row],[sp1_idp_target_li]]+ndp_SP1[[#This Row],[sp1_ndp_target_li]]</f>
        <v>0</v>
      </c>
      <c r="AR24" s="51">
        <f>idp_SP1[[#This Row],[sp1_idp_target_cw]]+ndp_SP1[[#This Row],[sp1_ndp_target_cw]]</f>
        <v>0</v>
      </c>
      <c r="AS24" s="201">
        <f>idp_SP1[[#This Row],[sp1_idp_target_joint]]+ndp_SP1[[#This Row],[sp1_ndp_target_joint]]</f>
        <v>0</v>
      </c>
      <c r="AT24" s="57">
        <v>0</v>
      </c>
      <c r="AU24" s="51">
        <v>0</v>
      </c>
      <c r="AV24" s="51">
        <v>0</v>
      </c>
      <c r="AW24" s="51">
        <v>0</v>
      </c>
      <c r="AX24" s="51">
        <v>0</v>
      </c>
      <c r="AY24" s="51">
        <v>0</v>
      </c>
      <c r="AZ24" s="51">
        <v>0</v>
      </c>
      <c r="BA24" s="51">
        <v>0</v>
      </c>
      <c r="BB24" s="51">
        <v>0</v>
      </c>
      <c r="BC24" s="51">
        <v>0</v>
      </c>
      <c r="BD24" s="51">
        <v>0</v>
      </c>
      <c r="BE24" s="51">
        <v>0</v>
      </c>
      <c r="BF24" s="201">
        <v>0</v>
      </c>
    </row>
    <row r="25" spans="1:58" ht="14.25" x14ac:dyDescent="0.45">
      <c r="A25" t="s">
        <v>288</v>
      </c>
      <c r="B25" t="s">
        <v>289</v>
      </c>
      <c r="C25" t="s">
        <v>252</v>
      </c>
      <c r="D25" t="s">
        <v>193</v>
      </c>
      <c r="E25" t="s">
        <v>290</v>
      </c>
      <c r="F25" s="10">
        <v>5384</v>
      </c>
      <c r="G25" s="8">
        <v>20407</v>
      </c>
      <c r="H25" s="8">
        <v>25791</v>
      </c>
      <c r="I25" s="10">
        <f>idp_SP1[[#This Row],[sp1_idp_pin_ed]]+ndp_SP1[[#This Row],[sp1_ndp_pin_ed]]</f>
        <v>2140</v>
      </c>
      <c r="J25" s="8">
        <f>idp_SP1[[#This Row],[sp1_idp_pin_fl]]+ndp_SP1[[#This Row],[sp1_ndp_pin_fl]]</f>
        <v>8926</v>
      </c>
      <c r="K25" s="8">
        <f>idp_SP1[[#This Row],[sp1_idp_pin_he]]+ndp_SP1[[#This Row],[sp1_ndp_pin_he]]</f>
        <v>20008</v>
      </c>
      <c r="L25" s="8">
        <f>idp_SP1[[#This Row],[sp1_idp_pin_pr]]+ndp_SP1[[#This Row],[sp1_ndp_pin_pr]]</f>
        <v>20824</v>
      </c>
      <c r="M25" s="8">
        <f>idp_SP1[[#This Row],[sp1_idp_pin_sn]]+ndp_SP1[[#This Row],[sp1_ndp_pin_sn]]</f>
        <v>18756</v>
      </c>
      <c r="N25" s="8">
        <f>idp_SP1[[#This Row],[sp1_idp_pin_wa]]+ndp_SP1[[#This Row],[sp1_ndp_pin_wa]]</f>
        <v>15474</v>
      </c>
      <c r="O25" s="8">
        <f>idp_SP1[[#This Row],[sp1_idp_pin_gp]]+ndp_SP1[[#This Row],[sp1_ndp_pin_gp]]</f>
        <v>20824</v>
      </c>
      <c r="P25" s="8">
        <f>idp_SP1[[#This Row],[sp1_idp_pin_cp]]+ndp_SP1[[#This Row],[sp1_ndp_pin_cp]]</f>
        <v>7190</v>
      </c>
      <c r="Q25" s="8">
        <f>idp_SP1[[#This Row],[sp1_idp_pin_gb]]+ndp_SP1[[#This Row],[sp1_ndp_pin_gb]]</f>
        <v>10111</v>
      </c>
      <c r="R25" s="8">
        <f>idp_SP1[[#This Row],[sp1_idp_pin_fs]]+ndp_SP1[[#This Row],[sp1_ndp_pin_fs]]</f>
        <v>8926</v>
      </c>
      <c r="S25" s="8">
        <f>idp_SP1[[#This Row],[sp1_idp_pin_li]]+ndp_SP1[[#This Row],[sp1_ndp_pin_li]]</f>
        <v>0</v>
      </c>
      <c r="T25" s="8">
        <f>idp_SP1[[#This Row],[sp1_idp_pin_adopted]]+ndp_SP1[[#This Row],[sp1_ndp_pin_adopted]]</f>
        <v>20824</v>
      </c>
      <c r="U25" s="137">
        <v>4</v>
      </c>
      <c r="V25" s="52">
        <v>4</v>
      </c>
      <c r="W25" s="52">
        <v>4</v>
      </c>
      <c r="X25" s="52">
        <f>MAX(idp_SP1[[#This Row],[sp1_idp_sev_pr]],ndp_SP1[[#This Row],[sp1_ndp_sev_pr]])</f>
        <v>4</v>
      </c>
      <c r="Y25" s="52">
        <v>5</v>
      </c>
      <c r="Z25" s="52">
        <v>4</v>
      </c>
      <c r="AA25" s="52">
        <v>4</v>
      </c>
      <c r="AB25" s="52">
        <v>4</v>
      </c>
      <c r="AC25" s="52">
        <v>4</v>
      </c>
      <c r="AD25" s="52">
        <v>4</v>
      </c>
      <c r="AE25" s="52">
        <v>4</v>
      </c>
      <c r="AF25" s="8">
        <v>4</v>
      </c>
      <c r="AG25" s="54">
        <f>idp_SP1[[#This Row],[sp1_idp_target_ed]]+ndp_SP1[[#This Row],[sp1_ndp_target_ed]]</f>
        <v>1927</v>
      </c>
      <c r="AH25" s="8">
        <f>idp_SP1[[#This Row],[sp1_idp_target_fl]]+ndp_SP1[[#This Row],[sp1_ndp_target_fl]]</f>
        <v>8926</v>
      </c>
      <c r="AI25" s="8">
        <f>idp_SP1[[#This Row],[sp1_idp_target_he]]+ndp_SP1[[#This Row],[sp1_ndp_target_he]]</f>
        <v>11768</v>
      </c>
      <c r="AJ25" s="8">
        <f>idp_SP1[[#This Row],[sp1_idp_target_pr]]+ndp_SP1[[#This Row],[sp1_ndp_target_pr]]</f>
        <v>9158</v>
      </c>
      <c r="AK25" s="8">
        <f>idp_SP1[[#This Row],[sp1_idp_target_sn]]+ndp_SP1[[#This Row],[sp1_ndp_target_sn]]</f>
        <v>14042</v>
      </c>
      <c r="AL25" s="8">
        <f>idp_SP1[[#This Row],[sp1_idp_target_wa]]+ndp_SP1[[#This Row],[sp1_ndp_target_wa]]</f>
        <v>15474</v>
      </c>
      <c r="AM25" s="8">
        <f>idp_SP1[[#This Row],[sp1_idp_target_gp]]+ndp_SP1[[#This Row],[sp1_ndp_target_gp]]</f>
        <v>9158</v>
      </c>
      <c r="AN25" s="8">
        <f>idp_SP1[[#This Row],[sp1_idp_target_cp]]+ndp_SP1[[#This Row],[sp1_ndp_target_cp]]</f>
        <v>5760</v>
      </c>
      <c r="AO25" s="8">
        <f>idp_SP1[[#This Row],[sp1_idp_target_gb]]+ndp_SP1[[#This Row],[sp1_ndp_target_gb]]</f>
        <v>506</v>
      </c>
      <c r="AP25" s="8">
        <f>idp_SP1[[#This Row],[sp1_idp_target_fs]]+ndp_SP1[[#This Row],[sp1_ndp_target_fs]]</f>
        <v>8926</v>
      </c>
      <c r="AQ25" s="8">
        <f>idp_SP1[[#This Row],[sp1_idp_target_li]]+ndp_SP1[[#This Row],[sp1_ndp_target_li]]</f>
        <v>0</v>
      </c>
      <c r="AR25" s="8">
        <f>idp_SP1[[#This Row],[sp1_idp_target_cw]]+ndp_SP1[[#This Row],[sp1_ndp_target_cw]]</f>
        <v>11451</v>
      </c>
      <c r="AS25" s="202">
        <f>idp_SP1[[#This Row],[sp1_idp_target_joint]]+ndp_SP1[[#This Row],[sp1_ndp_target_joint]]</f>
        <v>15749</v>
      </c>
      <c r="AT25" s="54">
        <v>1927</v>
      </c>
      <c r="AU25" s="8">
        <v>8926</v>
      </c>
      <c r="AV25" s="8">
        <v>11768</v>
      </c>
      <c r="AW25" s="8">
        <v>9158</v>
      </c>
      <c r="AX25" s="8">
        <v>14042</v>
      </c>
      <c r="AY25" s="8">
        <v>15474</v>
      </c>
      <c r="AZ25" s="8">
        <v>9158</v>
      </c>
      <c r="BA25" s="8">
        <v>5760</v>
      </c>
      <c r="BB25" s="8">
        <v>506</v>
      </c>
      <c r="BC25" s="8">
        <v>8926</v>
      </c>
      <c r="BD25" s="8">
        <v>0</v>
      </c>
      <c r="BE25" s="8">
        <v>11451</v>
      </c>
      <c r="BF25" s="202">
        <v>15749</v>
      </c>
    </row>
    <row r="26" spans="1:58" ht="14.25" x14ac:dyDescent="0.45">
      <c r="A26" t="s">
        <v>288</v>
      </c>
      <c r="B26" t="s">
        <v>289</v>
      </c>
      <c r="C26" t="s">
        <v>291</v>
      </c>
      <c r="D26" t="s">
        <v>196</v>
      </c>
      <c r="E26" t="s">
        <v>292</v>
      </c>
      <c r="F26" s="10">
        <v>8270</v>
      </c>
      <c r="G26" s="8">
        <v>24448.662456261645</v>
      </c>
      <c r="H26" s="8">
        <v>32718.662456261645</v>
      </c>
      <c r="I26" s="10">
        <f>idp_SP1[[#This Row],[sp1_idp_pin_ed]]+ndp_SP1[[#This Row],[sp1_ndp_pin_ed]]</f>
        <v>2951</v>
      </c>
      <c r="J26" s="8">
        <f>idp_SP1[[#This Row],[sp1_idp_pin_fl]]+ndp_SP1[[#This Row],[sp1_ndp_pin_fl]]</f>
        <v>5756</v>
      </c>
      <c r="K26" s="8">
        <f>idp_SP1[[#This Row],[sp1_idp_pin_he]]+ndp_SP1[[#This Row],[sp1_ndp_pin_he]]</f>
        <v>25383</v>
      </c>
      <c r="L26" s="8">
        <f>idp_SP1[[#This Row],[sp1_idp_pin_pr]]+ndp_SP1[[#This Row],[sp1_ndp_pin_pr]]</f>
        <v>19399</v>
      </c>
      <c r="M26" s="8">
        <f>idp_SP1[[#This Row],[sp1_idp_pin_sn]]+ndp_SP1[[#This Row],[sp1_ndp_pin_sn]]</f>
        <v>17404</v>
      </c>
      <c r="N26" s="8">
        <f>idp_SP1[[#This Row],[sp1_idp_pin_wa]]+ndp_SP1[[#This Row],[sp1_ndp_pin_wa]]</f>
        <v>22428</v>
      </c>
      <c r="O26" s="8">
        <f>idp_SP1[[#This Row],[sp1_idp_pin_gp]]+ndp_SP1[[#This Row],[sp1_ndp_pin_gp]]</f>
        <v>19399</v>
      </c>
      <c r="P26" s="8">
        <f>idp_SP1[[#This Row],[sp1_idp_pin_cp]]+ndp_SP1[[#This Row],[sp1_ndp_pin_cp]]</f>
        <v>8282</v>
      </c>
      <c r="Q26" s="8">
        <f>idp_SP1[[#This Row],[sp1_idp_pin_gb]]+ndp_SP1[[#This Row],[sp1_ndp_pin_gb]]</f>
        <v>12826</v>
      </c>
      <c r="R26" s="8">
        <f>idp_SP1[[#This Row],[sp1_idp_pin_fs]]+ndp_SP1[[#This Row],[sp1_ndp_pin_fs]]</f>
        <v>5756</v>
      </c>
      <c r="S26" s="8">
        <f>idp_SP1[[#This Row],[sp1_idp_pin_li]]+ndp_SP1[[#This Row],[sp1_ndp_pin_li]]</f>
        <v>0</v>
      </c>
      <c r="T26" s="8">
        <f>idp_SP1[[#This Row],[sp1_idp_pin_adopted]]+ndp_SP1[[#This Row],[sp1_ndp_pin_adopted]]</f>
        <v>25383</v>
      </c>
      <c r="U26" s="137">
        <v>4</v>
      </c>
      <c r="V26" s="52">
        <v>4</v>
      </c>
      <c r="W26" s="52">
        <v>4</v>
      </c>
      <c r="X26" s="52">
        <f>MAX(idp_SP1[[#This Row],[sp1_idp_sev_pr]],ndp_SP1[[#This Row],[sp1_ndp_sev_pr]])</f>
        <v>4</v>
      </c>
      <c r="Y26" s="52">
        <v>3</v>
      </c>
      <c r="Z26" s="52">
        <v>3</v>
      </c>
      <c r="AA26" s="52">
        <v>4</v>
      </c>
      <c r="AB26" s="52">
        <v>4</v>
      </c>
      <c r="AC26" s="52">
        <v>4</v>
      </c>
      <c r="AD26" s="52">
        <v>4</v>
      </c>
      <c r="AE26" s="52">
        <v>4</v>
      </c>
      <c r="AF26" s="8">
        <v>4</v>
      </c>
      <c r="AG26" s="54">
        <f>idp_SP1[[#This Row],[sp1_idp_target_ed]]+ndp_SP1[[#This Row],[sp1_ndp_target_ed]]</f>
        <v>2656</v>
      </c>
      <c r="AH26" s="8">
        <f>idp_SP1[[#This Row],[sp1_idp_target_fl]]+ndp_SP1[[#This Row],[sp1_ndp_target_fl]]</f>
        <v>5756</v>
      </c>
      <c r="AI26" s="8">
        <f>idp_SP1[[#This Row],[sp1_idp_target_he]]+ndp_SP1[[#This Row],[sp1_ndp_target_he]]</f>
        <v>12047</v>
      </c>
      <c r="AJ26" s="8">
        <f>idp_SP1[[#This Row],[sp1_idp_target_pr]]+ndp_SP1[[#This Row],[sp1_ndp_target_pr]]</f>
        <v>9341</v>
      </c>
      <c r="AK26" s="8">
        <f>idp_SP1[[#This Row],[sp1_idp_target_sn]]+ndp_SP1[[#This Row],[sp1_ndp_target_sn]]</f>
        <v>5086</v>
      </c>
      <c r="AL26" s="8">
        <f>idp_SP1[[#This Row],[sp1_idp_target_wa]]+ndp_SP1[[#This Row],[sp1_ndp_target_wa]]</f>
        <v>11213</v>
      </c>
      <c r="AM26" s="8">
        <f>idp_SP1[[#This Row],[sp1_idp_target_gp]]+ndp_SP1[[#This Row],[sp1_ndp_target_gp]]</f>
        <v>9216</v>
      </c>
      <c r="AN26" s="8">
        <f>idp_SP1[[#This Row],[sp1_idp_target_cp]]+ndp_SP1[[#This Row],[sp1_ndp_target_cp]]</f>
        <v>6237</v>
      </c>
      <c r="AO26" s="8">
        <f>idp_SP1[[#This Row],[sp1_idp_target_gb]]+ndp_SP1[[#This Row],[sp1_ndp_target_gb]]</f>
        <v>6413</v>
      </c>
      <c r="AP26" s="8">
        <f>idp_SP1[[#This Row],[sp1_idp_target_fs]]+ndp_SP1[[#This Row],[sp1_ndp_target_fs]]</f>
        <v>5756</v>
      </c>
      <c r="AQ26" s="8">
        <f>idp_SP1[[#This Row],[sp1_idp_target_li]]+ndp_SP1[[#This Row],[sp1_ndp_target_li]]</f>
        <v>0</v>
      </c>
      <c r="AR26" s="8">
        <f>idp_SP1[[#This Row],[sp1_idp_target_cw]]+ndp_SP1[[#This Row],[sp1_ndp_target_cw]]</f>
        <v>1990</v>
      </c>
      <c r="AS26" s="202">
        <f>idp_SP1[[#This Row],[sp1_idp_target_joint]]+ndp_SP1[[#This Row],[sp1_ndp_target_joint]]</f>
        <v>13512</v>
      </c>
      <c r="AT26" s="54">
        <v>2656</v>
      </c>
      <c r="AU26" s="8">
        <v>2315</v>
      </c>
      <c r="AV26" s="8">
        <v>6516</v>
      </c>
      <c r="AW26" s="8">
        <v>9341</v>
      </c>
      <c r="AX26" s="8">
        <v>1017</v>
      </c>
      <c r="AY26" s="8">
        <v>2243</v>
      </c>
      <c r="AZ26" s="8">
        <v>9216</v>
      </c>
      <c r="BA26" s="8">
        <v>6237</v>
      </c>
      <c r="BB26" s="8">
        <v>6413</v>
      </c>
      <c r="BC26" s="8">
        <v>2315</v>
      </c>
      <c r="BD26" s="8">
        <v>0</v>
      </c>
      <c r="BE26" s="8">
        <v>823</v>
      </c>
      <c r="BF26" s="202">
        <v>9925</v>
      </c>
    </row>
    <row r="27" spans="1:58" ht="14.25" x14ac:dyDescent="0.45">
      <c r="A27" t="s">
        <v>288</v>
      </c>
      <c r="B27" t="s">
        <v>289</v>
      </c>
      <c r="C27" t="s">
        <v>256</v>
      </c>
      <c r="D27" t="s">
        <v>199</v>
      </c>
      <c r="E27" t="s">
        <v>293</v>
      </c>
      <c r="F27" s="22">
        <v>0</v>
      </c>
      <c r="G27" s="23">
        <v>0</v>
      </c>
      <c r="H27" s="23"/>
      <c r="I27" s="55">
        <f>idp_SP1[[#This Row],[sp1_idp_pin_ed]]+ndp_SP1[[#This Row],[sp1_ndp_pin_ed]]</f>
        <v>0</v>
      </c>
      <c r="J27" s="51">
        <f>idp_SP1[[#This Row],[sp1_idp_pin_fl]]+ndp_SP1[[#This Row],[sp1_ndp_pin_fl]]</f>
        <v>0</v>
      </c>
      <c r="K27" s="51">
        <f>idp_SP1[[#This Row],[sp1_idp_pin_he]]+ndp_SP1[[#This Row],[sp1_ndp_pin_he]]</f>
        <v>0</v>
      </c>
      <c r="L27" s="51">
        <f>idp_SP1[[#This Row],[sp1_idp_pin_pr]]+ndp_SP1[[#This Row],[sp1_ndp_pin_pr]]</f>
        <v>0</v>
      </c>
      <c r="M27" s="51">
        <f>idp_SP1[[#This Row],[sp1_idp_pin_sn]]+ndp_SP1[[#This Row],[sp1_ndp_pin_sn]]</f>
        <v>0</v>
      </c>
      <c r="N27" s="51">
        <f>idp_SP1[[#This Row],[sp1_idp_pin_wa]]+ndp_SP1[[#This Row],[sp1_ndp_pin_wa]]</f>
        <v>0</v>
      </c>
      <c r="O27" s="51">
        <f>idp_SP1[[#This Row],[sp1_idp_pin_gp]]+ndp_SP1[[#This Row],[sp1_ndp_pin_gp]]</f>
        <v>0</v>
      </c>
      <c r="P27" s="51">
        <f>idp_SP1[[#This Row],[sp1_idp_pin_cp]]+ndp_SP1[[#This Row],[sp1_ndp_pin_cp]]</f>
        <v>0</v>
      </c>
      <c r="Q27" s="51">
        <f>idp_SP1[[#This Row],[sp1_idp_pin_gb]]+ndp_SP1[[#This Row],[sp1_ndp_pin_gb]]</f>
        <v>0</v>
      </c>
      <c r="R27" s="51">
        <f>idp_SP1[[#This Row],[sp1_idp_pin_fs]]+ndp_SP1[[#This Row],[sp1_ndp_pin_fs]]</f>
        <v>0</v>
      </c>
      <c r="S27" s="51">
        <f>idp_SP1[[#This Row],[sp1_idp_pin_li]]+ndp_SP1[[#This Row],[sp1_ndp_pin_li]]</f>
        <v>0</v>
      </c>
      <c r="T27" s="51">
        <f>idp_SP1[[#This Row],[sp1_idp_pin_adopted]]+ndp_SP1[[#This Row],[sp1_ndp_pin_adopted]]</f>
        <v>0</v>
      </c>
      <c r="U27" s="55"/>
      <c r="V27" s="51"/>
      <c r="W27" s="51"/>
      <c r="X27" s="51">
        <f>MAX(idp_SP1[[#This Row],[sp1_idp_sev_pr]],ndp_SP1[[#This Row],[sp1_ndp_sev_pr]])</f>
        <v>0</v>
      </c>
      <c r="Y27" s="51">
        <v>0</v>
      </c>
      <c r="Z27" s="51"/>
      <c r="AA27" s="51"/>
      <c r="AB27" s="51"/>
      <c r="AC27" s="51"/>
      <c r="AD27" s="51"/>
      <c r="AE27" s="51"/>
      <c r="AF27" s="51"/>
      <c r="AG27" s="57">
        <f>idp_SP1[[#This Row],[sp1_idp_target_ed]]+ndp_SP1[[#This Row],[sp1_ndp_target_ed]]</f>
        <v>0</v>
      </c>
      <c r="AH27" s="51">
        <f>idp_SP1[[#This Row],[sp1_idp_target_fl]]+ndp_SP1[[#This Row],[sp1_ndp_target_fl]]</f>
        <v>0</v>
      </c>
      <c r="AI27" s="51">
        <f>idp_SP1[[#This Row],[sp1_idp_target_he]]+ndp_SP1[[#This Row],[sp1_ndp_target_he]]</f>
        <v>0</v>
      </c>
      <c r="AJ27" s="51">
        <f>idp_SP1[[#This Row],[sp1_idp_target_pr]]+ndp_SP1[[#This Row],[sp1_ndp_target_pr]]</f>
        <v>0</v>
      </c>
      <c r="AK27" s="51">
        <f>idp_SP1[[#This Row],[sp1_idp_target_sn]]+ndp_SP1[[#This Row],[sp1_ndp_target_sn]]</f>
        <v>0</v>
      </c>
      <c r="AL27" s="51">
        <f>idp_SP1[[#This Row],[sp1_idp_target_wa]]+ndp_SP1[[#This Row],[sp1_ndp_target_wa]]</f>
        <v>0</v>
      </c>
      <c r="AM27" s="51">
        <f>idp_SP1[[#This Row],[sp1_idp_target_gp]]+ndp_SP1[[#This Row],[sp1_ndp_target_gp]]</f>
        <v>0</v>
      </c>
      <c r="AN27" s="51">
        <f>idp_SP1[[#This Row],[sp1_idp_target_cp]]+ndp_SP1[[#This Row],[sp1_ndp_target_cp]]</f>
        <v>0</v>
      </c>
      <c r="AO27" s="51">
        <f>idp_SP1[[#This Row],[sp1_idp_target_gb]]+ndp_SP1[[#This Row],[sp1_ndp_target_gb]]</f>
        <v>0</v>
      </c>
      <c r="AP27" s="51">
        <f>idp_SP1[[#This Row],[sp1_idp_target_fs]]+ndp_SP1[[#This Row],[sp1_ndp_target_fs]]</f>
        <v>0</v>
      </c>
      <c r="AQ27" s="51">
        <f>idp_SP1[[#This Row],[sp1_idp_target_li]]+ndp_SP1[[#This Row],[sp1_ndp_target_li]]</f>
        <v>0</v>
      </c>
      <c r="AR27" s="51">
        <f>idp_SP1[[#This Row],[sp1_idp_target_cw]]+ndp_SP1[[#This Row],[sp1_ndp_target_cw]]</f>
        <v>0</v>
      </c>
      <c r="AS27" s="201">
        <f>idp_SP1[[#This Row],[sp1_idp_target_joint]]+ndp_SP1[[#This Row],[sp1_ndp_target_joint]]</f>
        <v>0</v>
      </c>
      <c r="AT27" s="57">
        <v>0</v>
      </c>
      <c r="AU27" s="51">
        <v>0</v>
      </c>
      <c r="AV27" s="51">
        <v>0</v>
      </c>
      <c r="AW27" s="51">
        <v>0</v>
      </c>
      <c r="AX27" s="51">
        <v>0</v>
      </c>
      <c r="AY27" s="51">
        <v>0</v>
      </c>
      <c r="AZ27" s="51">
        <v>0</v>
      </c>
      <c r="BA27" s="51">
        <v>0</v>
      </c>
      <c r="BB27" s="51">
        <v>0</v>
      </c>
      <c r="BC27" s="51">
        <v>0</v>
      </c>
      <c r="BD27" s="51">
        <v>0</v>
      </c>
      <c r="BE27" s="51">
        <v>0</v>
      </c>
      <c r="BF27" s="201">
        <v>0</v>
      </c>
    </row>
    <row r="28" spans="1:58" ht="14.25" x14ac:dyDescent="0.45">
      <c r="A28" t="s">
        <v>288</v>
      </c>
      <c r="B28" t="s">
        <v>289</v>
      </c>
      <c r="C28" t="s">
        <v>294</v>
      </c>
      <c r="D28" t="s">
        <v>196</v>
      </c>
      <c r="E28" t="s">
        <v>295</v>
      </c>
      <c r="F28" s="10">
        <v>39435</v>
      </c>
      <c r="G28" s="8">
        <v>139009.71428571464</v>
      </c>
      <c r="H28" s="8">
        <v>178444.71428571464</v>
      </c>
      <c r="I28" s="10">
        <f>idp_SP1[[#This Row],[sp1_idp_pin_ed]]+ndp_SP1[[#This Row],[sp1_ndp_pin_ed]]</f>
        <v>10883</v>
      </c>
      <c r="J28" s="8">
        <f>idp_SP1[[#This Row],[sp1_idp_pin_fl]]+ndp_SP1[[#This Row],[sp1_ndp_pin_fl]]</f>
        <v>28313</v>
      </c>
      <c r="K28" s="8">
        <f>idp_SP1[[#This Row],[sp1_idp_pin_he]]+ndp_SP1[[#This Row],[sp1_ndp_pin_he]]</f>
        <v>138433</v>
      </c>
      <c r="L28" s="8">
        <f>idp_SP1[[#This Row],[sp1_idp_pin_pr]]+ndp_SP1[[#This Row],[sp1_ndp_pin_pr]]</f>
        <v>119262</v>
      </c>
      <c r="M28" s="8">
        <f>idp_SP1[[#This Row],[sp1_idp_pin_sn]]+ndp_SP1[[#This Row],[sp1_ndp_pin_sn]]</f>
        <v>88373</v>
      </c>
      <c r="N28" s="8">
        <f>idp_SP1[[#This Row],[sp1_idp_pin_wa]]+ndp_SP1[[#This Row],[sp1_ndp_pin_wa]]</f>
        <v>163150</v>
      </c>
      <c r="O28" s="8">
        <f>idp_SP1[[#This Row],[sp1_idp_pin_gp]]+ndp_SP1[[#This Row],[sp1_ndp_pin_gp]]</f>
        <v>119262</v>
      </c>
      <c r="P28" s="8">
        <f>idp_SP1[[#This Row],[sp1_idp_pin_cp]]+ndp_SP1[[#This Row],[sp1_ndp_pin_cp]]</f>
        <v>50949</v>
      </c>
      <c r="Q28" s="8">
        <f>idp_SP1[[#This Row],[sp1_idp_pin_gb]]+ndp_SP1[[#This Row],[sp1_ndp_pin_gb]]</f>
        <v>69951</v>
      </c>
      <c r="R28" s="8">
        <f>idp_SP1[[#This Row],[sp1_idp_pin_fs]]+ndp_SP1[[#This Row],[sp1_ndp_pin_fs]]</f>
        <v>28313</v>
      </c>
      <c r="S28" s="8">
        <f>idp_SP1[[#This Row],[sp1_idp_pin_li]]+ndp_SP1[[#This Row],[sp1_ndp_pin_li]]</f>
        <v>0</v>
      </c>
      <c r="T28" s="8">
        <f>idp_SP1[[#This Row],[sp1_idp_pin_adopted]]+ndp_SP1[[#This Row],[sp1_ndp_pin_adopted]]</f>
        <v>163150</v>
      </c>
      <c r="U28" s="137">
        <v>4</v>
      </c>
      <c r="V28" s="52">
        <v>4</v>
      </c>
      <c r="W28" s="52">
        <v>4</v>
      </c>
      <c r="X28" s="52">
        <f>MAX(idp_SP1[[#This Row],[sp1_idp_sev_pr]],ndp_SP1[[#This Row],[sp1_ndp_sev_pr]])</f>
        <v>4</v>
      </c>
      <c r="Y28" s="52">
        <v>4</v>
      </c>
      <c r="Z28" s="52">
        <v>4</v>
      </c>
      <c r="AA28" s="52">
        <v>4</v>
      </c>
      <c r="AB28" s="52">
        <v>4</v>
      </c>
      <c r="AC28" s="52">
        <v>4</v>
      </c>
      <c r="AD28" s="52">
        <v>4</v>
      </c>
      <c r="AE28" s="52">
        <v>4</v>
      </c>
      <c r="AF28" s="8">
        <v>4</v>
      </c>
      <c r="AG28" s="54">
        <f>idp_SP1[[#This Row],[sp1_idp_target_ed]]+ndp_SP1[[#This Row],[sp1_ndp_target_ed]]</f>
        <v>9795</v>
      </c>
      <c r="AH28" s="8">
        <f>idp_SP1[[#This Row],[sp1_idp_target_fl]]+ndp_SP1[[#This Row],[sp1_ndp_target_fl]]</f>
        <v>28313</v>
      </c>
      <c r="AI28" s="8">
        <f>idp_SP1[[#This Row],[sp1_idp_target_he]]+ndp_SP1[[#This Row],[sp1_ndp_target_he]]</f>
        <v>94991</v>
      </c>
      <c r="AJ28" s="8">
        <f>idp_SP1[[#This Row],[sp1_idp_target_pr]]+ndp_SP1[[#This Row],[sp1_ndp_target_pr]]</f>
        <v>55579</v>
      </c>
      <c r="AK28" s="8">
        <f>idp_SP1[[#This Row],[sp1_idp_target_sn]]+ndp_SP1[[#This Row],[sp1_ndp_target_sn]]</f>
        <v>28903</v>
      </c>
      <c r="AL28" s="8">
        <f>idp_SP1[[#This Row],[sp1_idp_target_wa]]+ndp_SP1[[#This Row],[sp1_ndp_target_wa]]</f>
        <v>163150</v>
      </c>
      <c r="AM28" s="8">
        <f>idp_SP1[[#This Row],[sp1_idp_target_gp]]+ndp_SP1[[#This Row],[sp1_ndp_target_gp]]</f>
        <v>55579</v>
      </c>
      <c r="AN28" s="8">
        <f>idp_SP1[[#This Row],[sp1_idp_target_cp]]+ndp_SP1[[#This Row],[sp1_ndp_target_cp]]</f>
        <v>25034</v>
      </c>
      <c r="AO28" s="8">
        <f>idp_SP1[[#This Row],[sp1_idp_target_gb]]+ndp_SP1[[#This Row],[sp1_ndp_target_gb]]</f>
        <v>34975</v>
      </c>
      <c r="AP28" s="8">
        <f>idp_SP1[[#This Row],[sp1_idp_target_fs]]+ndp_SP1[[#This Row],[sp1_ndp_target_fs]]</f>
        <v>28313</v>
      </c>
      <c r="AQ28" s="8">
        <f>idp_SP1[[#This Row],[sp1_idp_target_li]]+ndp_SP1[[#This Row],[sp1_ndp_target_li]]</f>
        <v>0</v>
      </c>
      <c r="AR28" s="8">
        <f>idp_SP1[[#This Row],[sp1_idp_target_cw]]+ndp_SP1[[#This Row],[sp1_ndp_target_cw]]</f>
        <v>10394</v>
      </c>
      <c r="AS28" s="202">
        <f>idp_SP1[[#This Row],[sp1_idp_target_joint]]+ndp_SP1[[#This Row],[sp1_ndp_target_joint]]</f>
        <v>163150</v>
      </c>
      <c r="AT28" s="54">
        <v>9795</v>
      </c>
      <c r="AU28" s="8">
        <v>28313</v>
      </c>
      <c r="AV28" s="8">
        <v>94991</v>
      </c>
      <c r="AW28" s="8">
        <v>55579</v>
      </c>
      <c r="AX28" s="8">
        <v>28903</v>
      </c>
      <c r="AY28" s="8">
        <v>163150</v>
      </c>
      <c r="AZ28" s="8">
        <v>55579</v>
      </c>
      <c r="BA28" s="8">
        <v>13052</v>
      </c>
      <c r="BB28" s="8">
        <v>34975</v>
      </c>
      <c r="BC28" s="8">
        <v>28313</v>
      </c>
      <c r="BD28" s="8">
        <v>0</v>
      </c>
      <c r="BE28" s="8">
        <v>10394</v>
      </c>
      <c r="BF28" s="202">
        <v>163150</v>
      </c>
    </row>
    <row r="29" spans="1:58" ht="14.25" x14ac:dyDescent="0.45">
      <c r="A29" t="s">
        <v>296</v>
      </c>
      <c r="B29" t="s">
        <v>297</v>
      </c>
      <c r="C29" t="s">
        <v>245</v>
      </c>
      <c r="D29" t="s">
        <v>199</v>
      </c>
      <c r="E29" t="s">
        <v>298</v>
      </c>
      <c r="F29" s="22">
        <v>0</v>
      </c>
      <c r="G29" s="23">
        <v>0</v>
      </c>
      <c r="H29" s="23"/>
      <c r="I29" s="55">
        <f>idp_SP1[[#This Row],[sp1_idp_pin_ed]]+ndp_SP1[[#This Row],[sp1_ndp_pin_ed]]</f>
        <v>0</v>
      </c>
      <c r="J29" s="51">
        <f>idp_SP1[[#This Row],[sp1_idp_pin_fl]]+ndp_SP1[[#This Row],[sp1_ndp_pin_fl]]</f>
        <v>0</v>
      </c>
      <c r="K29" s="51">
        <f>idp_SP1[[#This Row],[sp1_idp_pin_he]]+ndp_SP1[[#This Row],[sp1_ndp_pin_he]]</f>
        <v>0</v>
      </c>
      <c r="L29" s="51">
        <f>idp_SP1[[#This Row],[sp1_idp_pin_pr]]+ndp_SP1[[#This Row],[sp1_ndp_pin_pr]]</f>
        <v>0</v>
      </c>
      <c r="M29" s="51">
        <f>idp_SP1[[#This Row],[sp1_idp_pin_sn]]+ndp_SP1[[#This Row],[sp1_ndp_pin_sn]]</f>
        <v>0</v>
      </c>
      <c r="N29" s="51">
        <f>idp_SP1[[#This Row],[sp1_idp_pin_wa]]+ndp_SP1[[#This Row],[sp1_ndp_pin_wa]]</f>
        <v>0</v>
      </c>
      <c r="O29" s="51">
        <f>idp_SP1[[#This Row],[sp1_idp_pin_gp]]+ndp_SP1[[#This Row],[sp1_ndp_pin_gp]]</f>
        <v>0</v>
      </c>
      <c r="P29" s="51">
        <f>idp_SP1[[#This Row],[sp1_idp_pin_cp]]+ndp_SP1[[#This Row],[sp1_ndp_pin_cp]]</f>
        <v>0</v>
      </c>
      <c r="Q29" s="51">
        <f>idp_SP1[[#This Row],[sp1_idp_pin_gb]]+ndp_SP1[[#This Row],[sp1_ndp_pin_gb]]</f>
        <v>0</v>
      </c>
      <c r="R29" s="51">
        <f>idp_SP1[[#This Row],[sp1_idp_pin_fs]]+ndp_SP1[[#This Row],[sp1_ndp_pin_fs]]</f>
        <v>0</v>
      </c>
      <c r="S29" s="51">
        <f>idp_SP1[[#This Row],[sp1_idp_pin_li]]+ndp_SP1[[#This Row],[sp1_ndp_pin_li]]</f>
        <v>0</v>
      </c>
      <c r="T29" s="51">
        <f>idp_SP1[[#This Row],[sp1_idp_pin_adopted]]+ndp_SP1[[#This Row],[sp1_ndp_pin_adopted]]</f>
        <v>0</v>
      </c>
      <c r="U29" s="55"/>
      <c r="V29" s="51"/>
      <c r="W29" s="51"/>
      <c r="X29" s="51">
        <f>MAX(idp_SP1[[#This Row],[sp1_idp_sev_pr]],ndp_SP1[[#This Row],[sp1_ndp_sev_pr]])</f>
        <v>0</v>
      </c>
      <c r="Y29" s="51">
        <v>0</v>
      </c>
      <c r="Z29" s="51"/>
      <c r="AA29" s="51"/>
      <c r="AB29" s="51"/>
      <c r="AC29" s="51"/>
      <c r="AD29" s="51"/>
      <c r="AE29" s="51"/>
      <c r="AF29" s="51"/>
      <c r="AG29" s="57">
        <f>idp_SP1[[#This Row],[sp1_idp_target_ed]]+ndp_SP1[[#This Row],[sp1_ndp_target_ed]]</f>
        <v>0</v>
      </c>
      <c r="AH29" s="51">
        <f>idp_SP1[[#This Row],[sp1_idp_target_fl]]+ndp_SP1[[#This Row],[sp1_ndp_target_fl]]</f>
        <v>0</v>
      </c>
      <c r="AI29" s="51">
        <f>idp_SP1[[#This Row],[sp1_idp_target_he]]+ndp_SP1[[#This Row],[sp1_ndp_target_he]]</f>
        <v>0</v>
      </c>
      <c r="AJ29" s="51">
        <f>idp_SP1[[#This Row],[sp1_idp_target_pr]]+ndp_SP1[[#This Row],[sp1_ndp_target_pr]]</f>
        <v>0</v>
      </c>
      <c r="AK29" s="51">
        <f>idp_SP1[[#This Row],[sp1_idp_target_sn]]+ndp_SP1[[#This Row],[sp1_ndp_target_sn]]</f>
        <v>0</v>
      </c>
      <c r="AL29" s="51">
        <f>idp_SP1[[#This Row],[sp1_idp_target_wa]]+ndp_SP1[[#This Row],[sp1_ndp_target_wa]]</f>
        <v>0</v>
      </c>
      <c r="AM29" s="51">
        <f>idp_SP1[[#This Row],[sp1_idp_target_gp]]+ndp_SP1[[#This Row],[sp1_ndp_target_gp]]</f>
        <v>0</v>
      </c>
      <c r="AN29" s="51">
        <f>idp_SP1[[#This Row],[sp1_idp_target_cp]]+ndp_SP1[[#This Row],[sp1_ndp_target_cp]]</f>
        <v>0</v>
      </c>
      <c r="AO29" s="51">
        <f>idp_SP1[[#This Row],[sp1_idp_target_gb]]+ndp_SP1[[#This Row],[sp1_ndp_target_gb]]</f>
        <v>0</v>
      </c>
      <c r="AP29" s="51">
        <f>idp_SP1[[#This Row],[sp1_idp_target_fs]]+ndp_SP1[[#This Row],[sp1_ndp_target_fs]]</f>
        <v>0</v>
      </c>
      <c r="AQ29" s="51">
        <f>idp_SP1[[#This Row],[sp1_idp_target_li]]+ndp_SP1[[#This Row],[sp1_ndp_target_li]]</f>
        <v>0</v>
      </c>
      <c r="AR29" s="51">
        <f>idp_SP1[[#This Row],[sp1_idp_target_cw]]+ndp_SP1[[#This Row],[sp1_ndp_target_cw]]</f>
        <v>0</v>
      </c>
      <c r="AS29" s="201">
        <f>idp_SP1[[#This Row],[sp1_idp_target_joint]]+ndp_SP1[[#This Row],[sp1_ndp_target_joint]]</f>
        <v>0</v>
      </c>
      <c r="AT29" s="57">
        <v>0</v>
      </c>
      <c r="AU29" s="51">
        <v>0</v>
      </c>
      <c r="AV29" s="51">
        <v>0</v>
      </c>
      <c r="AW29" s="51">
        <v>0</v>
      </c>
      <c r="AX29" s="51">
        <v>0</v>
      </c>
      <c r="AY29" s="51">
        <v>0</v>
      </c>
      <c r="AZ29" s="51">
        <v>0</v>
      </c>
      <c r="BA29" s="51">
        <v>0</v>
      </c>
      <c r="BB29" s="51">
        <v>0</v>
      </c>
      <c r="BC29" s="51">
        <v>0</v>
      </c>
      <c r="BD29" s="51">
        <v>0</v>
      </c>
      <c r="BE29" s="51">
        <v>0</v>
      </c>
      <c r="BF29" s="201">
        <v>0</v>
      </c>
    </row>
    <row r="30" spans="1:58" ht="14.25" x14ac:dyDescent="0.45">
      <c r="A30" t="s">
        <v>299</v>
      </c>
      <c r="B30" t="s">
        <v>300</v>
      </c>
      <c r="C30" t="s">
        <v>245</v>
      </c>
      <c r="D30" t="s">
        <v>199</v>
      </c>
      <c r="E30" t="s">
        <v>301</v>
      </c>
      <c r="F30" s="22">
        <v>0</v>
      </c>
      <c r="G30" s="23">
        <v>0</v>
      </c>
      <c r="H30" s="23"/>
      <c r="I30" s="55">
        <f>idp_SP1[[#This Row],[sp1_idp_pin_ed]]+ndp_SP1[[#This Row],[sp1_ndp_pin_ed]]</f>
        <v>0</v>
      </c>
      <c r="J30" s="51">
        <f>idp_SP1[[#This Row],[sp1_idp_pin_fl]]+ndp_SP1[[#This Row],[sp1_ndp_pin_fl]]</f>
        <v>0</v>
      </c>
      <c r="K30" s="51">
        <f>idp_SP1[[#This Row],[sp1_idp_pin_he]]+ndp_SP1[[#This Row],[sp1_ndp_pin_he]]</f>
        <v>0</v>
      </c>
      <c r="L30" s="51">
        <f>idp_SP1[[#This Row],[sp1_idp_pin_pr]]+ndp_SP1[[#This Row],[sp1_ndp_pin_pr]]</f>
        <v>0</v>
      </c>
      <c r="M30" s="51">
        <f>idp_SP1[[#This Row],[sp1_idp_pin_sn]]+ndp_SP1[[#This Row],[sp1_ndp_pin_sn]]</f>
        <v>0</v>
      </c>
      <c r="N30" s="51">
        <f>idp_SP1[[#This Row],[sp1_idp_pin_wa]]+ndp_SP1[[#This Row],[sp1_ndp_pin_wa]]</f>
        <v>0</v>
      </c>
      <c r="O30" s="51">
        <f>idp_SP1[[#This Row],[sp1_idp_pin_gp]]+ndp_SP1[[#This Row],[sp1_ndp_pin_gp]]</f>
        <v>0</v>
      </c>
      <c r="P30" s="51">
        <f>idp_SP1[[#This Row],[sp1_idp_pin_cp]]+ndp_SP1[[#This Row],[sp1_ndp_pin_cp]]</f>
        <v>0</v>
      </c>
      <c r="Q30" s="51">
        <f>idp_SP1[[#This Row],[sp1_idp_pin_gb]]+ndp_SP1[[#This Row],[sp1_ndp_pin_gb]]</f>
        <v>0</v>
      </c>
      <c r="R30" s="51">
        <f>idp_SP1[[#This Row],[sp1_idp_pin_fs]]+ndp_SP1[[#This Row],[sp1_ndp_pin_fs]]</f>
        <v>0</v>
      </c>
      <c r="S30" s="51">
        <f>idp_SP1[[#This Row],[sp1_idp_pin_li]]+ndp_SP1[[#This Row],[sp1_ndp_pin_li]]</f>
        <v>0</v>
      </c>
      <c r="T30" s="51">
        <f>idp_SP1[[#This Row],[sp1_idp_pin_adopted]]+ndp_SP1[[#This Row],[sp1_ndp_pin_adopted]]</f>
        <v>0</v>
      </c>
      <c r="U30" s="55"/>
      <c r="V30" s="51"/>
      <c r="W30" s="51"/>
      <c r="X30" s="51">
        <f>MAX(idp_SP1[[#This Row],[sp1_idp_sev_pr]],ndp_SP1[[#This Row],[sp1_ndp_sev_pr]])</f>
        <v>0</v>
      </c>
      <c r="Y30" s="51">
        <v>0</v>
      </c>
      <c r="Z30" s="51"/>
      <c r="AA30" s="51"/>
      <c r="AB30" s="51"/>
      <c r="AC30" s="51"/>
      <c r="AD30" s="51"/>
      <c r="AE30" s="51"/>
      <c r="AF30" s="51"/>
      <c r="AG30" s="57">
        <f>idp_SP1[[#This Row],[sp1_idp_target_ed]]+ndp_SP1[[#This Row],[sp1_ndp_target_ed]]</f>
        <v>0</v>
      </c>
      <c r="AH30" s="51">
        <f>idp_SP1[[#This Row],[sp1_idp_target_fl]]+ndp_SP1[[#This Row],[sp1_ndp_target_fl]]</f>
        <v>0</v>
      </c>
      <c r="AI30" s="51">
        <f>idp_SP1[[#This Row],[sp1_idp_target_he]]+ndp_SP1[[#This Row],[sp1_ndp_target_he]]</f>
        <v>0</v>
      </c>
      <c r="AJ30" s="51">
        <f>idp_SP1[[#This Row],[sp1_idp_target_pr]]+ndp_SP1[[#This Row],[sp1_ndp_target_pr]]</f>
        <v>0</v>
      </c>
      <c r="AK30" s="51">
        <f>idp_SP1[[#This Row],[sp1_idp_target_sn]]+ndp_SP1[[#This Row],[sp1_ndp_target_sn]]</f>
        <v>0</v>
      </c>
      <c r="AL30" s="51">
        <f>idp_SP1[[#This Row],[sp1_idp_target_wa]]+ndp_SP1[[#This Row],[sp1_ndp_target_wa]]</f>
        <v>0</v>
      </c>
      <c r="AM30" s="51">
        <f>idp_SP1[[#This Row],[sp1_idp_target_gp]]+ndp_SP1[[#This Row],[sp1_ndp_target_gp]]</f>
        <v>0</v>
      </c>
      <c r="AN30" s="51">
        <f>idp_SP1[[#This Row],[sp1_idp_target_cp]]+ndp_SP1[[#This Row],[sp1_ndp_target_cp]]</f>
        <v>0</v>
      </c>
      <c r="AO30" s="51">
        <f>idp_SP1[[#This Row],[sp1_idp_target_gb]]+ndp_SP1[[#This Row],[sp1_ndp_target_gb]]</f>
        <v>0</v>
      </c>
      <c r="AP30" s="51">
        <f>idp_SP1[[#This Row],[sp1_idp_target_fs]]+ndp_SP1[[#This Row],[sp1_ndp_target_fs]]</f>
        <v>0</v>
      </c>
      <c r="AQ30" s="51">
        <f>idp_SP1[[#This Row],[sp1_idp_target_li]]+ndp_SP1[[#This Row],[sp1_ndp_target_li]]</f>
        <v>0</v>
      </c>
      <c r="AR30" s="51">
        <f>idp_SP1[[#This Row],[sp1_idp_target_cw]]+ndp_SP1[[#This Row],[sp1_ndp_target_cw]]</f>
        <v>0</v>
      </c>
      <c r="AS30" s="201">
        <f>idp_SP1[[#This Row],[sp1_idp_target_joint]]+ndp_SP1[[#This Row],[sp1_ndp_target_joint]]</f>
        <v>0</v>
      </c>
      <c r="AT30" s="57">
        <v>0</v>
      </c>
      <c r="AU30" s="51">
        <v>0</v>
      </c>
      <c r="AV30" s="51">
        <v>0</v>
      </c>
      <c r="AW30" s="51">
        <v>0</v>
      </c>
      <c r="AX30" s="51">
        <v>0</v>
      </c>
      <c r="AY30" s="51">
        <v>0</v>
      </c>
      <c r="AZ30" s="51">
        <v>0</v>
      </c>
      <c r="BA30" s="51">
        <v>0</v>
      </c>
      <c r="BB30" s="51">
        <v>0</v>
      </c>
      <c r="BC30" s="51">
        <v>0</v>
      </c>
      <c r="BD30" s="51">
        <v>0</v>
      </c>
      <c r="BE30" s="51">
        <v>0</v>
      </c>
      <c r="BF30" s="201">
        <v>0</v>
      </c>
    </row>
    <row r="31" spans="1:58" ht="14.25" x14ac:dyDescent="0.45">
      <c r="A31" t="s">
        <v>302</v>
      </c>
      <c r="B31" t="s">
        <v>303</v>
      </c>
      <c r="C31" t="s">
        <v>245</v>
      </c>
      <c r="D31" t="s">
        <v>199</v>
      </c>
      <c r="E31" t="s">
        <v>304</v>
      </c>
      <c r="F31" s="22">
        <v>0</v>
      </c>
      <c r="G31" s="23">
        <v>0</v>
      </c>
      <c r="H31" s="23"/>
      <c r="I31" s="55">
        <f>idp_SP1[[#This Row],[sp1_idp_pin_ed]]+ndp_SP1[[#This Row],[sp1_ndp_pin_ed]]</f>
        <v>0</v>
      </c>
      <c r="J31" s="51">
        <f>idp_SP1[[#This Row],[sp1_idp_pin_fl]]+ndp_SP1[[#This Row],[sp1_ndp_pin_fl]]</f>
        <v>0</v>
      </c>
      <c r="K31" s="51">
        <f>idp_SP1[[#This Row],[sp1_idp_pin_he]]+ndp_SP1[[#This Row],[sp1_ndp_pin_he]]</f>
        <v>0</v>
      </c>
      <c r="L31" s="51">
        <f>idp_SP1[[#This Row],[sp1_idp_pin_pr]]+ndp_SP1[[#This Row],[sp1_ndp_pin_pr]]</f>
        <v>0</v>
      </c>
      <c r="M31" s="51">
        <f>idp_SP1[[#This Row],[sp1_idp_pin_sn]]+ndp_SP1[[#This Row],[sp1_ndp_pin_sn]]</f>
        <v>0</v>
      </c>
      <c r="N31" s="51">
        <f>idp_SP1[[#This Row],[sp1_idp_pin_wa]]+ndp_SP1[[#This Row],[sp1_ndp_pin_wa]]</f>
        <v>0</v>
      </c>
      <c r="O31" s="51">
        <f>idp_SP1[[#This Row],[sp1_idp_pin_gp]]+ndp_SP1[[#This Row],[sp1_ndp_pin_gp]]</f>
        <v>0</v>
      </c>
      <c r="P31" s="51">
        <f>idp_SP1[[#This Row],[sp1_idp_pin_cp]]+ndp_SP1[[#This Row],[sp1_ndp_pin_cp]]</f>
        <v>0</v>
      </c>
      <c r="Q31" s="51">
        <f>idp_SP1[[#This Row],[sp1_idp_pin_gb]]+ndp_SP1[[#This Row],[sp1_ndp_pin_gb]]</f>
        <v>0</v>
      </c>
      <c r="R31" s="51">
        <f>idp_SP1[[#This Row],[sp1_idp_pin_fs]]+ndp_SP1[[#This Row],[sp1_ndp_pin_fs]]</f>
        <v>0</v>
      </c>
      <c r="S31" s="51">
        <f>idp_SP1[[#This Row],[sp1_idp_pin_li]]+ndp_SP1[[#This Row],[sp1_ndp_pin_li]]</f>
        <v>0</v>
      </c>
      <c r="T31" s="51">
        <f>idp_SP1[[#This Row],[sp1_idp_pin_adopted]]+ndp_SP1[[#This Row],[sp1_ndp_pin_adopted]]</f>
        <v>0</v>
      </c>
      <c r="U31" s="55"/>
      <c r="V31" s="51"/>
      <c r="W31" s="51"/>
      <c r="X31" s="51">
        <f>MAX(idp_SP1[[#This Row],[sp1_idp_sev_pr]],ndp_SP1[[#This Row],[sp1_ndp_sev_pr]])</f>
        <v>0</v>
      </c>
      <c r="Y31" s="51">
        <v>0</v>
      </c>
      <c r="Z31" s="51"/>
      <c r="AA31" s="51"/>
      <c r="AB31" s="51"/>
      <c r="AC31" s="51"/>
      <c r="AD31" s="51"/>
      <c r="AE31" s="51"/>
      <c r="AF31" s="51"/>
      <c r="AG31" s="57">
        <f>idp_SP1[[#This Row],[sp1_idp_target_ed]]+ndp_SP1[[#This Row],[sp1_ndp_target_ed]]</f>
        <v>0</v>
      </c>
      <c r="AH31" s="51">
        <f>idp_SP1[[#This Row],[sp1_idp_target_fl]]+ndp_SP1[[#This Row],[sp1_ndp_target_fl]]</f>
        <v>0</v>
      </c>
      <c r="AI31" s="51">
        <f>idp_SP1[[#This Row],[sp1_idp_target_he]]+ndp_SP1[[#This Row],[sp1_ndp_target_he]]</f>
        <v>0</v>
      </c>
      <c r="AJ31" s="51">
        <f>idp_SP1[[#This Row],[sp1_idp_target_pr]]+ndp_SP1[[#This Row],[sp1_ndp_target_pr]]</f>
        <v>0</v>
      </c>
      <c r="AK31" s="51">
        <f>idp_SP1[[#This Row],[sp1_idp_target_sn]]+ndp_SP1[[#This Row],[sp1_ndp_target_sn]]</f>
        <v>0</v>
      </c>
      <c r="AL31" s="51">
        <f>idp_SP1[[#This Row],[sp1_idp_target_wa]]+ndp_SP1[[#This Row],[sp1_ndp_target_wa]]</f>
        <v>0</v>
      </c>
      <c r="AM31" s="51">
        <f>idp_SP1[[#This Row],[sp1_idp_target_gp]]+ndp_SP1[[#This Row],[sp1_ndp_target_gp]]</f>
        <v>0</v>
      </c>
      <c r="AN31" s="51">
        <f>idp_SP1[[#This Row],[sp1_idp_target_cp]]+ndp_SP1[[#This Row],[sp1_ndp_target_cp]]</f>
        <v>0</v>
      </c>
      <c r="AO31" s="51">
        <f>idp_SP1[[#This Row],[sp1_idp_target_gb]]+ndp_SP1[[#This Row],[sp1_ndp_target_gb]]</f>
        <v>0</v>
      </c>
      <c r="AP31" s="51">
        <f>idp_SP1[[#This Row],[sp1_idp_target_fs]]+ndp_SP1[[#This Row],[sp1_ndp_target_fs]]</f>
        <v>0</v>
      </c>
      <c r="AQ31" s="51">
        <f>idp_SP1[[#This Row],[sp1_idp_target_li]]+ndp_SP1[[#This Row],[sp1_ndp_target_li]]</f>
        <v>0</v>
      </c>
      <c r="AR31" s="51">
        <f>idp_SP1[[#This Row],[sp1_idp_target_cw]]+ndp_SP1[[#This Row],[sp1_ndp_target_cw]]</f>
        <v>0</v>
      </c>
      <c r="AS31" s="201">
        <f>idp_SP1[[#This Row],[sp1_idp_target_joint]]+ndp_SP1[[#This Row],[sp1_ndp_target_joint]]</f>
        <v>0</v>
      </c>
      <c r="AT31" s="57">
        <v>0</v>
      </c>
      <c r="AU31" s="51">
        <v>0</v>
      </c>
      <c r="AV31" s="51">
        <v>0</v>
      </c>
      <c r="AW31" s="51">
        <v>0</v>
      </c>
      <c r="AX31" s="51">
        <v>0</v>
      </c>
      <c r="AY31" s="51">
        <v>0</v>
      </c>
      <c r="AZ31" s="51">
        <v>0</v>
      </c>
      <c r="BA31" s="51">
        <v>0</v>
      </c>
      <c r="BB31" s="51">
        <v>0</v>
      </c>
      <c r="BC31" s="51">
        <v>0</v>
      </c>
      <c r="BD31" s="51">
        <v>0</v>
      </c>
      <c r="BE31" s="51">
        <v>0</v>
      </c>
      <c r="BF31" s="201">
        <v>0</v>
      </c>
    </row>
    <row r="32" spans="1:58" ht="14.25" x14ac:dyDescent="0.45">
      <c r="A32" t="s">
        <v>305</v>
      </c>
      <c r="B32" t="s">
        <v>306</v>
      </c>
      <c r="C32" t="s">
        <v>307</v>
      </c>
      <c r="D32" t="s">
        <v>193</v>
      </c>
      <c r="E32" t="s">
        <v>308</v>
      </c>
      <c r="F32" s="10">
        <v>14447</v>
      </c>
      <c r="G32" s="8">
        <v>107044</v>
      </c>
      <c r="H32" s="8">
        <v>121491</v>
      </c>
      <c r="I32" s="10">
        <f>idp_SP1[[#This Row],[sp1_idp_pin_ed]]+ndp_SP1[[#This Row],[sp1_ndp_pin_ed]]</f>
        <v>8677</v>
      </c>
      <c r="J32" s="8">
        <f>idp_SP1[[#This Row],[sp1_idp_pin_fl]]+ndp_SP1[[#This Row],[sp1_ndp_pin_fl]]</f>
        <v>21375</v>
      </c>
      <c r="K32" s="8">
        <f>idp_SP1[[#This Row],[sp1_idp_pin_he]]+ndp_SP1[[#This Row],[sp1_ndp_pin_he]]</f>
        <v>94250</v>
      </c>
      <c r="L32" s="8">
        <f>idp_SP1[[#This Row],[sp1_idp_pin_pr]]+ndp_SP1[[#This Row],[sp1_ndp_pin_pr]]</f>
        <v>100140</v>
      </c>
      <c r="M32" s="8">
        <f>idp_SP1[[#This Row],[sp1_idp_pin_sn]]+ndp_SP1[[#This Row],[sp1_ndp_pin_sn]]</f>
        <v>90000</v>
      </c>
      <c r="N32" s="8">
        <f>idp_SP1[[#This Row],[sp1_idp_pin_wa]]+ndp_SP1[[#This Row],[sp1_ndp_pin_wa]]</f>
        <v>69792</v>
      </c>
      <c r="O32" s="8">
        <f>idp_SP1[[#This Row],[sp1_idp_pin_gp]]+ndp_SP1[[#This Row],[sp1_ndp_pin_gp]]</f>
        <v>100140</v>
      </c>
      <c r="P32" s="8">
        <f>idp_SP1[[#This Row],[sp1_idp_pin_cp]]+ndp_SP1[[#This Row],[sp1_ndp_pin_cp]]</f>
        <v>33995</v>
      </c>
      <c r="Q32" s="8">
        <f>idp_SP1[[#This Row],[sp1_idp_pin_gb]]+ndp_SP1[[#This Row],[sp1_ndp_pin_gb]]</f>
        <v>47624</v>
      </c>
      <c r="R32" s="8">
        <f>idp_SP1[[#This Row],[sp1_idp_pin_fs]]+ndp_SP1[[#This Row],[sp1_ndp_pin_fs]]</f>
        <v>21375</v>
      </c>
      <c r="S32" s="8">
        <f>idp_SP1[[#This Row],[sp1_idp_pin_li]]+ndp_SP1[[#This Row],[sp1_ndp_pin_li]]</f>
        <v>0</v>
      </c>
      <c r="T32" s="8">
        <f>idp_SP1[[#This Row],[sp1_idp_pin_adopted]]+ndp_SP1[[#This Row],[sp1_ndp_pin_adopted]]</f>
        <v>101717</v>
      </c>
      <c r="U32" s="137">
        <v>5</v>
      </c>
      <c r="V32" s="52">
        <v>4</v>
      </c>
      <c r="W32" s="52">
        <v>4</v>
      </c>
      <c r="X32" s="52">
        <f>MAX(idp_SP1[[#This Row],[sp1_idp_sev_pr]],ndp_SP1[[#This Row],[sp1_ndp_sev_pr]])</f>
        <v>4</v>
      </c>
      <c r="Y32" s="52">
        <v>5</v>
      </c>
      <c r="Z32" s="52">
        <v>4</v>
      </c>
      <c r="AA32" s="52">
        <v>4</v>
      </c>
      <c r="AB32" s="52">
        <v>5</v>
      </c>
      <c r="AC32" s="52">
        <v>4</v>
      </c>
      <c r="AD32" s="52">
        <v>4</v>
      </c>
      <c r="AE32" s="52">
        <v>4</v>
      </c>
      <c r="AF32" s="8">
        <v>5</v>
      </c>
      <c r="AG32" s="54">
        <f>idp_SP1[[#This Row],[sp1_idp_target_ed]]+ndp_SP1[[#This Row],[sp1_ndp_target_ed]]</f>
        <v>7809</v>
      </c>
      <c r="AH32" s="8">
        <f>idp_SP1[[#This Row],[sp1_idp_target_fl]]+ndp_SP1[[#This Row],[sp1_ndp_target_fl]]</f>
        <v>21375</v>
      </c>
      <c r="AI32" s="8">
        <f>idp_SP1[[#This Row],[sp1_idp_target_he]]+ndp_SP1[[#This Row],[sp1_ndp_target_he]]</f>
        <v>53780</v>
      </c>
      <c r="AJ32" s="8">
        <f>idp_SP1[[#This Row],[sp1_idp_target_pr]]+ndp_SP1[[#This Row],[sp1_ndp_target_pr]]</f>
        <v>38901</v>
      </c>
      <c r="AK32" s="8">
        <f>idp_SP1[[#This Row],[sp1_idp_target_sn]]+ndp_SP1[[#This Row],[sp1_ndp_target_sn]]</f>
        <v>54785</v>
      </c>
      <c r="AL32" s="8">
        <f>idp_SP1[[#This Row],[sp1_idp_target_wa]]+ndp_SP1[[#This Row],[sp1_ndp_target_wa]]</f>
        <v>69792</v>
      </c>
      <c r="AM32" s="8">
        <f>idp_SP1[[#This Row],[sp1_idp_target_gp]]+ndp_SP1[[#This Row],[sp1_ndp_target_gp]]</f>
        <v>38901</v>
      </c>
      <c r="AN32" s="8">
        <f>idp_SP1[[#This Row],[sp1_idp_target_cp]]+ndp_SP1[[#This Row],[sp1_ndp_target_cp]]</f>
        <v>28365</v>
      </c>
      <c r="AO32" s="8">
        <f>idp_SP1[[#This Row],[sp1_idp_target_gb]]+ndp_SP1[[#This Row],[sp1_ndp_target_gb]]</f>
        <v>2381</v>
      </c>
      <c r="AP32" s="8">
        <f>idp_SP1[[#This Row],[sp1_idp_target_fs]]+ndp_SP1[[#This Row],[sp1_ndp_target_fs]]</f>
        <v>21375</v>
      </c>
      <c r="AQ32" s="8">
        <f>idp_SP1[[#This Row],[sp1_idp_target_li]]+ndp_SP1[[#This Row],[sp1_ndp_target_li]]</f>
        <v>0</v>
      </c>
      <c r="AR32" s="8">
        <f>idp_SP1[[#This Row],[sp1_idp_target_cw]]+ndp_SP1[[#This Row],[sp1_ndp_target_cw]]</f>
        <v>83471</v>
      </c>
      <c r="AS32" s="202">
        <f>idp_SP1[[#This Row],[sp1_idp_target_joint]]+ndp_SP1[[#This Row],[sp1_ndp_target_joint]]</f>
        <v>83471</v>
      </c>
      <c r="AT32" s="54">
        <v>7809</v>
      </c>
      <c r="AU32" s="8">
        <v>21375</v>
      </c>
      <c r="AV32" s="8">
        <v>53780</v>
      </c>
      <c r="AW32" s="8">
        <v>38901</v>
      </c>
      <c r="AX32" s="8">
        <v>54785</v>
      </c>
      <c r="AY32" s="8">
        <v>69792</v>
      </c>
      <c r="AZ32" s="8">
        <v>38901</v>
      </c>
      <c r="BA32" s="8">
        <v>28365</v>
      </c>
      <c r="BB32" s="8">
        <v>2381</v>
      </c>
      <c r="BC32" s="8">
        <v>21375</v>
      </c>
      <c r="BD32" s="8">
        <v>0</v>
      </c>
      <c r="BE32" s="8">
        <v>83471</v>
      </c>
      <c r="BF32" s="202">
        <v>83471</v>
      </c>
    </row>
    <row r="33" spans="1:58" ht="14.25" x14ac:dyDescent="0.45">
      <c r="A33" t="s">
        <v>305</v>
      </c>
      <c r="B33" t="s">
        <v>306</v>
      </c>
      <c r="C33" t="s">
        <v>254</v>
      </c>
      <c r="D33" t="s">
        <v>196</v>
      </c>
      <c r="E33" t="s">
        <v>309</v>
      </c>
      <c r="F33" s="10">
        <v>25722</v>
      </c>
      <c r="G33" s="8">
        <v>93192.103959224856</v>
      </c>
      <c r="H33" s="8">
        <v>118914.10395922486</v>
      </c>
      <c r="I33" s="10">
        <f>idp_SP1[[#This Row],[sp1_idp_pin_ed]]+ndp_SP1[[#This Row],[sp1_ndp_pin_ed]]</f>
        <v>6672</v>
      </c>
      <c r="J33" s="8">
        <f>idp_SP1[[#This Row],[sp1_idp_pin_fl]]+ndp_SP1[[#This Row],[sp1_ndp_pin_fl]]</f>
        <v>18410</v>
      </c>
      <c r="K33" s="8">
        <f>idp_SP1[[#This Row],[sp1_idp_pin_he]]+ndp_SP1[[#This Row],[sp1_ndp_pin_he]]</f>
        <v>92251</v>
      </c>
      <c r="L33" s="8">
        <f>idp_SP1[[#This Row],[sp1_idp_pin_pr]]+ndp_SP1[[#This Row],[sp1_ndp_pin_pr]]</f>
        <v>74948</v>
      </c>
      <c r="M33" s="8">
        <f>idp_SP1[[#This Row],[sp1_idp_pin_sn]]+ndp_SP1[[#This Row],[sp1_ndp_pin_sn]]</f>
        <v>69267</v>
      </c>
      <c r="N33" s="8">
        <f>idp_SP1[[#This Row],[sp1_idp_pin_wa]]+ndp_SP1[[#This Row],[sp1_ndp_pin_wa]]</f>
        <v>55699</v>
      </c>
      <c r="O33" s="8">
        <f>idp_SP1[[#This Row],[sp1_idp_pin_gp]]+ndp_SP1[[#This Row],[sp1_ndp_pin_gp]]</f>
        <v>74948</v>
      </c>
      <c r="P33" s="8">
        <f>idp_SP1[[#This Row],[sp1_idp_pin_cp]]+ndp_SP1[[#This Row],[sp1_ndp_pin_cp]]</f>
        <v>32146</v>
      </c>
      <c r="Q33" s="8">
        <f>idp_SP1[[#This Row],[sp1_idp_pin_gb]]+ndp_SP1[[#This Row],[sp1_ndp_pin_gb]]</f>
        <v>36177</v>
      </c>
      <c r="R33" s="8">
        <f>idp_SP1[[#This Row],[sp1_idp_pin_fs]]+ndp_SP1[[#This Row],[sp1_ndp_pin_fs]]</f>
        <v>18410</v>
      </c>
      <c r="S33" s="8">
        <f>idp_SP1[[#This Row],[sp1_idp_pin_li]]+ndp_SP1[[#This Row],[sp1_ndp_pin_li]]</f>
        <v>0</v>
      </c>
      <c r="T33" s="8">
        <f>idp_SP1[[#This Row],[sp1_idp_pin_adopted]]+ndp_SP1[[#This Row],[sp1_ndp_pin_adopted]]</f>
        <v>92251</v>
      </c>
      <c r="U33" s="137">
        <v>4</v>
      </c>
      <c r="V33" s="52">
        <v>4</v>
      </c>
      <c r="W33" s="52">
        <v>4</v>
      </c>
      <c r="X33" s="52">
        <f>MAX(idp_SP1[[#This Row],[sp1_idp_sev_pr]],ndp_SP1[[#This Row],[sp1_ndp_sev_pr]])</f>
        <v>4</v>
      </c>
      <c r="Y33" s="52">
        <v>4</v>
      </c>
      <c r="Z33" s="52">
        <v>3</v>
      </c>
      <c r="AA33" s="52">
        <v>4</v>
      </c>
      <c r="AB33" s="52">
        <v>4</v>
      </c>
      <c r="AC33" s="52">
        <v>4</v>
      </c>
      <c r="AD33" s="52">
        <v>4</v>
      </c>
      <c r="AE33" s="52">
        <v>4</v>
      </c>
      <c r="AF33" s="8">
        <v>4</v>
      </c>
      <c r="AG33" s="54">
        <f>idp_SP1[[#This Row],[sp1_idp_target_ed]]+ndp_SP1[[#This Row],[sp1_ndp_target_ed]]</f>
        <v>6005</v>
      </c>
      <c r="AH33" s="8">
        <f>idp_SP1[[#This Row],[sp1_idp_target_fl]]+ndp_SP1[[#This Row],[sp1_ndp_target_fl]]</f>
        <v>18410</v>
      </c>
      <c r="AI33" s="8">
        <f>idp_SP1[[#This Row],[sp1_idp_target_he]]+ndp_SP1[[#This Row],[sp1_ndp_target_he]]</f>
        <v>63720</v>
      </c>
      <c r="AJ33" s="8">
        <f>idp_SP1[[#This Row],[sp1_idp_target_pr]]+ndp_SP1[[#This Row],[sp1_ndp_target_pr]]</f>
        <v>31680</v>
      </c>
      <c r="AK33" s="8">
        <f>idp_SP1[[#This Row],[sp1_idp_target_sn]]+ndp_SP1[[#This Row],[sp1_ndp_target_sn]]</f>
        <v>33276</v>
      </c>
      <c r="AL33" s="8">
        <f>idp_SP1[[#This Row],[sp1_idp_target_wa]]+ndp_SP1[[#This Row],[sp1_ndp_target_wa]]</f>
        <v>27849</v>
      </c>
      <c r="AM33" s="8">
        <f>idp_SP1[[#This Row],[sp1_idp_target_gp]]+ndp_SP1[[#This Row],[sp1_ndp_target_gp]]</f>
        <v>31680</v>
      </c>
      <c r="AN33" s="8">
        <f>idp_SP1[[#This Row],[sp1_idp_target_cp]]+ndp_SP1[[#This Row],[sp1_ndp_target_cp]]</f>
        <v>15789</v>
      </c>
      <c r="AO33" s="8">
        <f>idp_SP1[[#This Row],[sp1_idp_target_gb]]+ndp_SP1[[#This Row],[sp1_ndp_target_gb]]</f>
        <v>12870</v>
      </c>
      <c r="AP33" s="8">
        <f>idp_SP1[[#This Row],[sp1_idp_target_fs]]+ndp_SP1[[#This Row],[sp1_ndp_target_fs]]</f>
        <v>18410</v>
      </c>
      <c r="AQ33" s="8">
        <f>idp_SP1[[#This Row],[sp1_idp_target_li]]+ndp_SP1[[#This Row],[sp1_ndp_target_li]]</f>
        <v>0</v>
      </c>
      <c r="AR33" s="8">
        <f>idp_SP1[[#This Row],[sp1_idp_target_cw]]+ndp_SP1[[#This Row],[sp1_ndp_target_cw]]</f>
        <v>7203</v>
      </c>
      <c r="AS33" s="202">
        <f>idp_SP1[[#This Row],[sp1_idp_target_joint]]+ndp_SP1[[#This Row],[sp1_ndp_target_joint]]</f>
        <v>63720</v>
      </c>
      <c r="AT33" s="54">
        <v>6005</v>
      </c>
      <c r="AU33" s="8">
        <v>6868</v>
      </c>
      <c r="AV33" s="8">
        <v>63720</v>
      </c>
      <c r="AW33" s="8">
        <v>31680</v>
      </c>
      <c r="AX33" s="8">
        <v>33276</v>
      </c>
      <c r="AY33" s="8">
        <v>5570</v>
      </c>
      <c r="AZ33" s="8">
        <v>31680</v>
      </c>
      <c r="BA33" s="8">
        <v>8379</v>
      </c>
      <c r="BB33" s="8">
        <v>6608</v>
      </c>
      <c r="BC33" s="8">
        <v>6868</v>
      </c>
      <c r="BD33" s="8">
        <v>0</v>
      </c>
      <c r="BE33" s="8">
        <v>3733</v>
      </c>
      <c r="BF33" s="202">
        <v>63720</v>
      </c>
    </row>
    <row r="34" spans="1:58" ht="14.25" x14ac:dyDescent="0.45">
      <c r="A34" t="s">
        <v>305</v>
      </c>
      <c r="B34" t="s">
        <v>306</v>
      </c>
      <c r="C34" t="s">
        <v>256</v>
      </c>
      <c r="D34" t="s">
        <v>199</v>
      </c>
      <c r="E34" t="s">
        <v>310</v>
      </c>
      <c r="F34" s="22">
        <v>0</v>
      </c>
      <c r="G34" s="23">
        <v>0</v>
      </c>
      <c r="H34" s="23"/>
      <c r="I34" s="55">
        <f>idp_SP1[[#This Row],[sp1_idp_pin_ed]]+ndp_SP1[[#This Row],[sp1_ndp_pin_ed]]</f>
        <v>0</v>
      </c>
      <c r="J34" s="51">
        <f>idp_SP1[[#This Row],[sp1_idp_pin_fl]]+ndp_SP1[[#This Row],[sp1_ndp_pin_fl]]</f>
        <v>0</v>
      </c>
      <c r="K34" s="51">
        <f>idp_SP1[[#This Row],[sp1_idp_pin_he]]+ndp_SP1[[#This Row],[sp1_ndp_pin_he]]</f>
        <v>0</v>
      </c>
      <c r="L34" s="51">
        <f>idp_SP1[[#This Row],[sp1_idp_pin_pr]]+ndp_SP1[[#This Row],[sp1_ndp_pin_pr]]</f>
        <v>0</v>
      </c>
      <c r="M34" s="51">
        <f>idp_SP1[[#This Row],[sp1_idp_pin_sn]]+ndp_SP1[[#This Row],[sp1_ndp_pin_sn]]</f>
        <v>0</v>
      </c>
      <c r="N34" s="51">
        <f>idp_SP1[[#This Row],[sp1_idp_pin_wa]]+ndp_SP1[[#This Row],[sp1_ndp_pin_wa]]</f>
        <v>0</v>
      </c>
      <c r="O34" s="51">
        <f>idp_SP1[[#This Row],[sp1_idp_pin_gp]]+ndp_SP1[[#This Row],[sp1_ndp_pin_gp]]</f>
        <v>0</v>
      </c>
      <c r="P34" s="51">
        <f>idp_SP1[[#This Row],[sp1_idp_pin_cp]]+ndp_SP1[[#This Row],[sp1_ndp_pin_cp]]</f>
        <v>0</v>
      </c>
      <c r="Q34" s="51">
        <f>idp_SP1[[#This Row],[sp1_idp_pin_gb]]+ndp_SP1[[#This Row],[sp1_ndp_pin_gb]]</f>
        <v>0</v>
      </c>
      <c r="R34" s="51">
        <f>idp_SP1[[#This Row],[sp1_idp_pin_fs]]+ndp_SP1[[#This Row],[sp1_ndp_pin_fs]]</f>
        <v>0</v>
      </c>
      <c r="S34" s="51">
        <f>idp_SP1[[#This Row],[sp1_idp_pin_li]]+ndp_SP1[[#This Row],[sp1_ndp_pin_li]]</f>
        <v>0</v>
      </c>
      <c r="T34" s="51">
        <f>idp_SP1[[#This Row],[sp1_idp_pin_adopted]]+ndp_SP1[[#This Row],[sp1_ndp_pin_adopted]]</f>
        <v>0</v>
      </c>
      <c r="U34" s="55"/>
      <c r="V34" s="51"/>
      <c r="W34" s="51"/>
      <c r="X34" s="51">
        <f>MAX(idp_SP1[[#This Row],[sp1_idp_sev_pr]],ndp_SP1[[#This Row],[sp1_ndp_sev_pr]])</f>
        <v>0</v>
      </c>
      <c r="Y34" s="51">
        <v>0</v>
      </c>
      <c r="Z34" s="51"/>
      <c r="AA34" s="51"/>
      <c r="AB34" s="51"/>
      <c r="AC34" s="51"/>
      <c r="AD34" s="51"/>
      <c r="AE34" s="51"/>
      <c r="AF34" s="51"/>
      <c r="AG34" s="57">
        <f>idp_SP1[[#This Row],[sp1_idp_target_ed]]+ndp_SP1[[#This Row],[sp1_ndp_target_ed]]</f>
        <v>0</v>
      </c>
      <c r="AH34" s="51">
        <f>idp_SP1[[#This Row],[sp1_idp_target_fl]]+ndp_SP1[[#This Row],[sp1_ndp_target_fl]]</f>
        <v>0</v>
      </c>
      <c r="AI34" s="51">
        <f>idp_SP1[[#This Row],[sp1_idp_target_he]]+ndp_SP1[[#This Row],[sp1_ndp_target_he]]</f>
        <v>0</v>
      </c>
      <c r="AJ34" s="51">
        <f>idp_SP1[[#This Row],[sp1_idp_target_pr]]+ndp_SP1[[#This Row],[sp1_ndp_target_pr]]</f>
        <v>0</v>
      </c>
      <c r="AK34" s="51">
        <f>idp_SP1[[#This Row],[sp1_idp_target_sn]]+ndp_SP1[[#This Row],[sp1_ndp_target_sn]]</f>
        <v>0</v>
      </c>
      <c r="AL34" s="51">
        <f>idp_SP1[[#This Row],[sp1_idp_target_wa]]+ndp_SP1[[#This Row],[sp1_ndp_target_wa]]</f>
        <v>0</v>
      </c>
      <c r="AM34" s="51">
        <f>idp_SP1[[#This Row],[sp1_idp_target_gp]]+ndp_SP1[[#This Row],[sp1_ndp_target_gp]]</f>
        <v>0</v>
      </c>
      <c r="AN34" s="51">
        <f>idp_SP1[[#This Row],[sp1_idp_target_cp]]+ndp_SP1[[#This Row],[sp1_ndp_target_cp]]</f>
        <v>0</v>
      </c>
      <c r="AO34" s="51">
        <f>idp_SP1[[#This Row],[sp1_idp_target_gb]]+ndp_SP1[[#This Row],[sp1_ndp_target_gb]]</f>
        <v>0</v>
      </c>
      <c r="AP34" s="51">
        <f>idp_SP1[[#This Row],[sp1_idp_target_fs]]+ndp_SP1[[#This Row],[sp1_ndp_target_fs]]</f>
        <v>0</v>
      </c>
      <c r="AQ34" s="51">
        <f>idp_SP1[[#This Row],[sp1_idp_target_li]]+ndp_SP1[[#This Row],[sp1_ndp_target_li]]</f>
        <v>0</v>
      </c>
      <c r="AR34" s="51">
        <f>idp_SP1[[#This Row],[sp1_idp_target_cw]]+ndp_SP1[[#This Row],[sp1_ndp_target_cw]]</f>
        <v>0</v>
      </c>
      <c r="AS34" s="201">
        <f>idp_SP1[[#This Row],[sp1_idp_target_joint]]+ndp_SP1[[#This Row],[sp1_ndp_target_joint]]</f>
        <v>0</v>
      </c>
      <c r="AT34" s="57">
        <v>0</v>
      </c>
      <c r="AU34" s="51">
        <v>0</v>
      </c>
      <c r="AV34" s="51">
        <v>0</v>
      </c>
      <c r="AW34" s="51">
        <v>0</v>
      </c>
      <c r="AX34" s="51">
        <v>0</v>
      </c>
      <c r="AY34" s="51">
        <v>0</v>
      </c>
      <c r="AZ34" s="51">
        <v>0</v>
      </c>
      <c r="BA34" s="51">
        <v>0</v>
      </c>
      <c r="BB34" s="51">
        <v>0</v>
      </c>
      <c r="BC34" s="51">
        <v>0</v>
      </c>
      <c r="BD34" s="51">
        <v>0</v>
      </c>
      <c r="BE34" s="51">
        <v>0</v>
      </c>
      <c r="BF34" s="201">
        <v>0</v>
      </c>
    </row>
    <row r="35" spans="1:58" ht="14.25" x14ac:dyDescent="0.45">
      <c r="A35" t="s">
        <v>305</v>
      </c>
      <c r="B35" t="s">
        <v>306</v>
      </c>
      <c r="C35" t="s">
        <v>311</v>
      </c>
      <c r="D35" t="s">
        <v>193</v>
      </c>
      <c r="E35" t="s">
        <v>312</v>
      </c>
      <c r="F35" s="10">
        <v>25799</v>
      </c>
      <c r="G35" s="8">
        <v>231388</v>
      </c>
      <c r="H35" s="8">
        <v>257187</v>
      </c>
      <c r="I35" s="10">
        <f>idp_SP1[[#This Row],[sp1_idp_pin_ed]]+ndp_SP1[[#This Row],[sp1_ndp_pin_ed]]</f>
        <v>19936</v>
      </c>
      <c r="J35" s="8">
        <f>idp_SP1[[#This Row],[sp1_idp_pin_fl]]+ndp_SP1[[#This Row],[sp1_ndp_pin_fl]]</f>
        <v>33264</v>
      </c>
      <c r="K35" s="8">
        <f>idp_SP1[[#This Row],[sp1_idp_pin_he]]+ndp_SP1[[#This Row],[sp1_ndp_pin_he]]</f>
        <v>199519</v>
      </c>
      <c r="L35" s="8">
        <f>idp_SP1[[#This Row],[sp1_idp_pin_pr]]+ndp_SP1[[#This Row],[sp1_ndp_pin_pr]]</f>
        <v>187896</v>
      </c>
      <c r="M35" s="8">
        <f>idp_SP1[[#This Row],[sp1_idp_pin_sn]]+ndp_SP1[[#This Row],[sp1_ndp_pin_sn]]</f>
        <v>140284</v>
      </c>
      <c r="N35" s="8">
        <f>idp_SP1[[#This Row],[sp1_idp_pin_wa]]+ndp_SP1[[#This Row],[sp1_ndp_pin_wa]]</f>
        <v>257187</v>
      </c>
      <c r="O35" s="8">
        <f>idp_SP1[[#This Row],[sp1_idp_pin_gp]]+ndp_SP1[[#This Row],[sp1_ndp_pin_gp]]</f>
        <v>187080</v>
      </c>
      <c r="P35" s="8">
        <f>idp_SP1[[#This Row],[sp1_idp_pin_cp]]+ndp_SP1[[#This Row],[sp1_ndp_pin_cp]]</f>
        <v>75058</v>
      </c>
      <c r="Q35" s="8">
        <f>idp_SP1[[#This Row],[sp1_idp_pin_gb]]+ndp_SP1[[#This Row],[sp1_ndp_pin_gb]]</f>
        <v>100817</v>
      </c>
      <c r="R35" s="8">
        <f>idp_SP1[[#This Row],[sp1_idp_pin_fs]]+ndp_SP1[[#This Row],[sp1_ndp_pin_fs]]</f>
        <v>33264</v>
      </c>
      <c r="S35" s="8">
        <f>idp_SP1[[#This Row],[sp1_idp_pin_li]]+ndp_SP1[[#This Row],[sp1_ndp_pin_li]]</f>
        <v>0</v>
      </c>
      <c r="T35" s="8">
        <f>idp_SP1[[#This Row],[sp1_idp_pin_adopted]]+ndp_SP1[[#This Row],[sp1_ndp_pin_adopted]]</f>
        <v>257187</v>
      </c>
      <c r="U35" s="137">
        <v>4</v>
      </c>
      <c r="V35" s="52">
        <v>4</v>
      </c>
      <c r="W35" s="52">
        <v>4</v>
      </c>
      <c r="X35" s="52">
        <f>MAX(idp_SP1[[#This Row],[sp1_idp_sev_pr]],ndp_SP1[[#This Row],[sp1_ndp_sev_pr]])</f>
        <v>4</v>
      </c>
      <c r="Y35" s="52">
        <v>5</v>
      </c>
      <c r="Z35" s="52">
        <v>4</v>
      </c>
      <c r="AA35" s="52">
        <v>4</v>
      </c>
      <c r="AB35" s="52">
        <v>4</v>
      </c>
      <c r="AC35" s="52">
        <v>4</v>
      </c>
      <c r="AD35" s="52">
        <v>4</v>
      </c>
      <c r="AE35" s="52">
        <v>4</v>
      </c>
      <c r="AF35" s="8">
        <v>4</v>
      </c>
      <c r="AG35" s="54">
        <f>idp_SP1[[#This Row],[sp1_idp_target_ed]]+ndp_SP1[[#This Row],[sp1_ndp_target_ed]]</f>
        <v>17943</v>
      </c>
      <c r="AH35" s="8">
        <f>idp_SP1[[#This Row],[sp1_idp_target_fl]]+ndp_SP1[[#This Row],[sp1_ndp_target_fl]]</f>
        <v>33264</v>
      </c>
      <c r="AI35" s="8">
        <f>idp_SP1[[#This Row],[sp1_idp_target_he]]+ndp_SP1[[#This Row],[sp1_ndp_target_he]]</f>
        <v>80298</v>
      </c>
      <c r="AJ35" s="8">
        <f>idp_SP1[[#This Row],[sp1_idp_target_pr]]+ndp_SP1[[#This Row],[sp1_ndp_target_pr]]</f>
        <v>70294</v>
      </c>
      <c r="AK35" s="8">
        <f>idp_SP1[[#This Row],[sp1_idp_target_sn]]+ndp_SP1[[#This Row],[sp1_ndp_target_sn]]</f>
        <v>55730</v>
      </c>
      <c r="AL35" s="8">
        <f>idp_SP1[[#This Row],[sp1_idp_target_wa]]+ndp_SP1[[#This Row],[sp1_ndp_target_wa]]</f>
        <v>257187</v>
      </c>
      <c r="AM35" s="8">
        <f>idp_SP1[[#This Row],[sp1_idp_target_gp]]+ndp_SP1[[#This Row],[sp1_ndp_target_gp]]</f>
        <v>70294</v>
      </c>
      <c r="AN35" s="8">
        <f>idp_SP1[[#This Row],[sp1_idp_target_cp]]+ndp_SP1[[#This Row],[sp1_ndp_target_cp]]</f>
        <v>63253</v>
      </c>
      <c r="AO35" s="8">
        <f>idp_SP1[[#This Row],[sp1_idp_target_gb]]+ndp_SP1[[#This Row],[sp1_ndp_target_gb]]</f>
        <v>5041</v>
      </c>
      <c r="AP35" s="8">
        <f>idp_SP1[[#This Row],[sp1_idp_target_fs]]+ndp_SP1[[#This Row],[sp1_ndp_target_fs]]</f>
        <v>33264</v>
      </c>
      <c r="AQ35" s="8">
        <f>idp_SP1[[#This Row],[sp1_idp_target_li]]+ndp_SP1[[#This Row],[sp1_ndp_target_li]]</f>
        <v>0</v>
      </c>
      <c r="AR35" s="8">
        <f>idp_SP1[[#This Row],[sp1_idp_target_cw]]+ndp_SP1[[#This Row],[sp1_ndp_target_cw]]</f>
        <v>86842</v>
      </c>
      <c r="AS35" s="202">
        <f>idp_SP1[[#This Row],[sp1_idp_target_joint]]+ndp_SP1[[#This Row],[sp1_ndp_target_joint]]</f>
        <v>257187</v>
      </c>
      <c r="AT35" s="54">
        <v>17943</v>
      </c>
      <c r="AU35" s="8">
        <v>33264</v>
      </c>
      <c r="AV35" s="8">
        <v>27950</v>
      </c>
      <c r="AW35" s="8">
        <v>70294</v>
      </c>
      <c r="AX35" s="8">
        <v>55730</v>
      </c>
      <c r="AY35" s="8">
        <v>257187</v>
      </c>
      <c r="AZ35" s="8">
        <v>70294</v>
      </c>
      <c r="BA35" s="8">
        <v>63253</v>
      </c>
      <c r="BB35" s="8">
        <v>5041</v>
      </c>
      <c r="BC35" s="8">
        <v>33264</v>
      </c>
      <c r="BD35" s="8">
        <v>0</v>
      </c>
      <c r="BE35" s="8">
        <v>86842</v>
      </c>
      <c r="BF35" s="202">
        <v>257187</v>
      </c>
    </row>
    <row r="36" spans="1:58" ht="14.25" x14ac:dyDescent="0.45">
      <c r="A36" t="s">
        <v>313</v>
      </c>
      <c r="B36" t="s">
        <v>314</v>
      </c>
      <c r="C36" t="s">
        <v>245</v>
      </c>
      <c r="D36" t="s">
        <v>199</v>
      </c>
      <c r="E36" t="s">
        <v>315</v>
      </c>
      <c r="F36" s="22">
        <v>0</v>
      </c>
      <c r="G36" s="23">
        <v>0</v>
      </c>
      <c r="H36" s="23"/>
      <c r="I36" s="55">
        <f>idp_SP1[[#This Row],[sp1_idp_pin_ed]]+ndp_SP1[[#This Row],[sp1_ndp_pin_ed]]</f>
        <v>0</v>
      </c>
      <c r="J36" s="51">
        <f>idp_SP1[[#This Row],[sp1_idp_pin_fl]]+ndp_SP1[[#This Row],[sp1_ndp_pin_fl]]</f>
        <v>0</v>
      </c>
      <c r="K36" s="51">
        <f>idp_SP1[[#This Row],[sp1_idp_pin_he]]+ndp_SP1[[#This Row],[sp1_ndp_pin_he]]</f>
        <v>0</v>
      </c>
      <c r="L36" s="51">
        <f>idp_SP1[[#This Row],[sp1_idp_pin_pr]]+ndp_SP1[[#This Row],[sp1_ndp_pin_pr]]</f>
        <v>0</v>
      </c>
      <c r="M36" s="51">
        <f>idp_SP1[[#This Row],[sp1_idp_pin_sn]]+ndp_SP1[[#This Row],[sp1_ndp_pin_sn]]</f>
        <v>0</v>
      </c>
      <c r="N36" s="51">
        <f>idp_SP1[[#This Row],[sp1_idp_pin_wa]]+ndp_SP1[[#This Row],[sp1_ndp_pin_wa]]</f>
        <v>0</v>
      </c>
      <c r="O36" s="51">
        <f>idp_SP1[[#This Row],[sp1_idp_pin_gp]]+ndp_SP1[[#This Row],[sp1_ndp_pin_gp]]</f>
        <v>0</v>
      </c>
      <c r="P36" s="51">
        <f>idp_SP1[[#This Row],[sp1_idp_pin_cp]]+ndp_SP1[[#This Row],[sp1_ndp_pin_cp]]</f>
        <v>0</v>
      </c>
      <c r="Q36" s="51">
        <f>idp_SP1[[#This Row],[sp1_idp_pin_gb]]+ndp_SP1[[#This Row],[sp1_ndp_pin_gb]]</f>
        <v>0</v>
      </c>
      <c r="R36" s="51">
        <f>idp_SP1[[#This Row],[sp1_idp_pin_fs]]+ndp_SP1[[#This Row],[sp1_ndp_pin_fs]]</f>
        <v>0</v>
      </c>
      <c r="S36" s="51">
        <f>idp_SP1[[#This Row],[sp1_idp_pin_li]]+ndp_SP1[[#This Row],[sp1_ndp_pin_li]]</f>
        <v>0</v>
      </c>
      <c r="T36" s="51">
        <f>idp_SP1[[#This Row],[sp1_idp_pin_adopted]]+ndp_SP1[[#This Row],[sp1_ndp_pin_adopted]]</f>
        <v>0</v>
      </c>
      <c r="U36" s="55"/>
      <c r="V36" s="51"/>
      <c r="W36" s="51"/>
      <c r="X36" s="51">
        <f>MAX(idp_SP1[[#This Row],[sp1_idp_sev_pr]],ndp_SP1[[#This Row],[sp1_ndp_sev_pr]])</f>
        <v>0</v>
      </c>
      <c r="Y36" s="51">
        <v>0</v>
      </c>
      <c r="Z36" s="51"/>
      <c r="AA36" s="51"/>
      <c r="AB36" s="51"/>
      <c r="AC36" s="51"/>
      <c r="AD36" s="51"/>
      <c r="AE36" s="51"/>
      <c r="AF36" s="51"/>
      <c r="AG36" s="57">
        <f>idp_SP1[[#This Row],[sp1_idp_target_ed]]+ndp_SP1[[#This Row],[sp1_ndp_target_ed]]</f>
        <v>0</v>
      </c>
      <c r="AH36" s="51">
        <f>idp_SP1[[#This Row],[sp1_idp_target_fl]]+ndp_SP1[[#This Row],[sp1_ndp_target_fl]]</f>
        <v>0</v>
      </c>
      <c r="AI36" s="51">
        <f>idp_SP1[[#This Row],[sp1_idp_target_he]]+ndp_SP1[[#This Row],[sp1_ndp_target_he]]</f>
        <v>0</v>
      </c>
      <c r="AJ36" s="51">
        <f>idp_SP1[[#This Row],[sp1_idp_target_pr]]+ndp_SP1[[#This Row],[sp1_ndp_target_pr]]</f>
        <v>0</v>
      </c>
      <c r="AK36" s="51">
        <f>idp_SP1[[#This Row],[sp1_idp_target_sn]]+ndp_SP1[[#This Row],[sp1_ndp_target_sn]]</f>
        <v>0</v>
      </c>
      <c r="AL36" s="51">
        <f>idp_SP1[[#This Row],[sp1_idp_target_wa]]+ndp_SP1[[#This Row],[sp1_ndp_target_wa]]</f>
        <v>0</v>
      </c>
      <c r="AM36" s="51">
        <f>idp_SP1[[#This Row],[sp1_idp_target_gp]]+ndp_SP1[[#This Row],[sp1_ndp_target_gp]]</f>
        <v>0</v>
      </c>
      <c r="AN36" s="51">
        <f>idp_SP1[[#This Row],[sp1_idp_target_cp]]+ndp_SP1[[#This Row],[sp1_ndp_target_cp]]</f>
        <v>0</v>
      </c>
      <c r="AO36" s="51">
        <f>idp_SP1[[#This Row],[sp1_idp_target_gb]]+ndp_SP1[[#This Row],[sp1_ndp_target_gb]]</f>
        <v>0</v>
      </c>
      <c r="AP36" s="51">
        <f>idp_SP1[[#This Row],[sp1_idp_target_fs]]+ndp_SP1[[#This Row],[sp1_ndp_target_fs]]</f>
        <v>0</v>
      </c>
      <c r="AQ36" s="51">
        <f>idp_SP1[[#This Row],[sp1_idp_target_li]]+ndp_SP1[[#This Row],[sp1_ndp_target_li]]</f>
        <v>0</v>
      </c>
      <c r="AR36" s="51">
        <f>idp_SP1[[#This Row],[sp1_idp_target_cw]]+ndp_SP1[[#This Row],[sp1_ndp_target_cw]]</f>
        <v>0</v>
      </c>
      <c r="AS36" s="201">
        <f>idp_SP1[[#This Row],[sp1_idp_target_joint]]+ndp_SP1[[#This Row],[sp1_ndp_target_joint]]</f>
        <v>0</v>
      </c>
      <c r="AT36" s="57">
        <v>0</v>
      </c>
      <c r="AU36" s="51">
        <v>0</v>
      </c>
      <c r="AV36" s="51">
        <v>0</v>
      </c>
      <c r="AW36" s="51">
        <v>0</v>
      </c>
      <c r="AX36" s="51">
        <v>0</v>
      </c>
      <c r="AY36" s="51">
        <v>0</v>
      </c>
      <c r="AZ36" s="51">
        <v>0</v>
      </c>
      <c r="BA36" s="51">
        <v>0</v>
      </c>
      <c r="BB36" s="51">
        <v>0</v>
      </c>
      <c r="BC36" s="51">
        <v>0</v>
      </c>
      <c r="BD36" s="51">
        <v>0</v>
      </c>
      <c r="BE36" s="51">
        <v>0</v>
      </c>
      <c r="BF36" s="201">
        <v>0</v>
      </c>
    </row>
    <row r="37" spans="1:58" ht="14.25" x14ac:dyDescent="0.45">
      <c r="A37" t="s">
        <v>316</v>
      </c>
      <c r="B37" t="s">
        <v>317</v>
      </c>
      <c r="C37" t="s">
        <v>252</v>
      </c>
      <c r="D37" t="s">
        <v>193</v>
      </c>
      <c r="E37" t="s">
        <v>318</v>
      </c>
      <c r="F37" s="10">
        <v>29217</v>
      </c>
      <c r="G37" s="8">
        <v>173398</v>
      </c>
      <c r="H37" s="8">
        <v>202615</v>
      </c>
      <c r="I37" s="10">
        <f>idp_SP1[[#This Row],[sp1_idp_pin_ed]]+ndp_SP1[[#This Row],[sp1_ndp_pin_ed]]</f>
        <v>9572</v>
      </c>
      <c r="J37" s="8">
        <f>idp_SP1[[#This Row],[sp1_idp_pin_fl]]+ndp_SP1[[#This Row],[sp1_ndp_pin_fl]]</f>
        <v>74880</v>
      </c>
      <c r="K37" s="8">
        <f>idp_SP1[[#This Row],[sp1_idp_pin_he]]+ndp_SP1[[#This Row],[sp1_ndp_pin_he]]</f>
        <v>157184</v>
      </c>
      <c r="L37" s="8">
        <f>idp_SP1[[#This Row],[sp1_idp_pin_pr]]+ndp_SP1[[#This Row],[sp1_ndp_pin_pr]]</f>
        <v>154818</v>
      </c>
      <c r="M37" s="8">
        <f>idp_SP1[[#This Row],[sp1_idp_pin_sn]]+ndp_SP1[[#This Row],[sp1_ndp_pin_sn]]</f>
        <v>142428</v>
      </c>
      <c r="N37" s="8">
        <f>idp_SP1[[#This Row],[sp1_idp_pin_wa]]+ndp_SP1[[#This Row],[sp1_ndp_pin_wa]]</f>
        <v>157589</v>
      </c>
      <c r="O37" s="8">
        <f>idp_SP1[[#This Row],[sp1_idp_pin_gp]]+ndp_SP1[[#This Row],[sp1_ndp_pin_gp]]</f>
        <v>154818</v>
      </c>
      <c r="P37" s="8">
        <f>idp_SP1[[#This Row],[sp1_idp_pin_cp]]+ndp_SP1[[#This Row],[sp1_ndp_pin_cp]]</f>
        <v>55090</v>
      </c>
      <c r="Q37" s="8">
        <f>idp_SP1[[#This Row],[sp1_idp_pin_gb]]+ndp_SP1[[#This Row],[sp1_ndp_pin_gb]]</f>
        <v>77324</v>
      </c>
      <c r="R37" s="8">
        <f>idp_SP1[[#This Row],[sp1_idp_pin_fs]]+ndp_SP1[[#This Row],[sp1_ndp_pin_fs]]</f>
        <v>74880</v>
      </c>
      <c r="S37" s="8">
        <f>idp_SP1[[#This Row],[sp1_idp_pin_li]]+ndp_SP1[[#This Row],[sp1_ndp_pin_li]]</f>
        <v>0</v>
      </c>
      <c r="T37" s="8">
        <f>idp_SP1[[#This Row],[sp1_idp_pin_adopted]]+ndp_SP1[[#This Row],[sp1_ndp_pin_adopted]]</f>
        <v>161160</v>
      </c>
      <c r="U37" s="137">
        <v>5</v>
      </c>
      <c r="V37" s="52">
        <v>4</v>
      </c>
      <c r="W37" s="52">
        <v>4</v>
      </c>
      <c r="X37" s="52">
        <f>MAX(idp_SP1[[#This Row],[sp1_idp_sev_pr]],ndp_SP1[[#This Row],[sp1_ndp_sev_pr]])</f>
        <v>5</v>
      </c>
      <c r="Y37" s="52">
        <v>5</v>
      </c>
      <c r="Z37" s="52">
        <v>5</v>
      </c>
      <c r="AA37" s="52">
        <v>5</v>
      </c>
      <c r="AB37" s="52">
        <v>5</v>
      </c>
      <c r="AC37" s="52">
        <v>5</v>
      </c>
      <c r="AD37" s="52">
        <v>4</v>
      </c>
      <c r="AE37" s="52">
        <v>4</v>
      </c>
      <c r="AF37" s="8">
        <v>5</v>
      </c>
      <c r="AG37" s="54">
        <f>idp_SP1[[#This Row],[sp1_idp_target_ed]]+ndp_SP1[[#This Row],[sp1_ndp_target_ed]]</f>
        <v>8615</v>
      </c>
      <c r="AH37" s="8">
        <f>idp_SP1[[#This Row],[sp1_idp_target_fl]]+ndp_SP1[[#This Row],[sp1_ndp_target_fl]]</f>
        <v>74880</v>
      </c>
      <c r="AI37" s="8">
        <f>idp_SP1[[#This Row],[sp1_idp_target_he]]+ndp_SP1[[#This Row],[sp1_ndp_target_he]]</f>
        <v>90544</v>
      </c>
      <c r="AJ37" s="8">
        <f>idp_SP1[[#This Row],[sp1_idp_target_pr]]+ndp_SP1[[#This Row],[sp1_ndp_target_pr]]</f>
        <v>64704</v>
      </c>
      <c r="AK37" s="8">
        <f>idp_SP1[[#This Row],[sp1_idp_target_sn]]+ndp_SP1[[#This Row],[sp1_ndp_target_sn]]</f>
        <v>68607</v>
      </c>
      <c r="AL37" s="8">
        <f>idp_SP1[[#This Row],[sp1_idp_target_wa]]+ndp_SP1[[#This Row],[sp1_ndp_target_wa]]</f>
        <v>157589</v>
      </c>
      <c r="AM37" s="8">
        <f>idp_SP1[[#This Row],[sp1_idp_target_gp]]+ndp_SP1[[#This Row],[sp1_ndp_target_gp]]</f>
        <v>64704</v>
      </c>
      <c r="AN37" s="8">
        <f>idp_SP1[[#This Row],[sp1_idp_target_cp]]+ndp_SP1[[#This Row],[sp1_ndp_target_cp]]</f>
        <v>44888</v>
      </c>
      <c r="AO37" s="8">
        <f>idp_SP1[[#This Row],[sp1_idp_target_gb]]+ndp_SP1[[#This Row],[sp1_ndp_target_gb]]</f>
        <v>3866</v>
      </c>
      <c r="AP37" s="8">
        <f>idp_SP1[[#This Row],[sp1_idp_target_fs]]+ndp_SP1[[#This Row],[sp1_ndp_target_fs]]</f>
        <v>74880</v>
      </c>
      <c r="AQ37" s="8">
        <f>idp_SP1[[#This Row],[sp1_idp_target_li]]+ndp_SP1[[#This Row],[sp1_ndp_target_li]]</f>
        <v>0</v>
      </c>
      <c r="AR37" s="8">
        <f>idp_SP1[[#This Row],[sp1_idp_target_cw]]+ndp_SP1[[#This Row],[sp1_ndp_target_cw]]</f>
        <v>75159</v>
      </c>
      <c r="AS37" s="202">
        <f>idp_SP1[[#This Row],[sp1_idp_target_joint]]+ndp_SP1[[#This Row],[sp1_ndp_target_joint]]</f>
        <v>158381</v>
      </c>
      <c r="AT37" s="54">
        <v>8615</v>
      </c>
      <c r="AU37" s="8">
        <v>74880</v>
      </c>
      <c r="AV37" s="8">
        <v>90544</v>
      </c>
      <c r="AW37" s="8">
        <v>64704</v>
      </c>
      <c r="AX37" s="8">
        <v>68607</v>
      </c>
      <c r="AY37" s="8">
        <v>157589</v>
      </c>
      <c r="AZ37" s="8">
        <v>64704</v>
      </c>
      <c r="BA37" s="8">
        <v>44888</v>
      </c>
      <c r="BB37" s="8">
        <v>3866</v>
      </c>
      <c r="BC37" s="8">
        <v>74880</v>
      </c>
      <c r="BD37" s="8">
        <v>0</v>
      </c>
      <c r="BE37" s="8">
        <v>75159</v>
      </c>
      <c r="BF37" s="202">
        <v>158381</v>
      </c>
    </row>
    <row r="38" spans="1:58" ht="14.25" x14ac:dyDescent="0.45">
      <c r="A38" t="s">
        <v>316</v>
      </c>
      <c r="B38" t="s">
        <v>317</v>
      </c>
      <c r="C38" t="s">
        <v>319</v>
      </c>
      <c r="D38" t="s">
        <v>196</v>
      </c>
      <c r="E38" t="s">
        <v>320</v>
      </c>
      <c r="F38" s="10">
        <v>83462</v>
      </c>
      <c r="G38" s="8">
        <v>88204.956185013609</v>
      </c>
      <c r="H38" s="8">
        <v>171666.95618501361</v>
      </c>
      <c r="I38" s="10">
        <f>idp_SP1[[#This Row],[sp1_idp_pin_ed]]+ndp_SP1[[#This Row],[sp1_ndp_pin_ed]]</f>
        <v>12472</v>
      </c>
      <c r="J38" s="8">
        <f>idp_SP1[[#This Row],[sp1_idp_pin_fl]]+ndp_SP1[[#This Row],[sp1_ndp_pin_fl]]</f>
        <v>40217</v>
      </c>
      <c r="K38" s="8">
        <f>idp_SP1[[#This Row],[sp1_idp_pin_he]]+ndp_SP1[[#This Row],[sp1_ndp_pin_he]]</f>
        <v>133175</v>
      </c>
      <c r="L38" s="8">
        <f>idp_SP1[[#This Row],[sp1_idp_pin_pr]]+ndp_SP1[[#This Row],[sp1_ndp_pin_pr]]</f>
        <v>123714</v>
      </c>
      <c r="M38" s="8">
        <f>idp_SP1[[#This Row],[sp1_idp_pin_sn]]+ndp_SP1[[#This Row],[sp1_ndp_pin_sn]]</f>
        <v>119952</v>
      </c>
      <c r="N38" s="8">
        <f>idp_SP1[[#This Row],[sp1_idp_pin_wa]]+ndp_SP1[[#This Row],[sp1_ndp_pin_wa]]</f>
        <v>110707</v>
      </c>
      <c r="O38" s="8">
        <f>idp_SP1[[#This Row],[sp1_idp_pin_gp]]+ndp_SP1[[#This Row],[sp1_ndp_pin_gp]]</f>
        <v>123714</v>
      </c>
      <c r="P38" s="8">
        <f>idp_SP1[[#This Row],[sp1_idp_pin_cp]]+ndp_SP1[[#This Row],[sp1_ndp_pin_cp]]</f>
        <v>59386</v>
      </c>
      <c r="Q38" s="8">
        <f>idp_SP1[[#This Row],[sp1_idp_pin_gb]]+ndp_SP1[[#This Row],[sp1_ndp_pin_gb]]</f>
        <v>55192</v>
      </c>
      <c r="R38" s="8">
        <f>idp_SP1[[#This Row],[sp1_idp_pin_fs]]+ndp_SP1[[#This Row],[sp1_ndp_pin_fs]]</f>
        <v>40217</v>
      </c>
      <c r="S38" s="8">
        <f>idp_SP1[[#This Row],[sp1_idp_pin_li]]+ndp_SP1[[#This Row],[sp1_ndp_pin_li]]</f>
        <v>0</v>
      </c>
      <c r="T38" s="8">
        <f>idp_SP1[[#This Row],[sp1_idp_pin_adopted]]+ndp_SP1[[#This Row],[sp1_ndp_pin_adopted]]</f>
        <v>133175</v>
      </c>
      <c r="U38" s="137">
        <v>4</v>
      </c>
      <c r="V38" s="52">
        <v>4</v>
      </c>
      <c r="W38" s="52">
        <v>4</v>
      </c>
      <c r="X38" s="52">
        <f>MAX(idp_SP1[[#This Row],[sp1_idp_sev_pr]],ndp_SP1[[#This Row],[sp1_ndp_sev_pr]])</f>
        <v>4</v>
      </c>
      <c r="Y38" s="52">
        <v>4</v>
      </c>
      <c r="Z38" s="52">
        <v>4</v>
      </c>
      <c r="AA38" s="52">
        <v>4</v>
      </c>
      <c r="AB38" s="52">
        <v>4</v>
      </c>
      <c r="AC38" s="52">
        <v>4</v>
      </c>
      <c r="AD38" s="52">
        <v>4</v>
      </c>
      <c r="AE38" s="52">
        <v>4</v>
      </c>
      <c r="AF38" s="8">
        <v>4</v>
      </c>
      <c r="AG38" s="54">
        <f>idp_SP1[[#This Row],[sp1_idp_target_ed]]+ndp_SP1[[#This Row],[sp1_ndp_target_ed]]</f>
        <v>11225</v>
      </c>
      <c r="AH38" s="8">
        <f>idp_SP1[[#This Row],[sp1_idp_target_fl]]+ndp_SP1[[#This Row],[sp1_ndp_target_fl]]</f>
        <v>40217</v>
      </c>
      <c r="AI38" s="8">
        <f>idp_SP1[[#This Row],[sp1_idp_target_he]]+ndp_SP1[[#This Row],[sp1_ndp_target_he]]</f>
        <v>83951</v>
      </c>
      <c r="AJ38" s="8">
        <f>idp_SP1[[#This Row],[sp1_idp_target_pr]]+ndp_SP1[[#This Row],[sp1_ndp_target_pr]]</f>
        <v>66324</v>
      </c>
      <c r="AK38" s="8">
        <f>idp_SP1[[#This Row],[sp1_idp_target_sn]]+ndp_SP1[[#This Row],[sp1_ndp_target_sn]]</f>
        <v>68721</v>
      </c>
      <c r="AL38" s="8">
        <f>idp_SP1[[#This Row],[sp1_idp_target_wa]]+ndp_SP1[[#This Row],[sp1_ndp_target_wa]]</f>
        <v>110707</v>
      </c>
      <c r="AM38" s="8">
        <f>idp_SP1[[#This Row],[sp1_idp_target_gp]]+ndp_SP1[[#This Row],[sp1_ndp_target_gp]]</f>
        <v>66324</v>
      </c>
      <c r="AN38" s="8">
        <f>idp_SP1[[#This Row],[sp1_idp_target_cp]]+ndp_SP1[[#This Row],[sp1_ndp_target_cp]]</f>
        <v>40783</v>
      </c>
      <c r="AO38" s="8">
        <f>idp_SP1[[#This Row],[sp1_idp_target_gb]]+ndp_SP1[[#This Row],[sp1_ndp_target_gb]]</f>
        <v>27596</v>
      </c>
      <c r="AP38" s="8">
        <f>idp_SP1[[#This Row],[sp1_idp_target_fs]]+ndp_SP1[[#This Row],[sp1_ndp_target_fs]]</f>
        <v>40217</v>
      </c>
      <c r="AQ38" s="8">
        <f>idp_SP1[[#This Row],[sp1_idp_target_li]]+ndp_SP1[[#This Row],[sp1_ndp_target_li]]</f>
        <v>0</v>
      </c>
      <c r="AR38" s="8">
        <f>idp_SP1[[#This Row],[sp1_idp_target_cw]]+ndp_SP1[[#This Row],[sp1_ndp_target_cw]]</f>
        <v>30078</v>
      </c>
      <c r="AS38" s="202">
        <f>idp_SP1[[#This Row],[sp1_idp_target_joint]]+ndp_SP1[[#This Row],[sp1_ndp_target_joint]]</f>
        <v>110707</v>
      </c>
      <c r="AT38" s="54">
        <v>11225</v>
      </c>
      <c r="AU38" s="8">
        <v>40217</v>
      </c>
      <c r="AV38" s="8">
        <v>83951</v>
      </c>
      <c r="AW38" s="8">
        <v>66324</v>
      </c>
      <c r="AX38" s="8">
        <v>68721</v>
      </c>
      <c r="AY38" s="8">
        <v>110707</v>
      </c>
      <c r="AZ38" s="8">
        <v>66324</v>
      </c>
      <c r="BA38" s="8">
        <v>40783</v>
      </c>
      <c r="BB38" s="8">
        <v>27596</v>
      </c>
      <c r="BC38" s="8">
        <v>40217</v>
      </c>
      <c r="BD38" s="8">
        <v>0</v>
      </c>
      <c r="BE38" s="8">
        <v>30078</v>
      </c>
      <c r="BF38" s="202">
        <v>110707</v>
      </c>
    </row>
    <row r="39" spans="1:58" ht="14.25" x14ac:dyDescent="0.45">
      <c r="A39" t="s">
        <v>316</v>
      </c>
      <c r="B39" t="s">
        <v>317</v>
      </c>
      <c r="C39" t="s">
        <v>256</v>
      </c>
      <c r="D39" t="s">
        <v>199</v>
      </c>
      <c r="E39" t="s">
        <v>321</v>
      </c>
      <c r="F39" s="22">
        <v>0</v>
      </c>
      <c r="G39" s="23">
        <v>0</v>
      </c>
      <c r="H39" s="23"/>
      <c r="I39" s="55">
        <f>idp_SP1[[#This Row],[sp1_idp_pin_ed]]+ndp_SP1[[#This Row],[sp1_ndp_pin_ed]]</f>
        <v>0</v>
      </c>
      <c r="J39" s="51">
        <f>idp_SP1[[#This Row],[sp1_idp_pin_fl]]+ndp_SP1[[#This Row],[sp1_ndp_pin_fl]]</f>
        <v>0</v>
      </c>
      <c r="K39" s="51">
        <f>idp_SP1[[#This Row],[sp1_idp_pin_he]]+ndp_SP1[[#This Row],[sp1_ndp_pin_he]]</f>
        <v>0</v>
      </c>
      <c r="L39" s="51">
        <f>idp_SP1[[#This Row],[sp1_idp_pin_pr]]+ndp_SP1[[#This Row],[sp1_ndp_pin_pr]]</f>
        <v>0</v>
      </c>
      <c r="M39" s="51">
        <f>idp_SP1[[#This Row],[sp1_idp_pin_sn]]+ndp_SP1[[#This Row],[sp1_ndp_pin_sn]]</f>
        <v>0</v>
      </c>
      <c r="N39" s="51">
        <f>idp_SP1[[#This Row],[sp1_idp_pin_wa]]+ndp_SP1[[#This Row],[sp1_ndp_pin_wa]]</f>
        <v>0</v>
      </c>
      <c r="O39" s="51">
        <f>idp_SP1[[#This Row],[sp1_idp_pin_gp]]+ndp_SP1[[#This Row],[sp1_ndp_pin_gp]]</f>
        <v>0</v>
      </c>
      <c r="P39" s="51">
        <f>idp_SP1[[#This Row],[sp1_idp_pin_cp]]+ndp_SP1[[#This Row],[sp1_ndp_pin_cp]]</f>
        <v>0</v>
      </c>
      <c r="Q39" s="51">
        <f>idp_SP1[[#This Row],[sp1_idp_pin_gb]]+ndp_SP1[[#This Row],[sp1_ndp_pin_gb]]</f>
        <v>0</v>
      </c>
      <c r="R39" s="51">
        <f>idp_SP1[[#This Row],[sp1_idp_pin_fs]]+ndp_SP1[[#This Row],[sp1_ndp_pin_fs]]</f>
        <v>0</v>
      </c>
      <c r="S39" s="51">
        <f>idp_SP1[[#This Row],[sp1_idp_pin_li]]+ndp_SP1[[#This Row],[sp1_ndp_pin_li]]</f>
        <v>0</v>
      </c>
      <c r="T39" s="51">
        <f>idp_SP1[[#This Row],[sp1_idp_pin_adopted]]+ndp_SP1[[#This Row],[sp1_ndp_pin_adopted]]</f>
        <v>0</v>
      </c>
      <c r="U39" s="55"/>
      <c r="V39" s="51"/>
      <c r="W39" s="51"/>
      <c r="X39" s="51">
        <f>MAX(idp_SP1[[#This Row],[sp1_idp_sev_pr]],ndp_SP1[[#This Row],[sp1_ndp_sev_pr]])</f>
        <v>0</v>
      </c>
      <c r="Y39" s="51">
        <v>0</v>
      </c>
      <c r="Z39" s="51"/>
      <c r="AA39" s="51"/>
      <c r="AB39" s="51"/>
      <c r="AC39" s="51"/>
      <c r="AD39" s="51"/>
      <c r="AE39" s="51"/>
      <c r="AF39" s="51"/>
      <c r="AG39" s="57">
        <f>idp_SP1[[#This Row],[sp1_idp_target_ed]]+ndp_SP1[[#This Row],[sp1_ndp_target_ed]]</f>
        <v>0</v>
      </c>
      <c r="AH39" s="51">
        <f>idp_SP1[[#This Row],[sp1_idp_target_fl]]+ndp_SP1[[#This Row],[sp1_ndp_target_fl]]</f>
        <v>0</v>
      </c>
      <c r="AI39" s="51">
        <f>idp_SP1[[#This Row],[sp1_idp_target_he]]+ndp_SP1[[#This Row],[sp1_ndp_target_he]]</f>
        <v>0</v>
      </c>
      <c r="AJ39" s="51">
        <f>idp_SP1[[#This Row],[sp1_idp_target_pr]]+ndp_SP1[[#This Row],[sp1_ndp_target_pr]]</f>
        <v>0</v>
      </c>
      <c r="AK39" s="51">
        <f>idp_SP1[[#This Row],[sp1_idp_target_sn]]+ndp_SP1[[#This Row],[sp1_ndp_target_sn]]</f>
        <v>0</v>
      </c>
      <c r="AL39" s="51">
        <f>idp_SP1[[#This Row],[sp1_idp_target_wa]]+ndp_SP1[[#This Row],[sp1_ndp_target_wa]]</f>
        <v>0</v>
      </c>
      <c r="AM39" s="51">
        <f>idp_SP1[[#This Row],[sp1_idp_target_gp]]+ndp_SP1[[#This Row],[sp1_ndp_target_gp]]</f>
        <v>0</v>
      </c>
      <c r="AN39" s="51">
        <f>idp_SP1[[#This Row],[sp1_idp_target_cp]]+ndp_SP1[[#This Row],[sp1_ndp_target_cp]]</f>
        <v>0</v>
      </c>
      <c r="AO39" s="51">
        <f>idp_SP1[[#This Row],[sp1_idp_target_gb]]+ndp_SP1[[#This Row],[sp1_ndp_target_gb]]</f>
        <v>0</v>
      </c>
      <c r="AP39" s="51">
        <f>idp_SP1[[#This Row],[sp1_idp_target_fs]]+ndp_SP1[[#This Row],[sp1_ndp_target_fs]]</f>
        <v>0</v>
      </c>
      <c r="AQ39" s="51">
        <f>idp_SP1[[#This Row],[sp1_idp_target_li]]+ndp_SP1[[#This Row],[sp1_ndp_target_li]]</f>
        <v>0</v>
      </c>
      <c r="AR39" s="51">
        <f>idp_SP1[[#This Row],[sp1_idp_target_cw]]+ndp_SP1[[#This Row],[sp1_ndp_target_cw]]</f>
        <v>0</v>
      </c>
      <c r="AS39" s="201">
        <f>idp_SP1[[#This Row],[sp1_idp_target_joint]]+ndp_SP1[[#This Row],[sp1_ndp_target_joint]]</f>
        <v>0</v>
      </c>
      <c r="AT39" s="57">
        <v>0</v>
      </c>
      <c r="AU39" s="51">
        <v>0</v>
      </c>
      <c r="AV39" s="51">
        <v>0</v>
      </c>
      <c r="AW39" s="51">
        <v>0</v>
      </c>
      <c r="AX39" s="51">
        <v>0</v>
      </c>
      <c r="AY39" s="51">
        <v>0</v>
      </c>
      <c r="AZ39" s="51">
        <v>0</v>
      </c>
      <c r="BA39" s="51">
        <v>0</v>
      </c>
      <c r="BB39" s="51">
        <v>0</v>
      </c>
      <c r="BC39" s="51">
        <v>0</v>
      </c>
      <c r="BD39" s="51">
        <v>0</v>
      </c>
      <c r="BE39" s="51">
        <v>0</v>
      </c>
      <c r="BF39" s="201">
        <v>0</v>
      </c>
    </row>
    <row r="40" spans="1:58" ht="14.25" x14ac:dyDescent="0.45">
      <c r="A40" t="s">
        <v>316</v>
      </c>
      <c r="B40" t="s">
        <v>317</v>
      </c>
      <c r="C40" t="s">
        <v>322</v>
      </c>
      <c r="D40" t="s">
        <v>196</v>
      </c>
      <c r="E40" t="s">
        <v>323</v>
      </c>
      <c r="F40" s="10">
        <v>133606</v>
      </c>
      <c r="G40" s="8">
        <v>511154.6862745079</v>
      </c>
      <c r="H40" s="8">
        <v>644760.6862745079</v>
      </c>
      <c r="I40" s="10">
        <f>idp_SP1[[#This Row],[sp1_idp_pin_ed]]+ndp_SP1[[#This Row],[sp1_ndp_pin_ed]]</f>
        <v>50087</v>
      </c>
      <c r="J40" s="8">
        <f>idp_SP1[[#This Row],[sp1_idp_pin_fl]]+ndp_SP1[[#This Row],[sp1_ndp_pin_fl]]</f>
        <v>135269</v>
      </c>
      <c r="K40" s="8">
        <f>idp_SP1[[#This Row],[sp1_idp_pin_he]]+ndp_SP1[[#This Row],[sp1_ndp_pin_he]]</f>
        <v>500189</v>
      </c>
      <c r="L40" s="8">
        <f>idp_SP1[[#This Row],[sp1_idp_pin_pr]]+ndp_SP1[[#This Row],[sp1_ndp_pin_pr]]</f>
        <v>460755</v>
      </c>
      <c r="M40" s="8">
        <f>idp_SP1[[#This Row],[sp1_idp_pin_sn]]+ndp_SP1[[#This Row],[sp1_ndp_pin_sn]]</f>
        <v>332916</v>
      </c>
      <c r="N40" s="8">
        <f>idp_SP1[[#This Row],[sp1_idp_pin_wa]]+ndp_SP1[[#This Row],[sp1_ndp_pin_wa]]</f>
        <v>573837</v>
      </c>
      <c r="O40" s="8">
        <f>idp_SP1[[#This Row],[sp1_idp_pin_gp]]+ndp_SP1[[#This Row],[sp1_ndp_pin_gp]]</f>
        <v>460755</v>
      </c>
      <c r="P40" s="8">
        <f>idp_SP1[[#This Row],[sp1_idp_pin_cp]]+ndp_SP1[[#This Row],[sp1_ndp_pin_cp]]</f>
        <v>198748</v>
      </c>
      <c r="Q40" s="8">
        <f>idp_SP1[[#This Row],[sp1_idp_pin_gb]]+ndp_SP1[[#This Row],[sp1_ndp_pin_gb]]</f>
        <v>152560</v>
      </c>
      <c r="R40" s="8">
        <f>idp_SP1[[#This Row],[sp1_idp_pin_fs]]+ndp_SP1[[#This Row],[sp1_ndp_pin_fs]]</f>
        <v>135269</v>
      </c>
      <c r="S40" s="8">
        <f>idp_SP1[[#This Row],[sp1_idp_pin_li]]+ndp_SP1[[#This Row],[sp1_ndp_pin_li]]</f>
        <v>0</v>
      </c>
      <c r="T40" s="8">
        <f>idp_SP1[[#This Row],[sp1_idp_pin_adopted]]+ndp_SP1[[#This Row],[sp1_ndp_pin_adopted]]</f>
        <v>573837</v>
      </c>
      <c r="U40" s="137">
        <v>4</v>
      </c>
      <c r="V40" s="52">
        <v>4</v>
      </c>
      <c r="W40" s="52">
        <v>4</v>
      </c>
      <c r="X40" s="52">
        <f>MAX(idp_SP1[[#This Row],[sp1_idp_sev_pr]],ndp_SP1[[#This Row],[sp1_ndp_sev_pr]])</f>
        <v>4</v>
      </c>
      <c r="Y40" s="52">
        <v>4</v>
      </c>
      <c r="Z40" s="52">
        <v>4</v>
      </c>
      <c r="AA40" s="52">
        <v>4</v>
      </c>
      <c r="AB40" s="52">
        <v>4</v>
      </c>
      <c r="AC40" s="52">
        <v>4</v>
      </c>
      <c r="AD40" s="52">
        <v>4</v>
      </c>
      <c r="AE40" s="52">
        <v>4</v>
      </c>
      <c r="AF40" s="8">
        <v>4</v>
      </c>
      <c r="AG40" s="54">
        <f>idp_SP1[[#This Row],[sp1_idp_target_ed]]+ndp_SP1[[#This Row],[sp1_ndp_target_ed]]</f>
        <v>45078</v>
      </c>
      <c r="AH40" s="8">
        <f>idp_SP1[[#This Row],[sp1_idp_target_fl]]+ndp_SP1[[#This Row],[sp1_ndp_target_fl]]</f>
        <v>135269</v>
      </c>
      <c r="AI40" s="8">
        <f>idp_SP1[[#This Row],[sp1_idp_target_he]]+ndp_SP1[[#This Row],[sp1_ndp_target_he]]</f>
        <v>152680</v>
      </c>
      <c r="AJ40" s="8">
        <f>idp_SP1[[#This Row],[sp1_idp_target_pr]]+ndp_SP1[[#This Row],[sp1_ndp_target_pr]]</f>
        <v>206451</v>
      </c>
      <c r="AK40" s="8">
        <f>idp_SP1[[#This Row],[sp1_idp_target_sn]]+ndp_SP1[[#This Row],[sp1_ndp_target_sn]]</f>
        <v>145446</v>
      </c>
      <c r="AL40" s="8">
        <f>idp_SP1[[#This Row],[sp1_idp_target_wa]]+ndp_SP1[[#This Row],[sp1_ndp_target_wa]]</f>
        <v>573837</v>
      </c>
      <c r="AM40" s="8">
        <f>idp_SP1[[#This Row],[sp1_idp_target_gp]]+ndp_SP1[[#This Row],[sp1_ndp_target_gp]]</f>
        <v>206451</v>
      </c>
      <c r="AN40" s="8">
        <f>idp_SP1[[#This Row],[sp1_idp_target_cp]]+ndp_SP1[[#This Row],[sp1_ndp_target_cp]]</f>
        <v>157784</v>
      </c>
      <c r="AO40" s="8">
        <f>idp_SP1[[#This Row],[sp1_idp_target_gb]]+ndp_SP1[[#This Row],[sp1_ndp_target_gb]]</f>
        <v>76280</v>
      </c>
      <c r="AP40" s="8">
        <f>idp_SP1[[#This Row],[sp1_idp_target_fs]]+ndp_SP1[[#This Row],[sp1_ndp_target_fs]]</f>
        <v>135269</v>
      </c>
      <c r="AQ40" s="8">
        <f>idp_SP1[[#This Row],[sp1_idp_target_li]]+ndp_SP1[[#This Row],[sp1_ndp_target_li]]</f>
        <v>0</v>
      </c>
      <c r="AR40" s="8">
        <f>idp_SP1[[#This Row],[sp1_idp_target_cw]]+ndp_SP1[[#This Row],[sp1_ndp_target_cw]]</f>
        <v>91412</v>
      </c>
      <c r="AS40" s="202">
        <f>idp_SP1[[#This Row],[sp1_idp_target_joint]]+ndp_SP1[[#This Row],[sp1_ndp_target_joint]]</f>
        <v>573837</v>
      </c>
      <c r="AT40" s="54">
        <v>45078</v>
      </c>
      <c r="AU40" s="8">
        <v>135269</v>
      </c>
      <c r="AV40" s="8">
        <v>107243</v>
      </c>
      <c r="AW40" s="8">
        <v>206451</v>
      </c>
      <c r="AX40" s="8">
        <v>145446</v>
      </c>
      <c r="AY40" s="8">
        <v>573837</v>
      </c>
      <c r="AZ40" s="8">
        <v>206451</v>
      </c>
      <c r="BA40" s="8">
        <v>157784</v>
      </c>
      <c r="BB40" s="8">
        <v>76280</v>
      </c>
      <c r="BC40" s="8">
        <v>135269</v>
      </c>
      <c r="BD40" s="8">
        <v>0</v>
      </c>
      <c r="BE40" s="8">
        <v>91412</v>
      </c>
      <c r="BF40" s="202">
        <v>573837</v>
      </c>
    </row>
    <row r="41" spans="1:58" ht="14.25" x14ac:dyDescent="0.45">
      <c r="A41" t="s">
        <v>324</v>
      </c>
      <c r="B41" t="s">
        <v>325</v>
      </c>
      <c r="C41" t="s">
        <v>326</v>
      </c>
      <c r="D41" t="s">
        <v>193</v>
      </c>
      <c r="E41" t="s">
        <v>327</v>
      </c>
      <c r="F41" s="10">
        <v>5315</v>
      </c>
      <c r="G41" s="8">
        <v>18255</v>
      </c>
      <c r="H41" s="8">
        <v>23570</v>
      </c>
      <c r="I41" s="10">
        <f>idp_SP1[[#This Row],[sp1_idp_pin_ed]]+ndp_SP1[[#This Row],[sp1_ndp_pin_ed]]</f>
        <v>2387</v>
      </c>
      <c r="J41" s="8">
        <f>idp_SP1[[#This Row],[sp1_idp_pin_fl]]+ndp_SP1[[#This Row],[sp1_ndp_pin_fl]]</f>
        <v>7812</v>
      </c>
      <c r="K41" s="8">
        <f>idp_SP1[[#This Row],[sp1_idp_pin_he]]+ndp_SP1[[#This Row],[sp1_ndp_pin_he]]</f>
        <v>18285</v>
      </c>
      <c r="L41" s="8">
        <f>idp_SP1[[#This Row],[sp1_idp_pin_pr]]+ndp_SP1[[#This Row],[sp1_ndp_pin_pr]]</f>
        <v>21638</v>
      </c>
      <c r="M41" s="8">
        <f>idp_SP1[[#This Row],[sp1_idp_pin_sn]]+ndp_SP1[[#This Row],[sp1_ndp_pin_sn]]</f>
        <v>22627</v>
      </c>
      <c r="N41" s="8">
        <f>idp_SP1[[#This Row],[sp1_idp_pin_wa]]+ndp_SP1[[#This Row],[sp1_ndp_pin_wa]]</f>
        <v>20624</v>
      </c>
      <c r="O41" s="8">
        <f>idp_SP1[[#This Row],[sp1_idp_pin_gp]]+ndp_SP1[[#This Row],[sp1_ndp_pin_gp]]</f>
        <v>21638</v>
      </c>
      <c r="P41" s="8">
        <f>idp_SP1[[#This Row],[sp1_idp_pin_cp]]+ndp_SP1[[#This Row],[sp1_ndp_pin_cp]]</f>
        <v>7267</v>
      </c>
      <c r="Q41" s="8">
        <f>idp_SP1[[#This Row],[sp1_idp_pin_gb]]+ndp_SP1[[#This Row],[sp1_ndp_pin_gb]]</f>
        <v>11880</v>
      </c>
      <c r="R41" s="8">
        <f>idp_SP1[[#This Row],[sp1_idp_pin_fs]]+ndp_SP1[[#This Row],[sp1_ndp_pin_fs]]</f>
        <v>7812</v>
      </c>
      <c r="S41" s="8">
        <f>idp_SP1[[#This Row],[sp1_idp_pin_li]]+ndp_SP1[[#This Row],[sp1_ndp_pin_li]]</f>
        <v>0</v>
      </c>
      <c r="T41" s="8">
        <f>idp_SP1[[#This Row],[sp1_idp_pin_adopted]]+ndp_SP1[[#This Row],[sp1_ndp_pin_adopted]]</f>
        <v>22627</v>
      </c>
      <c r="U41" s="137">
        <v>5</v>
      </c>
      <c r="V41" s="52">
        <v>4</v>
      </c>
      <c r="W41" s="52">
        <v>4</v>
      </c>
      <c r="X41" s="52">
        <f>MAX(idp_SP1[[#This Row],[sp1_idp_sev_pr]],ndp_SP1[[#This Row],[sp1_ndp_sev_pr]])</f>
        <v>5</v>
      </c>
      <c r="Y41" s="52">
        <v>5</v>
      </c>
      <c r="Z41" s="52">
        <v>5</v>
      </c>
      <c r="AA41" s="52">
        <v>5</v>
      </c>
      <c r="AB41" s="52">
        <v>5</v>
      </c>
      <c r="AC41" s="52">
        <v>5</v>
      </c>
      <c r="AD41" s="52">
        <v>4</v>
      </c>
      <c r="AE41" s="52">
        <v>4</v>
      </c>
      <c r="AF41" s="8">
        <v>5</v>
      </c>
      <c r="AG41" s="54">
        <f>idp_SP1[[#This Row],[sp1_idp_target_ed]]+ndp_SP1[[#This Row],[sp1_ndp_target_ed]]</f>
        <v>2148</v>
      </c>
      <c r="AH41" s="8">
        <f>idp_SP1[[#This Row],[sp1_idp_target_fl]]+ndp_SP1[[#This Row],[sp1_ndp_target_fl]]</f>
        <v>7812</v>
      </c>
      <c r="AI41" s="8">
        <f>idp_SP1[[#This Row],[sp1_idp_target_he]]+ndp_SP1[[#This Row],[sp1_ndp_target_he]]</f>
        <v>10814</v>
      </c>
      <c r="AJ41" s="8">
        <f>idp_SP1[[#This Row],[sp1_idp_target_pr]]+ndp_SP1[[#This Row],[sp1_ndp_target_pr]]</f>
        <v>9274</v>
      </c>
      <c r="AK41" s="8">
        <f>idp_SP1[[#This Row],[sp1_idp_target_sn]]+ndp_SP1[[#This Row],[sp1_ndp_target_sn]]</f>
        <v>13554</v>
      </c>
      <c r="AL41" s="8">
        <f>idp_SP1[[#This Row],[sp1_idp_target_wa]]+ndp_SP1[[#This Row],[sp1_ndp_target_wa]]</f>
        <v>20624</v>
      </c>
      <c r="AM41" s="8">
        <f>idp_SP1[[#This Row],[sp1_idp_target_gp]]+ndp_SP1[[#This Row],[sp1_ndp_target_gp]]</f>
        <v>9274</v>
      </c>
      <c r="AN41" s="8">
        <f>idp_SP1[[#This Row],[sp1_idp_target_cp]]+ndp_SP1[[#This Row],[sp1_ndp_target_cp]]</f>
        <v>5791</v>
      </c>
      <c r="AO41" s="8">
        <f>idp_SP1[[#This Row],[sp1_idp_target_gb]]+ndp_SP1[[#This Row],[sp1_ndp_target_gb]]</f>
        <v>594</v>
      </c>
      <c r="AP41" s="8">
        <f>idp_SP1[[#This Row],[sp1_idp_target_fs]]+ndp_SP1[[#This Row],[sp1_ndp_target_fs]]</f>
        <v>7812</v>
      </c>
      <c r="AQ41" s="8">
        <f>idp_SP1[[#This Row],[sp1_idp_target_li]]+ndp_SP1[[#This Row],[sp1_ndp_target_li]]</f>
        <v>0</v>
      </c>
      <c r="AR41" s="8">
        <f>idp_SP1[[#This Row],[sp1_idp_target_cw]]+ndp_SP1[[#This Row],[sp1_ndp_target_cw]]</f>
        <v>19796</v>
      </c>
      <c r="AS41" s="202">
        <f>idp_SP1[[#This Row],[sp1_idp_target_joint]]+ndp_SP1[[#This Row],[sp1_ndp_target_joint]]</f>
        <v>22176</v>
      </c>
      <c r="AT41" s="54">
        <v>2148</v>
      </c>
      <c r="AU41" s="8">
        <v>7812</v>
      </c>
      <c r="AV41" s="8">
        <v>10814</v>
      </c>
      <c r="AW41" s="8">
        <v>9274</v>
      </c>
      <c r="AX41" s="8">
        <v>13554</v>
      </c>
      <c r="AY41" s="8">
        <v>20624</v>
      </c>
      <c r="AZ41" s="8">
        <v>9274</v>
      </c>
      <c r="BA41" s="8">
        <v>5791</v>
      </c>
      <c r="BB41" s="8">
        <v>594</v>
      </c>
      <c r="BC41" s="8">
        <v>7812</v>
      </c>
      <c r="BD41" s="8">
        <v>0</v>
      </c>
      <c r="BE41" s="8">
        <v>19796</v>
      </c>
      <c r="BF41" s="202">
        <v>22176</v>
      </c>
    </row>
    <row r="42" spans="1:58" ht="14.25" x14ac:dyDescent="0.45">
      <c r="A42" t="s">
        <v>324</v>
      </c>
      <c r="B42" t="s">
        <v>325</v>
      </c>
      <c r="C42" t="s">
        <v>254</v>
      </c>
      <c r="D42" t="s">
        <v>196</v>
      </c>
      <c r="E42" t="s">
        <v>328</v>
      </c>
      <c r="F42" s="10">
        <v>1930</v>
      </c>
      <c r="G42" s="8">
        <v>3343.7298994067223</v>
      </c>
      <c r="H42" s="8">
        <v>5273.7298994067223</v>
      </c>
      <c r="I42" s="10">
        <f>idp_SP1[[#This Row],[sp1_idp_pin_ed]]+ndp_SP1[[#This Row],[sp1_ndp_pin_ed]]</f>
        <v>455</v>
      </c>
      <c r="J42" s="8">
        <f>idp_SP1[[#This Row],[sp1_idp_pin_fl]]+ndp_SP1[[#This Row],[sp1_ndp_pin_fl]]</f>
        <v>1732</v>
      </c>
      <c r="K42" s="8">
        <f>idp_SP1[[#This Row],[sp1_idp_pin_he]]+ndp_SP1[[#This Row],[sp1_ndp_pin_he]]</f>
        <v>4091</v>
      </c>
      <c r="L42" s="8">
        <f>idp_SP1[[#This Row],[sp1_idp_pin_pr]]+ndp_SP1[[#This Row],[sp1_ndp_pin_pr]]</f>
        <v>4746</v>
      </c>
      <c r="M42" s="8">
        <f>idp_SP1[[#This Row],[sp1_idp_pin_sn]]+ndp_SP1[[#This Row],[sp1_ndp_pin_sn]]</f>
        <v>4235</v>
      </c>
      <c r="N42" s="8">
        <f>idp_SP1[[#This Row],[sp1_idp_pin_wa]]+ndp_SP1[[#This Row],[sp1_ndp_pin_wa]]</f>
        <v>4394</v>
      </c>
      <c r="O42" s="8">
        <f>idp_SP1[[#This Row],[sp1_idp_pin_gp]]+ndp_SP1[[#This Row],[sp1_ndp_pin_gp]]</f>
        <v>4746</v>
      </c>
      <c r="P42" s="8">
        <f>idp_SP1[[#This Row],[sp1_idp_pin_cp]]+ndp_SP1[[#This Row],[sp1_ndp_pin_cp]]</f>
        <v>1543</v>
      </c>
      <c r="Q42" s="8">
        <f>idp_SP1[[#This Row],[sp1_idp_pin_gb]]+ndp_SP1[[#This Row],[sp1_ndp_pin_gb]]</f>
        <v>2068</v>
      </c>
      <c r="R42" s="8">
        <f>idp_SP1[[#This Row],[sp1_idp_pin_fs]]+ndp_SP1[[#This Row],[sp1_ndp_pin_fs]]</f>
        <v>1732</v>
      </c>
      <c r="S42" s="8">
        <f>idp_SP1[[#This Row],[sp1_idp_pin_li]]+ndp_SP1[[#This Row],[sp1_ndp_pin_li]]</f>
        <v>0</v>
      </c>
      <c r="T42" s="8">
        <f>idp_SP1[[#This Row],[sp1_idp_pin_adopted]]+ndp_SP1[[#This Row],[sp1_ndp_pin_adopted]]</f>
        <v>4746</v>
      </c>
      <c r="U42" s="137">
        <v>4</v>
      </c>
      <c r="V42" s="52">
        <v>4</v>
      </c>
      <c r="W42" s="52">
        <v>4</v>
      </c>
      <c r="X42" s="52">
        <f>MAX(idp_SP1[[#This Row],[sp1_idp_sev_pr]],ndp_SP1[[#This Row],[sp1_ndp_sev_pr]])</f>
        <v>4</v>
      </c>
      <c r="Y42" s="52">
        <v>4</v>
      </c>
      <c r="Z42" s="52">
        <v>4</v>
      </c>
      <c r="AA42" s="52">
        <v>4</v>
      </c>
      <c r="AB42" s="52">
        <v>4</v>
      </c>
      <c r="AC42" s="52">
        <v>4</v>
      </c>
      <c r="AD42" s="52">
        <v>4</v>
      </c>
      <c r="AE42" s="52">
        <v>4</v>
      </c>
      <c r="AF42" s="8">
        <v>4</v>
      </c>
      <c r="AG42" s="54">
        <f>idp_SP1[[#This Row],[sp1_idp_target_ed]]+ndp_SP1[[#This Row],[sp1_ndp_target_ed]]</f>
        <v>410</v>
      </c>
      <c r="AH42" s="8">
        <f>idp_SP1[[#This Row],[sp1_idp_target_fl]]+ndp_SP1[[#This Row],[sp1_ndp_target_fl]]</f>
        <v>1732</v>
      </c>
      <c r="AI42" s="8">
        <f>idp_SP1[[#This Row],[sp1_idp_target_he]]+ndp_SP1[[#This Row],[sp1_ndp_target_he]]</f>
        <v>2845</v>
      </c>
      <c r="AJ42" s="8">
        <f>idp_SP1[[#This Row],[sp1_idp_target_pr]]+ndp_SP1[[#This Row],[sp1_ndp_target_pr]]</f>
        <v>2356</v>
      </c>
      <c r="AK42" s="8">
        <f>idp_SP1[[#This Row],[sp1_idp_target_sn]]+ndp_SP1[[#This Row],[sp1_ndp_target_sn]]</f>
        <v>2501</v>
      </c>
      <c r="AL42" s="8">
        <f>idp_SP1[[#This Row],[sp1_idp_target_wa]]+ndp_SP1[[#This Row],[sp1_ndp_target_wa]]</f>
        <v>4394</v>
      </c>
      <c r="AM42" s="8">
        <f>idp_SP1[[#This Row],[sp1_idp_target_gp]]+ndp_SP1[[#This Row],[sp1_ndp_target_gp]]</f>
        <v>2356</v>
      </c>
      <c r="AN42" s="8">
        <f>idp_SP1[[#This Row],[sp1_idp_target_cp]]+ndp_SP1[[#This Row],[sp1_ndp_target_cp]]</f>
        <v>1147</v>
      </c>
      <c r="AO42" s="8">
        <f>idp_SP1[[#This Row],[sp1_idp_target_gb]]+ndp_SP1[[#This Row],[sp1_ndp_target_gb]]</f>
        <v>1033</v>
      </c>
      <c r="AP42" s="8">
        <f>idp_SP1[[#This Row],[sp1_idp_target_fs]]+ndp_SP1[[#This Row],[sp1_ndp_target_fs]]</f>
        <v>1732</v>
      </c>
      <c r="AQ42" s="8">
        <f>idp_SP1[[#This Row],[sp1_idp_target_li]]+ndp_SP1[[#This Row],[sp1_ndp_target_li]]</f>
        <v>0</v>
      </c>
      <c r="AR42" s="8">
        <f>idp_SP1[[#This Row],[sp1_idp_target_cw]]+ndp_SP1[[#This Row],[sp1_ndp_target_cw]]</f>
        <v>1119</v>
      </c>
      <c r="AS42" s="202">
        <f>idp_SP1[[#This Row],[sp1_idp_target_joint]]+ndp_SP1[[#This Row],[sp1_ndp_target_joint]]</f>
        <v>4394</v>
      </c>
      <c r="AT42" s="54">
        <v>410</v>
      </c>
      <c r="AU42" s="8">
        <v>1732</v>
      </c>
      <c r="AV42" s="8">
        <v>2845</v>
      </c>
      <c r="AW42" s="8">
        <v>2356</v>
      </c>
      <c r="AX42" s="8">
        <v>2501</v>
      </c>
      <c r="AY42" s="8">
        <v>4394</v>
      </c>
      <c r="AZ42" s="8">
        <v>2356</v>
      </c>
      <c r="BA42" s="8">
        <v>1147</v>
      </c>
      <c r="BB42" s="8">
        <v>1033</v>
      </c>
      <c r="BC42" s="8">
        <v>1732</v>
      </c>
      <c r="BD42" s="8">
        <v>0</v>
      </c>
      <c r="BE42" s="8">
        <v>1119</v>
      </c>
      <c r="BF42" s="202">
        <v>4394</v>
      </c>
    </row>
    <row r="43" spans="1:58" ht="14.25" x14ac:dyDescent="0.45">
      <c r="A43" t="s">
        <v>324</v>
      </c>
      <c r="B43" t="s">
        <v>325</v>
      </c>
      <c r="C43" t="s">
        <v>256</v>
      </c>
      <c r="D43" t="s">
        <v>199</v>
      </c>
      <c r="E43" t="s">
        <v>329</v>
      </c>
      <c r="F43" s="22">
        <v>0</v>
      </c>
      <c r="G43" s="23">
        <v>0</v>
      </c>
      <c r="H43" s="23"/>
      <c r="I43" s="55">
        <f>idp_SP1[[#This Row],[sp1_idp_pin_ed]]+ndp_SP1[[#This Row],[sp1_ndp_pin_ed]]</f>
        <v>0</v>
      </c>
      <c r="J43" s="51">
        <f>idp_SP1[[#This Row],[sp1_idp_pin_fl]]+ndp_SP1[[#This Row],[sp1_ndp_pin_fl]]</f>
        <v>0</v>
      </c>
      <c r="K43" s="51">
        <f>idp_SP1[[#This Row],[sp1_idp_pin_he]]+ndp_SP1[[#This Row],[sp1_ndp_pin_he]]</f>
        <v>0</v>
      </c>
      <c r="L43" s="51">
        <f>idp_SP1[[#This Row],[sp1_idp_pin_pr]]+ndp_SP1[[#This Row],[sp1_ndp_pin_pr]]</f>
        <v>0</v>
      </c>
      <c r="M43" s="51">
        <f>idp_SP1[[#This Row],[sp1_idp_pin_sn]]+ndp_SP1[[#This Row],[sp1_ndp_pin_sn]]</f>
        <v>0</v>
      </c>
      <c r="N43" s="51">
        <f>idp_SP1[[#This Row],[sp1_idp_pin_wa]]+ndp_SP1[[#This Row],[sp1_ndp_pin_wa]]</f>
        <v>0</v>
      </c>
      <c r="O43" s="51">
        <f>idp_SP1[[#This Row],[sp1_idp_pin_gp]]+ndp_SP1[[#This Row],[sp1_ndp_pin_gp]]</f>
        <v>0</v>
      </c>
      <c r="P43" s="51">
        <f>idp_SP1[[#This Row],[sp1_idp_pin_cp]]+ndp_SP1[[#This Row],[sp1_ndp_pin_cp]]</f>
        <v>0</v>
      </c>
      <c r="Q43" s="51">
        <f>idp_SP1[[#This Row],[sp1_idp_pin_gb]]+ndp_SP1[[#This Row],[sp1_ndp_pin_gb]]</f>
        <v>0</v>
      </c>
      <c r="R43" s="51">
        <f>idp_SP1[[#This Row],[sp1_idp_pin_fs]]+ndp_SP1[[#This Row],[sp1_ndp_pin_fs]]</f>
        <v>0</v>
      </c>
      <c r="S43" s="51">
        <f>idp_SP1[[#This Row],[sp1_idp_pin_li]]+ndp_SP1[[#This Row],[sp1_ndp_pin_li]]</f>
        <v>0</v>
      </c>
      <c r="T43" s="51">
        <f>idp_SP1[[#This Row],[sp1_idp_pin_adopted]]+ndp_SP1[[#This Row],[sp1_ndp_pin_adopted]]</f>
        <v>0</v>
      </c>
      <c r="U43" s="55"/>
      <c r="V43" s="51"/>
      <c r="W43" s="51"/>
      <c r="X43" s="51">
        <f>MAX(idp_SP1[[#This Row],[sp1_idp_sev_pr]],ndp_SP1[[#This Row],[sp1_ndp_sev_pr]])</f>
        <v>0</v>
      </c>
      <c r="Y43" s="51">
        <v>0</v>
      </c>
      <c r="Z43" s="51"/>
      <c r="AA43" s="51"/>
      <c r="AB43" s="51"/>
      <c r="AC43" s="51"/>
      <c r="AD43" s="51"/>
      <c r="AE43" s="51"/>
      <c r="AF43" s="51"/>
      <c r="AG43" s="57">
        <f>idp_SP1[[#This Row],[sp1_idp_target_ed]]+ndp_SP1[[#This Row],[sp1_ndp_target_ed]]</f>
        <v>0</v>
      </c>
      <c r="AH43" s="51">
        <f>idp_SP1[[#This Row],[sp1_idp_target_fl]]+ndp_SP1[[#This Row],[sp1_ndp_target_fl]]</f>
        <v>0</v>
      </c>
      <c r="AI43" s="51">
        <f>idp_SP1[[#This Row],[sp1_idp_target_he]]+ndp_SP1[[#This Row],[sp1_ndp_target_he]]</f>
        <v>0</v>
      </c>
      <c r="AJ43" s="51">
        <f>idp_SP1[[#This Row],[sp1_idp_target_pr]]+ndp_SP1[[#This Row],[sp1_ndp_target_pr]]</f>
        <v>0</v>
      </c>
      <c r="AK43" s="51">
        <f>idp_SP1[[#This Row],[sp1_idp_target_sn]]+ndp_SP1[[#This Row],[sp1_ndp_target_sn]]</f>
        <v>0</v>
      </c>
      <c r="AL43" s="51">
        <f>idp_SP1[[#This Row],[sp1_idp_target_wa]]+ndp_SP1[[#This Row],[sp1_ndp_target_wa]]</f>
        <v>0</v>
      </c>
      <c r="AM43" s="51">
        <f>idp_SP1[[#This Row],[sp1_idp_target_gp]]+ndp_SP1[[#This Row],[sp1_ndp_target_gp]]</f>
        <v>0</v>
      </c>
      <c r="AN43" s="51">
        <f>idp_SP1[[#This Row],[sp1_idp_target_cp]]+ndp_SP1[[#This Row],[sp1_ndp_target_cp]]</f>
        <v>0</v>
      </c>
      <c r="AO43" s="51">
        <f>idp_SP1[[#This Row],[sp1_idp_target_gb]]+ndp_SP1[[#This Row],[sp1_ndp_target_gb]]</f>
        <v>0</v>
      </c>
      <c r="AP43" s="51">
        <f>idp_SP1[[#This Row],[sp1_idp_target_fs]]+ndp_SP1[[#This Row],[sp1_ndp_target_fs]]</f>
        <v>0</v>
      </c>
      <c r="AQ43" s="51">
        <f>idp_SP1[[#This Row],[sp1_idp_target_li]]+ndp_SP1[[#This Row],[sp1_ndp_target_li]]</f>
        <v>0</v>
      </c>
      <c r="AR43" s="51">
        <f>idp_SP1[[#This Row],[sp1_idp_target_cw]]+ndp_SP1[[#This Row],[sp1_ndp_target_cw]]</f>
        <v>0</v>
      </c>
      <c r="AS43" s="201">
        <f>idp_SP1[[#This Row],[sp1_idp_target_joint]]+ndp_SP1[[#This Row],[sp1_ndp_target_joint]]</f>
        <v>0</v>
      </c>
      <c r="AT43" s="57">
        <v>0</v>
      </c>
      <c r="AU43" s="51">
        <v>0</v>
      </c>
      <c r="AV43" s="51">
        <v>0</v>
      </c>
      <c r="AW43" s="51">
        <v>0</v>
      </c>
      <c r="AX43" s="51">
        <v>0</v>
      </c>
      <c r="AY43" s="51">
        <v>0</v>
      </c>
      <c r="AZ43" s="51">
        <v>0</v>
      </c>
      <c r="BA43" s="51">
        <v>0</v>
      </c>
      <c r="BB43" s="51">
        <v>0</v>
      </c>
      <c r="BC43" s="51">
        <v>0</v>
      </c>
      <c r="BD43" s="51">
        <v>0</v>
      </c>
      <c r="BE43" s="51">
        <v>0</v>
      </c>
      <c r="BF43" s="201">
        <v>0</v>
      </c>
    </row>
    <row r="44" spans="1:58" ht="14.25" x14ac:dyDescent="0.45">
      <c r="A44" t="s">
        <v>324</v>
      </c>
      <c r="B44" t="s">
        <v>325</v>
      </c>
      <c r="C44" t="s">
        <v>330</v>
      </c>
      <c r="D44" t="s">
        <v>193</v>
      </c>
      <c r="E44" t="s">
        <v>331</v>
      </c>
      <c r="F44" s="10">
        <v>9908</v>
      </c>
      <c r="G44" s="8">
        <v>67022</v>
      </c>
      <c r="H44" s="8">
        <v>76930</v>
      </c>
      <c r="I44" s="10">
        <f>idp_SP1[[#This Row],[sp1_idp_pin_ed]]+ndp_SP1[[#This Row],[sp1_ndp_pin_ed]]</f>
        <v>7476</v>
      </c>
      <c r="J44" s="8">
        <f>idp_SP1[[#This Row],[sp1_idp_pin_fl]]+ndp_SP1[[#This Row],[sp1_ndp_pin_fl]]</f>
        <v>25798</v>
      </c>
      <c r="K44" s="8">
        <f>idp_SP1[[#This Row],[sp1_idp_pin_he]]+ndp_SP1[[#This Row],[sp1_ndp_pin_he]]</f>
        <v>59680</v>
      </c>
      <c r="L44" s="8">
        <f>idp_SP1[[#This Row],[sp1_idp_pin_pr]]+ndp_SP1[[#This Row],[sp1_ndp_pin_pr]]</f>
        <v>66063</v>
      </c>
      <c r="M44" s="8">
        <f>idp_SP1[[#This Row],[sp1_idp_pin_sn]]+ndp_SP1[[#This Row],[sp1_ndp_pin_sn]]</f>
        <v>64522</v>
      </c>
      <c r="N44" s="8">
        <f>idp_SP1[[#This Row],[sp1_idp_pin_wa]]+ndp_SP1[[#This Row],[sp1_ndp_pin_wa]]</f>
        <v>76930</v>
      </c>
      <c r="O44" s="8">
        <f>idp_SP1[[#This Row],[sp1_idp_pin_gp]]+ndp_SP1[[#This Row],[sp1_ndp_pin_gp]]</f>
        <v>66063</v>
      </c>
      <c r="P44" s="8">
        <f>idp_SP1[[#This Row],[sp1_idp_pin_cp]]+ndp_SP1[[#This Row],[sp1_ndp_pin_cp]]</f>
        <v>22479</v>
      </c>
      <c r="Q44" s="8">
        <f>idp_SP1[[#This Row],[sp1_idp_pin_gb]]+ndp_SP1[[#This Row],[sp1_ndp_pin_gb]]</f>
        <v>30157</v>
      </c>
      <c r="R44" s="8">
        <f>idp_SP1[[#This Row],[sp1_idp_pin_fs]]+ndp_SP1[[#This Row],[sp1_ndp_pin_fs]]</f>
        <v>25798</v>
      </c>
      <c r="S44" s="8">
        <f>idp_SP1[[#This Row],[sp1_idp_pin_li]]+ndp_SP1[[#This Row],[sp1_ndp_pin_li]]</f>
        <v>0</v>
      </c>
      <c r="T44" s="8">
        <f>idp_SP1[[#This Row],[sp1_idp_pin_adopted]]+ndp_SP1[[#This Row],[sp1_ndp_pin_adopted]]</f>
        <v>76930</v>
      </c>
      <c r="U44" s="137">
        <v>4</v>
      </c>
      <c r="V44" s="52">
        <v>4</v>
      </c>
      <c r="W44" s="52">
        <v>5</v>
      </c>
      <c r="X44" s="52">
        <f>MAX(idp_SP1[[#This Row],[sp1_idp_sev_pr]],ndp_SP1[[#This Row],[sp1_ndp_sev_pr]])</f>
        <v>5</v>
      </c>
      <c r="Y44" s="52">
        <v>5</v>
      </c>
      <c r="Z44" s="52">
        <v>4</v>
      </c>
      <c r="AA44" s="52">
        <v>5</v>
      </c>
      <c r="AB44" s="52">
        <v>5</v>
      </c>
      <c r="AC44" s="52">
        <v>4</v>
      </c>
      <c r="AD44" s="52">
        <v>4</v>
      </c>
      <c r="AE44" s="52">
        <v>4</v>
      </c>
      <c r="AF44" s="8">
        <v>5</v>
      </c>
      <c r="AG44" s="54">
        <f>idp_SP1[[#This Row],[sp1_idp_target_ed]]+ndp_SP1[[#This Row],[sp1_ndp_target_ed]]</f>
        <v>6728</v>
      </c>
      <c r="AH44" s="8">
        <f>idp_SP1[[#This Row],[sp1_idp_target_fl]]+ndp_SP1[[#This Row],[sp1_ndp_target_fl]]</f>
        <v>25798</v>
      </c>
      <c r="AI44" s="8">
        <f>idp_SP1[[#This Row],[sp1_idp_target_he]]+ndp_SP1[[#This Row],[sp1_ndp_target_he]]</f>
        <v>34170</v>
      </c>
      <c r="AJ44" s="8">
        <f>idp_SP1[[#This Row],[sp1_idp_target_pr]]+ndp_SP1[[#This Row],[sp1_ndp_target_pr]]</f>
        <v>26520</v>
      </c>
      <c r="AK44" s="8">
        <f>idp_SP1[[#This Row],[sp1_idp_target_sn]]+ndp_SP1[[#This Row],[sp1_ndp_target_sn]]</f>
        <v>41403</v>
      </c>
      <c r="AL44" s="8">
        <f>idp_SP1[[#This Row],[sp1_idp_target_wa]]+ndp_SP1[[#This Row],[sp1_ndp_target_wa]]</f>
        <v>76930</v>
      </c>
      <c r="AM44" s="8">
        <f>idp_SP1[[#This Row],[sp1_idp_target_gp]]+ndp_SP1[[#This Row],[sp1_ndp_target_gp]]</f>
        <v>26520</v>
      </c>
      <c r="AN44" s="8">
        <f>idp_SP1[[#This Row],[sp1_idp_target_cp]]+ndp_SP1[[#This Row],[sp1_ndp_target_cp]]</f>
        <v>18861</v>
      </c>
      <c r="AO44" s="8">
        <f>idp_SP1[[#This Row],[sp1_idp_target_gb]]+ndp_SP1[[#This Row],[sp1_ndp_target_gb]]</f>
        <v>1508</v>
      </c>
      <c r="AP44" s="8">
        <f>idp_SP1[[#This Row],[sp1_idp_target_fs]]+ndp_SP1[[#This Row],[sp1_ndp_target_fs]]</f>
        <v>25798</v>
      </c>
      <c r="AQ44" s="8">
        <f>idp_SP1[[#This Row],[sp1_idp_target_li]]+ndp_SP1[[#This Row],[sp1_ndp_target_li]]</f>
        <v>0</v>
      </c>
      <c r="AR44" s="8">
        <f>idp_SP1[[#This Row],[sp1_idp_target_cw]]+ndp_SP1[[#This Row],[sp1_ndp_target_cw]]</f>
        <v>39706</v>
      </c>
      <c r="AS44" s="202">
        <f>idp_SP1[[#This Row],[sp1_idp_target_joint]]+ndp_SP1[[#This Row],[sp1_ndp_target_joint]]</f>
        <v>76930</v>
      </c>
      <c r="AT44" s="54">
        <v>6728</v>
      </c>
      <c r="AU44" s="8">
        <v>25798</v>
      </c>
      <c r="AV44" s="8">
        <v>34170</v>
      </c>
      <c r="AW44" s="8">
        <v>26520</v>
      </c>
      <c r="AX44" s="8">
        <v>41403</v>
      </c>
      <c r="AY44" s="8">
        <v>76930</v>
      </c>
      <c r="AZ44" s="8">
        <v>26520</v>
      </c>
      <c r="BA44" s="8">
        <v>18861</v>
      </c>
      <c r="BB44" s="8">
        <v>1508</v>
      </c>
      <c r="BC44" s="8">
        <v>25798</v>
      </c>
      <c r="BD44" s="8">
        <v>0</v>
      </c>
      <c r="BE44" s="8">
        <v>39706</v>
      </c>
      <c r="BF44" s="202">
        <v>76930</v>
      </c>
    </row>
    <row r="45" spans="1:58" ht="14.25" x14ac:dyDescent="0.45">
      <c r="A45" t="s">
        <v>332</v>
      </c>
      <c r="B45" t="s">
        <v>333</v>
      </c>
      <c r="C45" t="s">
        <v>245</v>
      </c>
      <c r="D45" t="s">
        <v>199</v>
      </c>
      <c r="E45" t="s">
        <v>334</v>
      </c>
      <c r="F45" s="22">
        <v>0</v>
      </c>
      <c r="G45" s="23">
        <v>0</v>
      </c>
      <c r="H45" s="23"/>
      <c r="I45" s="55">
        <f>idp_SP1[[#This Row],[sp1_idp_pin_ed]]+ndp_SP1[[#This Row],[sp1_ndp_pin_ed]]</f>
        <v>0</v>
      </c>
      <c r="J45" s="51">
        <f>idp_SP1[[#This Row],[sp1_idp_pin_fl]]+ndp_SP1[[#This Row],[sp1_ndp_pin_fl]]</f>
        <v>0</v>
      </c>
      <c r="K45" s="51">
        <f>idp_SP1[[#This Row],[sp1_idp_pin_he]]+ndp_SP1[[#This Row],[sp1_ndp_pin_he]]</f>
        <v>0</v>
      </c>
      <c r="L45" s="51">
        <f>idp_SP1[[#This Row],[sp1_idp_pin_pr]]+ndp_SP1[[#This Row],[sp1_ndp_pin_pr]]</f>
        <v>0</v>
      </c>
      <c r="M45" s="51">
        <f>idp_SP1[[#This Row],[sp1_idp_pin_sn]]+ndp_SP1[[#This Row],[sp1_ndp_pin_sn]]</f>
        <v>0</v>
      </c>
      <c r="N45" s="51">
        <f>idp_SP1[[#This Row],[sp1_idp_pin_wa]]+ndp_SP1[[#This Row],[sp1_ndp_pin_wa]]</f>
        <v>0</v>
      </c>
      <c r="O45" s="51">
        <f>idp_SP1[[#This Row],[sp1_idp_pin_gp]]+ndp_SP1[[#This Row],[sp1_ndp_pin_gp]]</f>
        <v>0</v>
      </c>
      <c r="P45" s="51">
        <f>idp_SP1[[#This Row],[sp1_idp_pin_cp]]+ndp_SP1[[#This Row],[sp1_ndp_pin_cp]]</f>
        <v>0</v>
      </c>
      <c r="Q45" s="51">
        <f>idp_SP1[[#This Row],[sp1_idp_pin_gb]]+ndp_SP1[[#This Row],[sp1_ndp_pin_gb]]</f>
        <v>0</v>
      </c>
      <c r="R45" s="51">
        <f>idp_SP1[[#This Row],[sp1_idp_pin_fs]]+ndp_SP1[[#This Row],[sp1_ndp_pin_fs]]</f>
        <v>0</v>
      </c>
      <c r="S45" s="51">
        <f>idp_SP1[[#This Row],[sp1_idp_pin_li]]+ndp_SP1[[#This Row],[sp1_ndp_pin_li]]</f>
        <v>0</v>
      </c>
      <c r="T45" s="51">
        <f>idp_SP1[[#This Row],[sp1_idp_pin_adopted]]+ndp_SP1[[#This Row],[sp1_ndp_pin_adopted]]</f>
        <v>0</v>
      </c>
      <c r="U45" s="55"/>
      <c r="V45" s="51"/>
      <c r="W45" s="51"/>
      <c r="X45" s="51">
        <f>MAX(idp_SP1[[#This Row],[sp1_idp_sev_pr]],ndp_SP1[[#This Row],[sp1_ndp_sev_pr]])</f>
        <v>0</v>
      </c>
      <c r="Y45" s="51">
        <v>0</v>
      </c>
      <c r="Z45" s="51"/>
      <c r="AA45" s="51"/>
      <c r="AB45" s="51"/>
      <c r="AC45" s="51"/>
      <c r="AD45" s="51"/>
      <c r="AE45" s="51"/>
      <c r="AF45" s="51"/>
      <c r="AG45" s="57">
        <f>idp_SP1[[#This Row],[sp1_idp_target_ed]]+ndp_SP1[[#This Row],[sp1_ndp_target_ed]]</f>
        <v>0</v>
      </c>
      <c r="AH45" s="51">
        <f>idp_SP1[[#This Row],[sp1_idp_target_fl]]+ndp_SP1[[#This Row],[sp1_ndp_target_fl]]</f>
        <v>0</v>
      </c>
      <c r="AI45" s="51">
        <f>idp_SP1[[#This Row],[sp1_idp_target_he]]+ndp_SP1[[#This Row],[sp1_ndp_target_he]]</f>
        <v>0</v>
      </c>
      <c r="AJ45" s="51">
        <f>idp_SP1[[#This Row],[sp1_idp_target_pr]]+ndp_SP1[[#This Row],[sp1_ndp_target_pr]]</f>
        <v>0</v>
      </c>
      <c r="AK45" s="51">
        <f>idp_SP1[[#This Row],[sp1_idp_target_sn]]+ndp_SP1[[#This Row],[sp1_ndp_target_sn]]</f>
        <v>0</v>
      </c>
      <c r="AL45" s="51">
        <f>idp_SP1[[#This Row],[sp1_idp_target_wa]]+ndp_SP1[[#This Row],[sp1_ndp_target_wa]]</f>
        <v>0</v>
      </c>
      <c r="AM45" s="51">
        <f>idp_SP1[[#This Row],[sp1_idp_target_gp]]+ndp_SP1[[#This Row],[sp1_ndp_target_gp]]</f>
        <v>0</v>
      </c>
      <c r="AN45" s="51">
        <f>idp_SP1[[#This Row],[sp1_idp_target_cp]]+ndp_SP1[[#This Row],[sp1_ndp_target_cp]]</f>
        <v>0</v>
      </c>
      <c r="AO45" s="51">
        <f>idp_SP1[[#This Row],[sp1_idp_target_gb]]+ndp_SP1[[#This Row],[sp1_ndp_target_gb]]</f>
        <v>0</v>
      </c>
      <c r="AP45" s="51">
        <f>idp_SP1[[#This Row],[sp1_idp_target_fs]]+ndp_SP1[[#This Row],[sp1_ndp_target_fs]]</f>
        <v>0</v>
      </c>
      <c r="AQ45" s="51">
        <f>idp_SP1[[#This Row],[sp1_idp_target_li]]+ndp_SP1[[#This Row],[sp1_ndp_target_li]]</f>
        <v>0</v>
      </c>
      <c r="AR45" s="51">
        <f>idp_SP1[[#This Row],[sp1_idp_target_cw]]+ndp_SP1[[#This Row],[sp1_ndp_target_cw]]</f>
        <v>0</v>
      </c>
      <c r="AS45" s="201">
        <f>idp_SP1[[#This Row],[sp1_idp_target_joint]]+ndp_SP1[[#This Row],[sp1_ndp_target_joint]]</f>
        <v>0</v>
      </c>
      <c r="AT45" s="57">
        <v>0</v>
      </c>
      <c r="AU45" s="51">
        <v>0</v>
      </c>
      <c r="AV45" s="51">
        <v>0</v>
      </c>
      <c r="AW45" s="51">
        <v>0</v>
      </c>
      <c r="AX45" s="51">
        <v>0</v>
      </c>
      <c r="AY45" s="51">
        <v>0</v>
      </c>
      <c r="AZ45" s="51">
        <v>0</v>
      </c>
      <c r="BA45" s="51">
        <v>0</v>
      </c>
      <c r="BB45" s="51">
        <v>0</v>
      </c>
      <c r="BC45" s="51">
        <v>0</v>
      </c>
      <c r="BD45" s="51">
        <v>0</v>
      </c>
      <c r="BE45" s="51">
        <v>0</v>
      </c>
      <c r="BF45" s="201">
        <v>0</v>
      </c>
    </row>
    <row r="46" spans="1:58" ht="14.25" x14ac:dyDescent="0.45">
      <c r="A46" t="s">
        <v>335</v>
      </c>
      <c r="B46" t="s">
        <v>336</v>
      </c>
      <c r="C46" t="s">
        <v>245</v>
      </c>
      <c r="D46" t="s">
        <v>199</v>
      </c>
      <c r="E46" t="s">
        <v>337</v>
      </c>
      <c r="F46" s="22">
        <v>0</v>
      </c>
      <c r="G46" s="23">
        <v>0</v>
      </c>
      <c r="H46" s="23"/>
      <c r="I46" s="55">
        <f>idp_SP1[[#This Row],[sp1_idp_pin_ed]]+ndp_SP1[[#This Row],[sp1_ndp_pin_ed]]</f>
        <v>0</v>
      </c>
      <c r="J46" s="51">
        <f>idp_SP1[[#This Row],[sp1_idp_pin_fl]]+ndp_SP1[[#This Row],[sp1_ndp_pin_fl]]</f>
        <v>0</v>
      </c>
      <c r="K46" s="51">
        <f>idp_SP1[[#This Row],[sp1_idp_pin_he]]+ndp_SP1[[#This Row],[sp1_ndp_pin_he]]</f>
        <v>0</v>
      </c>
      <c r="L46" s="51">
        <f>idp_SP1[[#This Row],[sp1_idp_pin_pr]]+ndp_SP1[[#This Row],[sp1_ndp_pin_pr]]</f>
        <v>0</v>
      </c>
      <c r="M46" s="51">
        <f>idp_SP1[[#This Row],[sp1_idp_pin_sn]]+ndp_SP1[[#This Row],[sp1_ndp_pin_sn]]</f>
        <v>0</v>
      </c>
      <c r="N46" s="51">
        <f>idp_SP1[[#This Row],[sp1_idp_pin_wa]]+ndp_SP1[[#This Row],[sp1_ndp_pin_wa]]</f>
        <v>0</v>
      </c>
      <c r="O46" s="51">
        <f>idp_SP1[[#This Row],[sp1_idp_pin_gp]]+ndp_SP1[[#This Row],[sp1_ndp_pin_gp]]</f>
        <v>0</v>
      </c>
      <c r="P46" s="51">
        <f>idp_SP1[[#This Row],[sp1_idp_pin_cp]]+ndp_SP1[[#This Row],[sp1_ndp_pin_cp]]</f>
        <v>0</v>
      </c>
      <c r="Q46" s="51">
        <f>idp_SP1[[#This Row],[sp1_idp_pin_gb]]+ndp_SP1[[#This Row],[sp1_ndp_pin_gb]]</f>
        <v>0</v>
      </c>
      <c r="R46" s="51">
        <f>idp_SP1[[#This Row],[sp1_idp_pin_fs]]+ndp_SP1[[#This Row],[sp1_ndp_pin_fs]]</f>
        <v>0</v>
      </c>
      <c r="S46" s="51">
        <f>idp_SP1[[#This Row],[sp1_idp_pin_li]]+ndp_SP1[[#This Row],[sp1_ndp_pin_li]]</f>
        <v>0</v>
      </c>
      <c r="T46" s="51">
        <f>idp_SP1[[#This Row],[sp1_idp_pin_adopted]]+ndp_SP1[[#This Row],[sp1_ndp_pin_adopted]]</f>
        <v>0</v>
      </c>
      <c r="U46" s="55"/>
      <c r="V46" s="51"/>
      <c r="W46" s="51"/>
      <c r="X46" s="51">
        <f>MAX(idp_SP1[[#This Row],[sp1_idp_sev_pr]],ndp_SP1[[#This Row],[sp1_ndp_sev_pr]])</f>
        <v>0</v>
      </c>
      <c r="Y46" s="51">
        <v>0</v>
      </c>
      <c r="Z46" s="51"/>
      <c r="AA46" s="51"/>
      <c r="AB46" s="51"/>
      <c r="AC46" s="51"/>
      <c r="AD46" s="51"/>
      <c r="AE46" s="51"/>
      <c r="AF46" s="51"/>
      <c r="AG46" s="57">
        <f>idp_SP1[[#This Row],[sp1_idp_target_ed]]+ndp_SP1[[#This Row],[sp1_ndp_target_ed]]</f>
        <v>0</v>
      </c>
      <c r="AH46" s="51">
        <f>idp_SP1[[#This Row],[sp1_idp_target_fl]]+ndp_SP1[[#This Row],[sp1_ndp_target_fl]]</f>
        <v>0</v>
      </c>
      <c r="AI46" s="51">
        <f>idp_SP1[[#This Row],[sp1_idp_target_he]]+ndp_SP1[[#This Row],[sp1_ndp_target_he]]</f>
        <v>0</v>
      </c>
      <c r="AJ46" s="51">
        <f>idp_SP1[[#This Row],[sp1_idp_target_pr]]+ndp_SP1[[#This Row],[sp1_ndp_target_pr]]</f>
        <v>0</v>
      </c>
      <c r="AK46" s="51">
        <f>idp_SP1[[#This Row],[sp1_idp_target_sn]]+ndp_SP1[[#This Row],[sp1_ndp_target_sn]]</f>
        <v>0</v>
      </c>
      <c r="AL46" s="51">
        <f>idp_SP1[[#This Row],[sp1_idp_target_wa]]+ndp_SP1[[#This Row],[sp1_ndp_target_wa]]</f>
        <v>0</v>
      </c>
      <c r="AM46" s="51">
        <f>idp_SP1[[#This Row],[sp1_idp_target_gp]]+ndp_SP1[[#This Row],[sp1_ndp_target_gp]]</f>
        <v>0</v>
      </c>
      <c r="AN46" s="51">
        <f>idp_SP1[[#This Row],[sp1_idp_target_cp]]+ndp_SP1[[#This Row],[sp1_ndp_target_cp]]</f>
        <v>0</v>
      </c>
      <c r="AO46" s="51">
        <f>idp_SP1[[#This Row],[sp1_idp_target_gb]]+ndp_SP1[[#This Row],[sp1_ndp_target_gb]]</f>
        <v>0</v>
      </c>
      <c r="AP46" s="51">
        <f>idp_SP1[[#This Row],[sp1_idp_target_fs]]+ndp_SP1[[#This Row],[sp1_ndp_target_fs]]</f>
        <v>0</v>
      </c>
      <c r="AQ46" s="51">
        <f>idp_SP1[[#This Row],[sp1_idp_target_li]]+ndp_SP1[[#This Row],[sp1_ndp_target_li]]</f>
        <v>0</v>
      </c>
      <c r="AR46" s="51">
        <f>idp_SP1[[#This Row],[sp1_idp_target_cw]]+ndp_SP1[[#This Row],[sp1_ndp_target_cw]]</f>
        <v>0</v>
      </c>
      <c r="AS46" s="201">
        <f>idp_SP1[[#This Row],[sp1_idp_target_joint]]+ndp_SP1[[#This Row],[sp1_ndp_target_joint]]</f>
        <v>0</v>
      </c>
      <c r="AT46" s="57">
        <v>0</v>
      </c>
      <c r="AU46" s="51">
        <v>0</v>
      </c>
      <c r="AV46" s="51">
        <v>0</v>
      </c>
      <c r="AW46" s="51">
        <v>0</v>
      </c>
      <c r="AX46" s="51">
        <v>0</v>
      </c>
      <c r="AY46" s="51">
        <v>0</v>
      </c>
      <c r="AZ46" s="51">
        <v>0</v>
      </c>
      <c r="BA46" s="51">
        <v>0</v>
      </c>
      <c r="BB46" s="51">
        <v>0</v>
      </c>
      <c r="BC46" s="51">
        <v>0</v>
      </c>
      <c r="BD46" s="51">
        <v>0</v>
      </c>
      <c r="BE46" s="51">
        <v>0</v>
      </c>
      <c r="BF46" s="201">
        <v>0</v>
      </c>
    </row>
    <row r="47" spans="1:58" ht="14.25" x14ac:dyDescent="0.45">
      <c r="A47" t="s">
        <v>338</v>
      </c>
      <c r="B47" t="s">
        <v>339</v>
      </c>
      <c r="C47" t="s">
        <v>245</v>
      </c>
      <c r="D47" t="s">
        <v>199</v>
      </c>
      <c r="E47" t="s">
        <v>340</v>
      </c>
      <c r="F47" s="22">
        <v>0</v>
      </c>
      <c r="G47" s="23">
        <v>0</v>
      </c>
      <c r="H47" s="23"/>
      <c r="I47" s="55">
        <f>idp_SP1[[#This Row],[sp1_idp_pin_ed]]+ndp_SP1[[#This Row],[sp1_ndp_pin_ed]]</f>
        <v>0</v>
      </c>
      <c r="J47" s="51">
        <f>idp_SP1[[#This Row],[sp1_idp_pin_fl]]+ndp_SP1[[#This Row],[sp1_ndp_pin_fl]]</f>
        <v>0</v>
      </c>
      <c r="K47" s="51">
        <f>idp_SP1[[#This Row],[sp1_idp_pin_he]]+ndp_SP1[[#This Row],[sp1_ndp_pin_he]]</f>
        <v>0</v>
      </c>
      <c r="L47" s="51">
        <f>idp_SP1[[#This Row],[sp1_idp_pin_pr]]+ndp_SP1[[#This Row],[sp1_ndp_pin_pr]]</f>
        <v>0</v>
      </c>
      <c r="M47" s="51">
        <f>idp_SP1[[#This Row],[sp1_idp_pin_sn]]+ndp_SP1[[#This Row],[sp1_ndp_pin_sn]]</f>
        <v>0</v>
      </c>
      <c r="N47" s="51">
        <f>idp_SP1[[#This Row],[sp1_idp_pin_wa]]+ndp_SP1[[#This Row],[sp1_ndp_pin_wa]]</f>
        <v>0</v>
      </c>
      <c r="O47" s="51">
        <f>idp_SP1[[#This Row],[sp1_idp_pin_gp]]+ndp_SP1[[#This Row],[sp1_ndp_pin_gp]]</f>
        <v>0</v>
      </c>
      <c r="P47" s="51">
        <f>idp_SP1[[#This Row],[sp1_idp_pin_cp]]+ndp_SP1[[#This Row],[sp1_ndp_pin_cp]]</f>
        <v>0</v>
      </c>
      <c r="Q47" s="51">
        <f>idp_SP1[[#This Row],[sp1_idp_pin_gb]]+ndp_SP1[[#This Row],[sp1_ndp_pin_gb]]</f>
        <v>0</v>
      </c>
      <c r="R47" s="51">
        <f>idp_SP1[[#This Row],[sp1_idp_pin_fs]]+ndp_SP1[[#This Row],[sp1_ndp_pin_fs]]</f>
        <v>0</v>
      </c>
      <c r="S47" s="51">
        <f>idp_SP1[[#This Row],[sp1_idp_pin_li]]+ndp_SP1[[#This Row],[sp1_ndp_pin_li]]</f>
        <v>0</v>
      </c>
      <c r="T47" s="51">
        <f>idp_SP1[[#This Row],[sp1_idp_pin_adopted]]+ndp_SP1[[#This Row],[sp1_ndp_pin_adopted]]</f>
        <v>0</v>
      </c>
      <c r="U47" s="55"/>
      <c r="V47" s="51"/>
      <c r="W47" s="51"/>
      <c r="X47" s="51">
        <f>MAX(idp_SP1[[#This Row],[sp1_idp_sev_pr]],ndp_SP1[[#This Row],[sp1_ndp_sev_pr]])</f>
        <v>0</v>
      </c>
      <c r="Y47" s="51">
        <v>0</v>
      </c>
      <c r="Z47" s="51"/>
      <c r="AA47" s="51"/>
      <c r="AB47" s="51"/>
      <c r="AC47" s="51"/>
      <c r="AD47" s="51"/>
      <c r="AE47" s="51"/>
      <c r="AF47" s="51"/>
      <c r="AG47" s="57">
        <f>idp_SP1[[#This Row],[sp1_idp_target_ed]]+ndp_SP1[[#This Row],[sp1_ndp_target_ed]]</f>
        <v>0</v>
      </c>
      <c r="AH47" s="51">
        <f>idp_SP1[[#This Row],[sp1_idp_target_fl]]+ndp_SP1[[#This Row],[sp1_ndp_target_fl]]</f>
        <v>0</v>
      </c>
      <c r="AI47" s="51">
        <f>idp_SP1[[#This Row],[sp1_idp_target_he]]+ndp_SP1[[#This Row],[sp1_ndp_target_he]]</f>
        <v>0</v>
      </c>
      <c r="AJ47" s="51">
        <f>idp_SP1[[#This Row],[sp1_idp_target_pr]]+ndp_SP1[[#This Row],[sp1_ndp_target_pr]]</f>
        <v>0</v>
      </c>
      <c r="AK47" s="51">
        <f>idp_SP1[[#This Row],[sp1_idp_target_sn]]+ndp_SP1[[#This Row],[sp1_ndp_target_sn]]</f>
        <v>0</v>
      </c>
      <c r="AL47" s="51">
        <f>idp_SP1[[#This Row],[sp1_idp_target_wa]]+ndp_SP1[[#This Row],[sp1_ndp_target_wa]]</f>
        <v>0</v>
      </c>
      <c r="AM47" s="51">
        <f>idp_SP1[[#This Row],[sp1_idp_target_gp]]+ndp_SP1[[#This Row],[sp1_ndp_target_gp]]</f>
        <v>0</v>
      </c>
      <c r="AN47" s="51">
        <f>idp_SP1[[#This Row],[sp1_idp_target_cp]]+ndp_SP1[[#This Row],[sp1_ndp_target_cp]]</f>
        <v>0</v>
      </c>
      <c r="AO47" s="51">
        <f>idp_SP1[[#This Row],[sp1_idp_target_gb]]+ndp_SP1[[#This Row],[sp1_ndp_target_gb]]</f>
        <v>0</v>
      </c>
      <c r="AP47" s="51">
        <f>idp_SP1[[#This Row],[sp1_idp_target_fs]]+ndp_SP1[[#This Row],[sp1_ndp_target_fs]]</f>
        <v>0</v>
      </c>
      <c r="AQ47" s="51">
        <f>idp_SP1[[#This Row],[sp1_idp_target_li]]+ndp_SP1[[#This Row],[sp1_ndp_target_li]]</f>
        <v>0</v>
      </c>
      <c r="AR47" s="51">
        <f>idp_SP1[[#This Row],[sp1_idp_target_cw]]+ndp_SP1[[#This Row],[sp1_ndp_target_cw]]</f>
        <v>0</v>
      </c>
      <c r="AS47" s="201">
        <f>idp_SP1[[#This Row],[sp1_idp_target_joint]]+ndp_SP1[[#This Row],[sp1_ndp_target_joint]]</f>
        <v>0</v>
      </c>
      <c r="AT47" s="57">
        <v>0</v>
      </c>
      <c r="AU47" s="51">
        <v>0</v>
      </c>
      <c r="AV47" s="51">
        <v>0</v>
      </c>
      <c r="AW47" s="51">
        <v>0</v>
      </c>
      <c r="AX47" s="51">
        <v>0</v>
      </c>
      <c r="AY47" s="51">
        <v>0</v>
      </c>
      <c r="AZ47" s="51">
        <v>0</v>
      </c>
      <c r="BA47" s="51">
        <v>0</v>
      </c>
      <c r="BB47" s="51">
        <v>0</v>
      </c>
      <c r="BC47" s="51">
        <v>0</v>
      </c>
      <c r="BD47" s="51">
        <v>0</v>
      </c>
      <c r="BE47" s="51">
        <v>0</v>
      </c>
      <c r="BF47" s="201">
        <v>0</v>
      </c>
    </row>
    <row r="48" spans="1:58" ht="14.25" x14ac:dyDescent="0.45">
      <c r="A48" t="s">
        <v>341</v>
      </c>
      <c r="B48" t="s">
        <v>342</v>
      </c>
      <c r="C48" t="s">
        <v>252</v>
      </c>
      <c r="D48" t="s">
        <v>193</v>
      </c>
      <c r="E48" t="s">
        <v>343</v>
      </c>
      <c r="F48" s="10">
        <v>4864</v>
      </c>
      <c r="G48" s="8">
        <v>79652</v>
      </c>
      <c r="H48" s="8">
        <v>84516</v>
      </c>
      <c r="I48" s="10">
        <f>idp_SP1[[#This Row],[sp1_idp_pin_ed]]+ndp_SP1[[#This Row],[sp1_ndp_pin_ed]]</f>
        <v>7678</v>
      </c>
      <c r="J48" s="8">
        <f>idp_SP1[[#This Row],[sp1_idp_pin_fl]]+ndp_SP1[[#This Row],[sp1_ndp_pin_fl]]</f>
        <v>11991</v>
      </c>
      <c r="K48" s="8">
        <f>idp_SP1[[#This Row],[sp1_idp_pin_he]]+ndp_SP1[[#This Row],[sp1_ndp_pin_he]]</f>
        <v>65565</v>
      </c>
      <c r="L48" s="8">
        <f>idp_SP1[[#This Row],[sp1_idp_pin_pr]]+ndp_SP1[[#This Row],[sp1_ndp_pin_pr]]</f>
        <v>45534</v>
      </c>
      <c r="M48" s="8">
        <f>idp_SP1[[#This Row],[sp1_idp_pin_sn]]+ndp_SP1[[#This Row],[sp1_ndp_pin_sn]]</f>
        <v>70576</v>
      </c>
      <c r="N48" s="8">
        <f>idp_SP1[[#This Row],[sp1_idp_pin_wa]]+ndp_SP1[[#This Row],[sp1_ndp_pin_wa]]</f>
        <v>70576</v>
      </c>
      <c r="O48" s="8">
        <f>idp_SP1[[#This Row],[sp1_idp_pin_gp]]+ndp_SP1[[#This Row],[sp1_ndp_pin_gp]]</f>
        <v>45534</v>
      </c>
      <c r="P48" s="8">
        <f>idp_SP1[[#This Row],[sp1_idp_pin_cp]]+ndp_SP1[[#This Row],[sp1_ndp_pin_cp]]</f>
        <v>20885</v>
      </c>
      <c r="Q48" s="8">
        <f>idp_SP1[[#This Row],[sp1_idp_pin_gb]]+ndp_SP1[[#This Row],[sp1_ndp_pin_gb]]</f>
        <v>33131</v>
      </c>
      <c r="R48" s="8">
        <f>idp_SP1[[#This Row],[sp1_idp_pin_fs]]+ndp_SP1[[#This Row],[sp1_ndp_pin_fs]]</f>
        <v>11991</v>
      </c>
      <c r="S48" s="8">
        <f>idp_SP1[[#This Row],[sp1_idp_pin_li]]+ndp_SP1[[#This Row],[sp1_ndp_pin_li]]</f>
        <v>0</v>
      </c>
      <c r="T48" s="8">
        <f>idp_SP1[[#This Row],[sp1_idp_pin_adopted]]+ndp_SP1[[#This Row],[sp1_ndp_pin_adopted]]</f>
        <v>70892</v>
      </c>
      <c r="U48" s="137">
        <v>4</v>
      </c>
      <c r="V48" s="52">
        <v>4</v>
      </c>
      <c r="W48" s="52">
        <v>4</v>
      </c>
      <c r="X48" s="52">
        <f>MAX(idp_SP1[[#This Row],[sp1_idp_sev_pr]],ndp_SP1[[#This Row],[sp1_ndp_sev_pr]])</f>
        <v>4</v>
      </c>
      <c r="Y48" s="52">
        <v>5</v>
      </c>
      <c r="Z48" s="52">
        <v>5</v>
      </c>
      <c r="AA48" s="52">
        <v>4</v>
      </c>
      <c r="AB48" s="52">
        <v>5</v>
      </c>
      <c r="AC48" s="52">
        <v>4</v>
      </c>
      <c r="AD48" s="52">
        <v>4</v>
      </c>
      <c r="AE48" s="52">
        <v>4</v>
      </c>
      <c r="AF48" s="8">
        <v>5</v>
      </c>
      <c r="AG48" s="54">
        <f>idp_SP1[[#This Row],[sp1_idp_target_ed]]+ndp_SP1[[#This Row],[sp1_ndp_target_ed]]</f>
        <v>6910</v>
      </c>
      <c r="AH48" s="8">
        <f>idp_SP1[[#This Row],[sp1_idp_target_fl]]+ndp_SP1[[#This Row],[sp1_ndp_target_fl]]</f>
        <v>11991</v>
      </c>
      <c r="AI48" s="8">
        <f>idp_SP1[[#This Row],[sp1_idp_target_he]]+ndp_SP1[[#This Row],[sp1_ndp_target_he]]</f>
        <v>36627</v>
      </c>
      <c r="AJ48" s="8">
        <f>idp_SP1[[#This Row],[sp1_idp_target_pr]]+ndp_SP1[[#This Row],[sp1_ndp_target_pr]]</f>
        <v>20095</v>
      </c>
      <c r="AK48" s="8">
        <f>idp_SP1[[#This Row],[sp1_idp_target_sn]]+ndp_SP1[[#This Row],[sp1_ndp_target_sn]]</f>
        <v>63411</v>
      </c>
      <c r="AL48" s="8">
        <f>idp_SP1[[#This Row],[sp1_idp_target_wa]]+ndp_SP1[[#This Row],[sp1_ndp_target_wa]]</f>
        <v>70576</v>
      </c>
      <c r="AM48" s="8">
        <f>idp_SP1[[#This Row],[sp1_idp_target_gp]]+ndp_SP1[[#This Row],[sp1_ndp_target_gp]]</f>
        <v>17689</v>
      </c>
      <c r="AN48" s="8">
        <f>idp_SP1[[#This Row],[sp1_idp_target_cp]]+ndp_SP1[[#This Row],[sp1_ndp_target_cp]]</f>
        <v>18024</v>
      </c>
      <c r="AO48" s="8">
        <f>idp_SP1[[#This Row],[sp1_idp_target_gb]]+ndp_SP1[[#This Row],[sp1_ndp_target_gb]]</f>
        <v>1656</v>
      </c>
      <c r="AP48" s="8">
        <f>idp_SP1[[#This Row],[sp1_idp_target_fs]]+ndp_SP1[[#This Row],[sp1_ndp_target_fs]]</f>
        <v>11991</v>
      </c>
      <c r="AQ48" s="8">
        <f>idp_SP1[[#This Row],[sp1_idp_target_li]]+ndp_SP1[[#This Row],[sp1_ndp_target_li]]</f>
        <v>0</v>
      </c>
      <c r="AR48" s="8">
        <f>idp_SP1[[#This Row],[sp1_idp_target_cw]]+ndp_SP1[[#This Row],[sp1_ndp_target_cw]]</f>
        <v>40951</v>
      </c>
      <c r="AS48" s="202">
        <f>idp_SP1[[#This Row],[sp1_idp_target_joint]]+ndp_SP1[[#This Row],[sp1_ndp_target_joint]]</f>
        <v>70576</v>
      </c>
      <c r="AT48" s="54">
        <v>6910</v>
      </c>
      <c r="AU48" s="8">
        <v>11991</v>
      </c>
      <c r="AV48" s="8">
        <v>36627</v>
      </c>
      <c r="AW48" s="8">
        <v>20095</v>
      </c>
      <c r="AX48" s="8">
        <v>63411</v>
      </c>
      <c r="AY48" s="8">
        <v>70576</v>
      </c>
      <c r="AZ48" s="8">
        <v>17689</v>
      </c>
      <c r="BA48" s="8">
        <v>18024</v>
      </c>
      <c r="BB48" s="8">
        <v>1656</v>
      </c>
      <c r="BC48" s="8">
        <v>11991</v>
      </c>
      <c r="BD48" s="8">
        <v>0</v>
      </c>
      <c r="BE48" s="8">
        <v>40951</v>
      </c>
      <c r="BF48" s="202">
        <v>70576</v>
      </c>
    </row>
    <row r="49" spans="1:58" ht="14.25" x14ac:dyDescent="0.45">
      <c r="A49" t="s">
        <v>341</v>
      </c>
      <c r="B49" t="s">
        <v>342</v>
      </c>
      <c r="C49" t="s">
        <v>254</v>
      </c>
      <c r="D49" t="s">
        <v>196</v>
      </c>
      <c r="E49" t="s">
        <v>344</v>
      </c>
      <c r="F49" s="10">
        <v>704</v>
      </c>
      <c r="G49" s="8">
        <v>5332.4750933325968</v>
      </c>
      <c r="H49" s="8">
        <v>6036.4750933325968</v>
      </c>
      <c r="I49" s="10">
        <f>idp_SP1[[#This Row],[sp1_idp_pin_ed]]+ndp_SP1[[#This Row],[sp1_ndp_pin_ed]]</f>
        <v>501</v>
      </c>
      <c r="J49" s="8">
        <f>idp_SP1[[#This Row],[sp1_idp_pin_fl]]+ndp_SP1[[#This Row],[sp1_ndp_pin_fl]]</f>
        <v>505</v>
      </c>
      <c r="K49" s="8">
        <f>idp_SP1[[#This Row],[sp1_idp_pin_he]]+ndp_SP1[[#This Row],[sp1_ndp_pin_he]]</f>
        <v>4683</v>
      </c>
      <c r="L49" s="8">
        <f>idp_SP1[[#This Row],[sp1_idp_pin_pr]]+ndp_SP1[[#This Row],[sp1_ndp_pin_pr]]</f>
        <v>4648</v>
      </c>
      <c r="M49" s="8">
        <f>idp_SP1[[#This Row],[sp1_idp_pin_sn]]+ndp_SP1[[#This Row],[sp1_ndp_pin_sn]]</f>
        <v>4471</v>
      </c>
      <c r="N49" s="8">
        <f>idp_SP1[[#This Row],[sp1_idp_pin_wa]]+ndp_SP1[[#This Row],[sp1_ndp_pin_wa]]</f>
        <v>4312</v>
      </c>
      <c r="O49" s="8">
        <f>idp_SP1[[#This Row],[sp1_idp_pin_gp]]+ndp_SP1[[#This Row],[sp1_ndp_pin_gp]]</f>
        <v>4648</v>
      </c>
      <c r="P49" s="8">
        <f>idp_SP1[[#This Row],[sp1_idp_pin_cp]]+ndp_SP1[[#This Row],[sp1_ndp_pin_cp]]</f>
        <v>948</v>
      </c>
      <c r="Q49" s="8">
        <f>idp_SP1[[#This Row],[sp1_idp_pin_gb]]+ndp_SP1[[#This Row],[sp1_ndp_pin_gb]]</f>
        <v>1690</v>
      </c>
      <c r="R49" s="8">
        <f>idp_SP1[[#This Row],[sp1_idp_pin_fs]]+ndp_SP1[[#This Row],[sp1_ndp_pin_fs]]</f>
        <v>505</v>
      </c>
      <c r="S49" s="8">
        <f>idp_SP1[[#This Row],[sp1_idp_pin_li]]+ndp_SP1[[#This Row],[sp1_ndp_pin_li]]</f>
        <v>0</v>
      </c>
      <c r="T49" s="8">
        <f>idp_SP1[[#This Row],[sp1_idp_pin_adopted]]+ndp_SP1[[#This Row],[sp1_ndp_pin_adopted]]</f>
        <v>4771</v>
      </c>
      <c r="U49" s="137">
        <v>4</v>
      </c>
      <c r="V49" s="52">
        <v>3</v>
      </c>
      <c r="W49" s="52">
        <v>4</v>
      </c>
      <c r="X49" s="52">
        <f>MAX(idp_SP1[[#This Row],[sp1_idp_sev_pr]],ndp_SP1[[#This Row],[sp1_ndp_sev_pr]])</f>
        <v>4</v>
      </c>
      <c r="Y49" s="52">
        <v>3</v>
      </c>
      <c r="Z49" s="52">
        <v>3</v>
      </c>
      <c r="AA49" s="52">
        <v>4</v>
      </c>
      <c r="AB49" s="52">
        <v>4</v>
      </c>
      <c r="AC49" s="52">
        <v>3</v>
      </c>
      <c r="AD49" s="52">
        <v>3</v>
      </c>
      <c r="AE49" s="52">
        <v>3</v>
      </c>
      <c r="AF49" s="8">
        <v>3</v>
      </c>
      <c r="AG49" s="54">
        <f>idp_SP1[[#This Row],[sp1_idp_target_ed]]+ndp_SP1[[#This Row],[sp1_ndp_target_ed]]</f>
        <v>451</v>
      </c>
      <c r="AH49" s="8">
        <f>idp_SP1[[#This Row],[sp1_idp_target_fl]]+ndp_SP1[[#This Row],[sp1_ndp_target_fl]]</f>
        <v>505</v>
      </c>
      <c r="AI49" s="8">
        <f>idp_SP1[[#This Row],[sp1_idp_target_he]]+ndp_SP1[[#This Row],[sp1_ndp_target_he]]</f>
        <v>3221</v>
      </c>
      <c r="AJ49" s="8">
        <f>idp_SP1[[#This Row],[sp1_idp_target_pr]]+ndp_SP1[[#This Row],[sp1_ndp_target_pr]]</f>
        <v>1881</v>
      </c>
      <c r="AK49" s="8">
        <f>idp_SP1[[#This Row],[sp1_idp_target_sn]]+ndp_SP1[[#This Row],[sp1_ndp_target_sn]]</f>
        <v>1224</v>
      </c>
      <c r="AL49" s="8">
        <f>idp_SP1[[#This Row],[sp1_idp_target_wa]]+ndp_SP1[[#This Row],[sp1_ndp_target_wa]]</f>
        <v>2156</v>
      </c>
      <c r="AM49" s="8">
        <f>idp_SP1[[#This Row],[sp1_idp_target_gp]]+ndp_SP1[[#This Row],[sp1_ndp_target_gp]]</f>
        <v>1881</v>
      </c>
      <c r="AN49" s="8">
        <f>idp_SP1[[#This Row],[sp1_idp_target_cp]]+ndp_SP1[[#This Row],[sp1_ndp_target_cp]]</f>
        <v>412</v>
      </c>
      <c r="AO49" s="8">
        <f>idp_SP1[[#This Row],[sp1_idp_target_gb]]+ndp_SP1[[#This Row],[sp1_ndp_target_gb]]</f>
        <v>507</v>
      </c>
      <c r="AP49" s="8">
        <f>idp_SP1[[#This Row],[sp1_idp_target_fs]]+ndp_SP1[[#This Row],[sp1_ndp_target_fs]]</f>
        <v>505</v>
      </c>
      <c r="AQ49" s="8">
        <f>idp_SP1[[#This Row],[sp1_idp_target_li]]+ndp_SP1[[#This Row],[sp1_ndp_target_li]]</f>
        <v>0</v>
      </c>
      <c r="AR49" s="8">
        <f>idp_SP1[[#This Row],[sp1_idp_target_cw]]+ndp_SP1[[#This Row],[sp1_ndp_target_cw]]</f>
        <v>2109</v>
      </c>
      <c r="AS49" s="202">
        <f>idp_SP1[[#This Row],[sp1_idp_target_joint]]+ndp_SP1[[#This Row],[sp1_ndp_target_joint]]</f>
        <v>3260</v>
      </c>
      <c r="AT49" s="54">
        <v>451</v>
      </c>
      <c r="AU49" s="8">
        <v>101</v>
      </c>
      <c r="AV49" s="8">
        <v>3221</v>
      </c>
      <c r="AW49" s="8">
        <v>1881</v>
      </c>
      <c r="AX49" s="8">
        <v>245</v>
      </c>
      <c r="AY49" s="8">
        <v>431</v>
      </c>
      <c r="AZ49" s="8">
        <v>1881</v>
      </c>
      <c r="BA49" s="8">
        <v>242</v>
      </c>
      <c r="BB49" s="8">
        <v>102</v>
      </c>
      <c r="BC49" s="8">
        <v>101</v>
      </c>
      <c r="BD49" s="8">
        <v>0</v>
      </c>
      <c r="BE49" s="8">
        <v>421</v>
      </c>
      <c r="BF49" s="202">
        <v>3260</v>
      </c>
    </row>
    <row r="50" spans="1:58" ht="14.25" x14ac:dyDescent="0.45">
      <c r="A50" t="s">
        <v>341</v>
      </c>
      <c r="B50" t="s">
        <v>342</v>
      </c>
      <c r="C50" t="s">
        <v>256</v>
      </c>
      <c r="D50" t="s">
        <v>199</v>
      </c>
      <c r="E50" t="s">
        <v>345</v>
      </c>
      <c r="F50" s="22">
        <v>0</v>
      </c>
      <c r="G50" s="23">
        <v>0</v>
      </c>
      <c r="H50" s="23"/>
      <c r="I50" s="55">
        <f>idp_SP1[[#This Row],[sp1_idp_pin_ed]]+ndp_SP1[[#This Row],[sp1_ndp_pin_ed]]</f>
        <v>0</v>
      </c>
      <c r="J50" s="51">
        <f>idp_SP1[[#This Row],[sp1_idp_pin_fl]]+ndp_SP1[[#This Row],[sp1_ndp_pin_fl]]</f>
        <v>0</v>
      </c>
      <c r="K50" s="51">
        <f>idp_SP1[[#This Row],[sp1_idp_pin_he]]+ndp_SP1[[#This Row],[sp1_ndp_pin_he]]</f>
        <v>0</v>
      </c>
      <c r="L50" s="51">
        <f>idp_SP1[[#This Row],[sp1_idp_pin_pr]]+ndp_SP1[[#This Row],[sp1_ndp_pin_pr]]</f>
        <v>0</v>
      </c>
      <c r="M50" s="51">
        <f>idp_SP1[[#This Row],[sp1_idp_pin_sn]]+ndp_SP1[[#This Row],[sp1_ndp_pin_sn]]</f>
        <v>0</v>
      </c>
      <c r="N50" s="51">
        <f>idp_SP1[[#This Row],[sp1_idp_pin_wa]]+ndp_SP1[[#This Row],[sp1_ndp_pin_wa]]</f>
        <v>0</v>
      </c>
      <c r="O50" s="51">
        <f>idp_SP1[[#This Row],[sp1_idp_pin_gp]]+ndp_SP1[[#This Row],[sp1_ndp_pin_gp]]</f>
        <v>0</v>
      </c>
      <c r="P50" s="51">
        <f>idp_SP1[[#This Row],[sp1_idp_pin_cp]]+ndp_SP1[[#This Row],[sp1_ndp_pin_cp]]</f>
        <v>0</v>
      </c>
      <c r="Q50" s="51">
        <f>idp_SP1[[#This Row],[sp1_idp_pin_gb]]+ndp_SP1[[#This Row],[sp1_ndp_pin_gb]]</f>
        <v>0</v>
      </c>
      <c r="R50" s="51">
        <f>idp_SP1[[#This Row],[sp1_idp_pin_fs]]+ndp_SP1[[#This Row],[sp1_ndp_pin_fs]]</f>
        <v>0</v>
      </c>
      <c r="S50" s="51">
        <f>idp_SP1[[#This Row],[sp1_idp_pin_li]]+ndp_SP1[[#This Row],[sp1_ndp_pin_li]]</f>
        <v>0</v>
      </c>
      <c r="T50" s="51">
        <f>idp_SP1[[#This Row],[sp1_idp_pin_adopted]]+ndp_SP1[[#This Row],[sp1_ndp_pin_adopted]]</f>
        <v>0</v>
      </c>
      <c r="U50" s="55"/>
      <c r="V50" s="51"/>
      <c r="W50" s="51"/>
      <c r="X50" s="51">
        <f>MAX(idp_SP1[[#This Row],[sp1_idp_sev_pr]],ndp_SP1[[#This Row],[sp1_ndp_sev_pr]])</f>
        <v>0</v>
      </c>
      <c r="Y50" s="51">
        <v>0</v>
      </c>
      <c r="Z50" s="51"/>
      <c r="AA50" s="51"/>
      <c r="AB50" s="51"/>
      <c r="AC50" s="51"/>
      <c r="AD50" s="51"/>
      <c r="AE50" s="51"/>
      <c r="AF50" s="51"/>
      <c r="AG50" s="57">
        <f>idp_SP1[[#This Row],[sp1_idp_target_ed]]+ndp_SP1[[#This Row],[sp1_ndp_target_ed]]</f>
        <v>0</v>
      </c>
      <c r="AH50" s="51">
        <f>idp_SP1[[#This Row],[sp1_idp_target_fl]]+ndp_SP1[[#This Row],[sp1_ndp_target_fl]]</f>
        <v>0</v>
      </c>
      <c r="AI50" s="51">
        <f>idp_SP1[[#This Row],[sp1_idp_target_he]]+ndp_SP1[[#This Row],[sp1_ndp_target_he]]</f>
        <v>0</v>
      </c>
      <c r="AJ50" s="51">
        <f>idp_SP1[[#This Row],[sp1_idp_target_pr]]+ndp_SP1[[#This Row],[sp1_ndp_target_pr]]</f>
        <v>0</v>
      </c>
      <c r="AK50" s="51">
        <f>idp_SP1[[#This Row],[sp1_idp_target_sn]]+ndp_SP1[[#This Row],[sp1_ndp_target_sn]]</f>
        <v>0</v>
      </c>
      <c r="AL50" s="51">
        <f>idp_SP1[[#This Row],[sp1_idp_target_wa]]+ndp_SP1[[#This Row],[sp1_ndp_target_wa]]</f>
        <v>0</v>
      </c>
      <c r="AM50" s="51">
        <f>idp_SP1[[#This Row],[sp1_idp_target_gp]]+ndp_SP1[[#This Row],[sp1_ndp_target_gp]]</f>
        <v>0</v>
      </c>
      <c r="AN50" s="51">
        <f>idp_SP1[[#This Row],[sp1_idp_target_cp]]+ndp_SP1[[#This Row],[sp1_ndp_target_cp]]</f>
        <v>0</v>
      </c>
      <c r="AO50" s="51">
        <f>idp_SP1[[#This Row],[sp1_idp_target_gb]]+ndp_SP1[[#This Row],[sp1_ndp_target_gb]]</f>
        <v>0</v>
      </c>
      <c r="AP50" s="51">
        <f>idp_SP1[[#This Row],[sp1_idp_target_fs]]+ndp_SP1[[#This Row],[sp1_ndp_target_fs]]</f>
        <v>0</v>
      </c>
      <c r="AQ50" s="51">
        <f>idp_SP1[[#This Row],[sp1_idp_target_li]]+ndp_SP1[[#This Row],[sp1_ndp_target_li]]</f>
        <v>0</v>
      </c>
      <c r="AR50" s="51">
        <f>idp_SP1[[#This Row],[sp1_idp_target_cw]]+ndp_SP1[[#This Row],[sp1_ndp_target_cw]]</f>
        <v>0</v>
      </c>
      <c r="AS50" s="201">
        <f>idp_SP1[[#This Row],[sp1_idp_target_joint]]+ndp_SP1[[#This Row],[sp1_ndp_target_joint]]</f>
        <v>0</v>
      </c>
      <c r="AT50" s="57">
        <v>0</v>
      </c>
      <c r="AU50" s="51">
        <v>0</v>
      </c>
      <c r="AV50" s="51">
        <v>0</v>
      </c>
      <c r="AW50" s="51">
        <v>0</v>
      </c>
      <c r="AX50" s="51">
        <v>0</v>
      </c>
      <c r="AY50" s="51">
        <v>0</v>
      </c>
      <c r="AZ50" s="51">
        <v>0</v>
      </c>
      <c r="BA50" s="51">
        <v>0</v>
      </c>
      <c r="BB50" s="51">
        <v>0</v>
      </c>
      <c r="BC50" s="51">
        <v>0</v>
      </c>
      <c r="BD50" s="51">
        <v>0</v>
      </c>
      <c r="BE50" s="51">
        <v>0</v>
      </c>
      <c r="BF50" s="201">
        <v>0</v>
      </c>
    </row>
    <row r="51" spans="1:58" ht="14.25" x14ac:dyDescent="0.45">
      <c r="A51" t="s">
        <v>346</v>
      </c>
      <c r="B51" t="s">
        <v>347</v>
      </c>
      <c r="C51" t="s">
        <v>245</v>
      </c>
      <c r="D51" t="s">
        <v>199</v>
      </c>
      <c r="E51" t="s">
        <v>348</v>
      </c>
      <c r="F51" s="22">
        <v>0</v>
      </c>
      <c r="G51" s="23">
        <v>0</v>
      </c>
      <c r="H51" s="23"/>
      <c r="I51" s="55">
        <f>idp_SP1[[#This Row],[sp1_idp_pin_ed]]+ndp_SP1[[#This Row],[sp1_ndp_pin_ed]]</f>
        <v>0</v>
      </c>
      <c r="J51" s="51">
        <f>idp_SP1[[#This Row],[sp1_idp_pin_fl]]+ndp_SP1[[#This Row],[sp1_ndp_pin_fl]]</f>
        <v>0</v>
      </c>
      <c r="K51" s="51">
        <f>idp_SP1[[#This Row],[sp1_idp_pin_he]]+ndp_SP1[[#This Row],[sp1_ndp_pin_he]]</f>
        <v>0</v>
      </c>
      <c r="L51" s="51">
        <f>idp_SP1[[#This Row],[sp1_idp_pin_pr]]+ndp_SP1[[#This Row],[sp1_ndp_pin_pr]]</f>
        <v>0</v>
      </c>
      <c r="M51" s="51">
        <f>idp_SP1[[#This Row],[sp1_idp_pin_sn]]+ndp_SP1[[#This Row],[sp1_ndp_pin_sn]]</f>
        <v>0</v>
      </c>
      <c r="N51" s="51">
        <f>idp_SP1[[#This Row],[sp1_idp_pin_wa]]+ndp_SP1[[#This Row],[sp1_ndp_pin_wa]]</f>
        <v>0</v>
      </c>
      <c r="O51" s="51">
        <f>idp_SP1[[#This Row],[sp1_idp_pin_gp]]+ndp_SP1[[#This Row],[sp1_ndp_pin_gp]]</f>
        <v>0</v>
      </c>
      <c r="P51" s="51">
        <f>idp_SP1[[#This Row],[sp1_idp_pin_cp]]+ndp_SP1[[#This Row],[sp1_ndp_pin_cp]]</f>
        <v>0</v>
      </c>
      <c r="Q51" s="51">
        <f>idp_SP1[[#This Row],[sp1_idp_pin_gb]]+ndp_SP1[[#This Row],[sp1_ndp_pin_gb]]</f>
        <v>0</v>
      </c>
      <c r="R51" s="51">
        <f>idp_SP1[[#This Row],[sp1_idp_pin_fs]]+ndp_SP1[[#This Row],[sp1_ndp_pin_fs]]</f>
        <v>0</v>
      </c>
      <c r="S51" s="51">
        <f>idp_SP1[[#This Row],[sp1_idp_pin_li]]+ndp_SP1[[#This Row],[sp1_ndp_pin_li]]</f>
        <v>0</v>
      </c>
      <c r="T51" s="51">
        <f>idp_SP1[[#This Row],[sp1_idp_pin_adopted]]+ndp_SP1[[#This Row],[sp1_ndp_pin_adopted]]</f>
        <v>0</v>
      </c>
      <c r="U51" s="55"/>
      <c r="V51" s="51"/>
      <c r="W51" s="51"/>
      <c r="X51" s="51">
        <f>MAX(idp_SP1[[#This Row],[sp1_idp_sev_pr]],ndp_SP1[[#This Row],[sp1_ndp_sev_pr]])</f>
        <v>0</v>
      </c>
      <c r="Y51" s="51">
        <v>0</v>
      </c>
      <c r="Z51" s="51"/>
      <c r="AA51" s="51"/>
      <c r="AB51" s="51"/>
      <c r="AC51" s="51"/>
      <c r="AD51" s="51"/>
      <c r="AE51" s="51"/>
      <c r="AF51" s="51"/>
      <c r="AG51" s="57">
        <f>idp_SP1[[#This Row],[sp1_idp_target_ed]]+ndp_SP1[[#This Row],[sp1_ndp_target_ed]]</f>
        <v>0</v>
      </c>
      <c r="AH51" s="51">
        <f>idp_SP1[[#This Row],[sp1_idp_target_fl]]+ndp_SP1[[#This Row],[sp1_ndp_target_fl]]</f>
        <v>0</v>
      </c>
      <c r="AI51" s="51">
        <f>idp_SP1[[#This Row],[sp1_idp_target_he]]+ndp_SP1[[#This Row],[sp1_ndp_target_he]]</f>
        <v>0</v>
      </c>
      <c r="AJ51" s="51">
        <f>idp_SP1[[#This Row],[sp1_idp_target_pr]]+ndp_SP1[[#This Row],[sp1_ndp_target_pr]]</f>
        <v>0</v>
      </c>
      <c r="AK51" s="51">
        <f>idp_SP1[[#This Row],[sp1_idp_target_sn]]+ndp_SP1[[#This Row],[sp1_ndp_target_sn]]</f>
        <v>0</v>
      </c>
      <c r="AL51" s="51">
        <f>idp_SP1[[#This Row],[sp1_idp_target_wa]]+ndp_SP1[[#This Row],[sp1_ndp_target_wa]]</f>
        <v>0</v>
      </c>
      <c r="AM51" s="51">
        <f>idp_SP1[[#This Row],[sp1_idp_target_gp]]+ndp_SP1[[#This Row],[sp1_ndp_target_gp]]</f>
        <v>0</v>
      </c>
      <c r="AN51" s="51">
        <f>idp_SP1[[#This Row],[sp1_idp_target_cp]]+ndp_SP1[[#This Row],[sp1_ndp_target_cp]]</f>
        <v>0</v>
      </c>
      <c r="AO51" s="51">
        <f>idp_SP1[[#This Row],[sp1_idp_target_gb]]+ndp_SP1[[#This Row],[sp1_ndp_target_gb]]</f>
        <v>0</v>
      </c>
      <c r="AP51" s="51">
        <f>idp_SP1[[#This Row],[sp1_idp_target_fs]]+ndp_SP1[[#This Row],[sp1_ndp_target_fs]]</f>
        <v>0</v>
      </c>
      <c r="AQ51" s="51">
        <f>idp_SP1[[#This Row],[sp1_idp_target_li]]+ndp_SP1[[#This Row],[sp1_ndp_target_li]]</f>
        <v>0</v>
      </c>
      <c r="AR51" s="51">
        <f>idp_SP1[[#This Row],[sp1_idp_target_cw]]+ndp_SP1[[#This Row],[sp1_ndp_target_cw]]</f>
        <v>0</v>
      </c>
      <c r="AS51" s="201">
        <f>idp_SP1[[#This Row],[sp1_idp_target_joint]]+ndp_SP1[[#This Row],[sp1_ndp_target_joint]]</f>
        <v>0</v>
      </c>
      <c r="AT51" s="57">
        <v>0</v>
      </c>
      <c r="AU51" s="51">
        <v>0</v>
      </c>
      <c r="AV51" s="51">
        <v>0</v>
      </c>
      <c r="AW51" s="51">
        <v>0</v>
      </c>
      <c r="AX51" s="51">
        <v>0</v>
      </c>
      <c r="AY51" s="51">
        <v>0</v>
      </c>
      <c r="AZ51" s="51">
        <v>0</v>
      </c>
      <c r="BA51" s="51">
        <v>0</v>
      </c>
      <c r="BB51" s="51">
        <v>0</v>
      </c>
      <c r="BC51" s="51">
        <v>0</v>
      </c>
      <c r="BD51" s="51">
        <v>0</v>
      </c>
      <c r="BE51" s="51">
        <v>0</v>
      </c>
      <c r="BF51" s="201">
        <v>0</v>
      </c>
    </row>
    <row r="52" spans="1:58" ht="14.25" x14ac:dyDescent="0.45">
      <c r="A52" t="s">
        <v>33</v>
      </c>
      <c r="B52" t="s">
        <v>191</v>
      </c>
      <c r="C52" t="s">
        <v>192</v>
      </c>
      <c r="D52" t="s">
        <v>193</v>
      </c>
      <c r="E52" t="s">
        <v>194</v>
      </c>
      <c r="F52" s="10">
        <v>7414</v>
      </c>
      <c r="G52" s="8">
        <v>224914</v>
      </c>
      <c r="H52" s="8">
        <v>232328</v>
      </c>
      <c r="I52" s="10"/>
      <c r="J52" s="8"/>
      <c r="K52" s="8"/>
      <c r="L52" s="8"/>
      <c r="M52" s="8"/>
      <c r="N52" s="8"/>
      <c r="O52" s="8"/>
      <c r="P52" s="8"/>
      <c r="Q52" s="8"/>
      <c r="R52" s="8"/>
      <c r="S52" s="8"/>
      <c r="T52" s="8">
        <f>idp_SP1[[#This Row],[sp1_idp_pin_adopted]]+ndp_SP1[[#This Row],[sp1_ndp_pin_adopted]]</f>
        <v>232328</v>
      </c>
      <c r="U52" s="137"/>
      <c r="V52" s="52"/>
      <c r="W52" s="52"/>
      <c r="X52" s="52"/>
      <c r="Y52" s="52"/>
      <c r="Z52" s="52"/>
      <c r="AA52" s="52"/>
      <c r="AB52" s="52"/>
      <c r="AC52" s="52"/>
      <c r="AD52" s="52"/>
      <c r="AE52" s="52"/>
      <c r="AF52" s="8">
        <v>5</v>
      </c>
      <c r="AG52" s="54"/>
      <c r="AH52" s="8"/>
      <c r="AI52" s="8"/>
      <c r="AJ52" s="8"/>
      <c r="AK52" s="8"/>
      <c r="AL52" s="8"/>
      <c r="AM52" s="8"/>
      <c r="AN52" s="8"/>
      <c r="AO52" s="8"/>
      <c r="AP52" s="8"/>
      <c r="AQ52" s="8"/>
      <c r="AR52" s="8"/>
      <c r="AS52" s="202">
        <f>idp_SP1[[#This Row],[sp1_idp_target_joint]]+ndp_SP1[[#This Row],[sp1_ndp_target_joint]]</f>
        <v>132696</v>
      </c>
      <c r="AT52" s="54"/>
      <c r="AU52" s="8"/>
      <c r="AV52" s="8"/>
      <c r="AW52" s="8"/>
      <c r="AX52" s="8"/>
      <c r="AY52" s="8"/>
      <c r="AZ52" s="8"/>
      <c r="BA52" s="8"/>
      <c r="BB52" s="8"/>
      <c r="BC52" s="8"/>
      <c r="BD52" s="8"/>
      <c r="BE52" s="8"/>
      <c r="BF52" s="202">
        <v>132696</v>
      </c>
    </row>
    <row r="53" spans="1:58" ht="15" customHeight="1" x14ac:dyDescent="0.45">
      <c r="A53" t="s">
        <v>33</v>
      </c>
      <c r="B53" t="s">
        <v>191</v>
      </c>
      <c r="C53" t="s">
        <v>195</v>
      </c>
      <c r="D53" t="s">
        <v>196</v>
      </c>
      <c r="E53" t="s">
        <v>197</v>
      </c>
      <c r="F53" s="10">
        <v>10647</v>
      </c>
      <c r="G53" s="8">
        <v>225310</v>
      </c>
      <c r="H53" s="8">
        <v>235957</v>
      </c>
      <c r="I53" s="10"/>
      <c r="J53" s="8"/>
      <c r="K53" s="8"/>
      <c r="L53" s="8"/>
      <c r="M53" s="8"/>
      <c r="N53" s="8"/>
      <c r="O53" s="8"/>
      <c r="P53" s="8"/>
      <c r="Q53" s="8"/>
      <c r="R53" s="8"/>
      <c r="S53" s="8"/>
      <c r="T53" s="8">
        <f>idp_SP1[[#This Row],[sp1_idp_pin_adopted]]+ndp_SP1[[#This Row],[sp1_ndp_pin_adopted]]</f>
        <v>235957</v>
      </c>
      <c r="U53" s="137"/>
      <c r="V53" s="52"/>
      <c r="W53" s="52"/>
      <c r="X53" s="52"/>
      <c r="Y53" s="52"/>
      <c r="Z53" s="52"/>
      <c r="AA53" s="52"/>
      <c r="AB53" s="52"/>
      <c r="AC53" s="52"/>
      <c r="AD53" s="52"/>
      <c r="AE53" s="52"/>
      <c r="AF53" s="8">
        <v>4</v>
      </c>
      <c r="AG53" s="54"/>
      <c r="AH53" s="8"/>
      <c r="AI53" s="8"/>
      <c r="AJ53" s="8"/>
      <c r="AK53" s="8"/>
      <c r="AL53" s="8"/>
      <c r="AM53" s="8"/>
      <c r="AN53" s="8"/>
      <c r="AO53" s="8"/>
      <c r="AP53" s="8"/>
      <c r="AQ53" s="8"/>
      <c r="AR53" s="8"/>
      <c r="AS53" s="202">
        <f>idp_SP1[[#This Row],[sp1_idp_target_joint]]+ndp_SP1[[#This Row],[sp1_ndp_target_joint]]</f>
        <v>157128</v>
      </c>
      <c r="AT53" s="54"/>
      <c r="AU53" s="8"/>
      <c r="AV53" s="8"/>
      <c r="AW53" s="8"/>
      <c r="AX53" s="8"/>
      <c r="AY53" s="8"/>
      <c r="AZ53" s="8"/>
      <c r="BA53" s="8"/>
      <c r="BB53" s="8"/>
      <c r="BC53" s="8"/>
      <c r="BD53" s="8"/>
      <c r="BE53" s="8"/>
      <c r="BF53" s="202">
        <v>157128</v>
      </c>
    </row>
    <row r="54" spans="1:58" ht="15" customHeight="1" x14ac:dyDescent="0.45">
      <c r="A54" t="s">
        <v>33</v>
      </c>
      <c r="B54" t="s">
        <v>191</v>
      </c>
      <c r="C54" t="s">
        <v>198</v>
      </c>
      <c r="D54" t="s">
        <v>199</v>
      </c>
      <c r="E54" t="s">
        <v>200</v>
      </c>
      <c r="F54" s="22">
        <v>0</v>
      </c>
      <c r="G54" s="23">
        <v>0</v>
      </c>
      <c r="H54" s="23"/>
      <c r="I54" s="55"/>
      <c r="J54" s="51"/>
      <c r="K54" s="51"/>
      <c r="L54" s="51"/>
      <c r="M54" s="51"/>
      <c r="N54" s="51"/>
      <c r="O54" s="51"/>
      <c r="P54" s="51"/>
      <c r="Q54" s="51"/>
      <c r="R54" s="51"/>
      <c r="S54" s="51"/>
      <c r="T54" s="51">
        <f>idp_SP1[[#This Row],[sp1_idp_pin_adopted]]+ndp_SP1[[#This Row],[sp1_ndp_pin_adopted]]</f>
        <v>0</v>
      </c>
      <c r="U54" s="55"/>
      <c r="V54" s="51"/>
      <c r="W54" s="51"/>
      <c r="X54" s="51">
        <f>MAX(idp_SP1[[#This Row],[sp1_idp_sev_pr]],ndp_SP1[[#This Row],[sp1_ndp_sev_pr]])</f>
        <v>0</v>
      </c>
      <c r="Y54" s="51"/>
      <c r="Z54" s="51"/>
      <c r="AA54" s="51"/>
      <c r="AB54" s="51"/>
      <c r="AC54" s="51"/>
      <c r="AD54" s="51"/>
      <c r="AE54" s="51"/>
      <c r="AF54" s="51"/>
      <c r="AG54" s="57"/>
      <c r="AH54" s="51"/>
      <c r="AI54" s="51"/>
      <c r="AJ54" s="51"/>
      <c r="AK54" s="51"/>
      <c r="AL54" s="51"/>
      <c r="AM54" s="51"/>
      <c r="AN54" s="51"/>
      <c r="AO54" s="51"/>
      <c r="AP54" s="51"/>
      <c r="AQ54" s="51"/>
      <c r="AR54" s="51"/>
      <c r="AS54" s="201">
        <f>idp_SP1[[#This Row],[sp1_idp_target_joint]]+ndp_SP1[[#This Row],[sp1_ndp_target_joint]]</f>
        <v>0</v>
      </c>
      <c r="AT54" s="57"/>
      <c r="AU54" s="51"/>
      <c r="AV54" s="51"/>
      <c r="AW54" s="51"/>
      <c r="AX54" s="51"/>
      <c r="AY54" s="51"/>
      <c r="AZ54" s="51"/>
      <c r="BA54" s="51"/>
      <c r="BB54" s="51"/>
      <c r="BC54" s="51"/>
      <c r="BD54" s="51"/>
      <c r="BE54" s="51"/>
      <c r="BF54" s="201">
        <v>0</v>
      </c>
    </row>
    <row r="55" spans="1:58" ht="15" customHeight="1" x14ac:dyDescent="0.45">
      <c r="A55" t="s">
        <v>33</v>
      </c>
      <c r="B55" t="s">
        <v>191</v>
      </c>
      <c r="C55" t="s">
        <v>201</v>
      </c>
      <c r="D55" t="s">
        <v>199</v>
      </c>
      <c r="E55" t="s">
        <v>202</v>
      </c>
      <c r="F55" s="22">
        <v>0</v>
      </c>
      <c r="G55" s="23">
        <v>0</v>
      </c>
      <c r="H55" s="23"/>
      <c r="I55" s="55"/>
      <c r="J55" s="51"/>
      <c r="K55" s="51"/>
      <c r="L55" s="51"/>
      <c r="M55" s="51"/>
      <c r="N55" s="51"/>
      <c r="O55" s="51"/>
      <c r="P55" s="51"/>
      <c r="Q55" s="51"/>
      <c r="R55" s="51"/>
      <c r="S55" s="51"/>
      <c r="T55" s="51">
        <f>idp_SP1[[#This Row],[sp1_idp_pin_adopted]]+ndp_SP1[[#This Row],[sp1_ndp_pin_adopted]]</f>
        <v>0</v>
      </c>
      <c r="U55" s="55"/>
      <c r="V55" s="51"/>
      <c r="W55" s="51"/>
      <c r="X55" s="51">
        <f>MAX(idp_SP1[[#This Row],[sp1_idp_sev_pr]],ndp_SP1[[#This Row],[sp1_ndp_sev_pr]])</f>
        <v>0</v>
      </c>
      <c r="Y55" s="51"/>
      <c r="Z55" s="51"/>
      <c r="AA55" s="51"/>
      <c r="AB55" s="51"/>
      <c r="AC55" s="51"/>
      <c r="AD55" s="51"/>
      <c r="AE55" s="51"/>
      <c r="AF55" s="51"/>
      <c r="AG55" s="57"/>
      <c r="AH55" s="51"/>
      <c r="AI55" s="51"/>
      <c r="AJ55" s="51"/>
      <c r="AK55" s="51"/>
      <c r="AL55" s="51"/>
      <c r="AM55" s="51"/>
      <c r="AN55" s="51"/>
      <c r="AO55" s="51"/>
      <c r="AP55" s="51"/>
      <c r="AQ55" s="51"/>
      <c r="AR55" s="51"/>
      <c r="AS55" s="201">
        <f>idp_SP1[[#This Row],[sp1_idp_target_joint]]+ndp_SP1[[#This Row],[sp1_ndp_target_joint]]</f>
        <v>0</v>
      </c>
      <c r="AT55" s="57"/>
      <c r="AU55" s="51"/>
      <c r="AV55" s="51"/>
      <c r="AW55" s="51"/>
      <c r="AX55" s="51"/>
      <c r="AY55" s="51"/>
      <c r="AZ55" s="51"/>
      <c r="BA55" s="51"/>
      <c r="BB55" s="51"/>
      <c r="BC55" s="51"/>
      <c r="BD55" s="51"/>
      <c r="BE55" s="51"/>
      <c r="BF55" s="201">
        <v>0</v>
      </c>
    </row>
    <row r="56" spans="1:58" ht="15" customHeight="1" x14ac:dyDescent="0.45">
      <c r="A56" t="s">
        <v>141</v>
      </c>
      <c r="F56" s="20">
        <f>SUBTOTAL(109,overall_SP1[idp_aff_sp1])</f>
        <v>666479</v>
      </c>
      <c r="G56" s="13">
        <f>SUBTOTAL(109,overall_SP1[ndp_aff_sp1])</f>
        <v>2783027.1812926992</v>
      </c>
      <c r="H56" s="13">
        <f>SUBTOTAL(109,overall_SP1[overall_aff_sp1])</f>
        <v>3449506.1812926992</v>
      </c>
      <c r="I56" s="140"/>
      <c r="J56" s="14"/>
      <c r="K56" s="14"/>
      <c r="L56" s="14"/>
      <c r="M56" s="14"/>
      <c r="N56" s="14"/>
      <c r="O56" s="14"/>
      <c r="P56" s="14"/>
      <c r="Q56" s="14"/>
      <c r="R56" s="14"/>
      <c r="S56" s="14"/>
      <c r="T56" s="13">
        <f>SUBTOTAL(109,overall_SP1[sp1_overall_pin_adopted])</f>
        <v>3112787</v>
      </c>
      <c r="U56" s="138"/>
      <c r="V56" s="12"/>
      <c r="W56" s="12"/>
      <c r="X56" s="12"/>
      <c r="Y56" s="12"/>
      <c r="Z56" s="12"/>
      <c r="AA56" s="12"/>
      <c r="AB56" s="12"/>
      <c r="AC56" s="12"/>
      <c r="AD56" s="12"/>
      <c r="AE56" s="12"/>
      <c r="AF56" s="11"/>
      <c r="AG56" s="209"/>
      <c r="AH56" s="210"/>
      <c r="AI56" s="210"/>
      <c r="AJ56" s="210"/>
      <c r="AK56" s="210"/>
      <c r="AL56" s="210"/>
      <c r="AM56" s="210"/>
      <c r="AN56" s="210"/>
      <c r="AO56" s="210"/>
      <c r="AP56" s="210"/>
      <c r="AQ56" s="210"/>
      <c r="AR56" s="210"/>
      <c r="AS56" s="211">
        <f>SUBTOTAL(109,overall_SP1[sp1_overall_target_joint])</f>
        <v>2714052</v>
      </c>
      <c r="AT56" s="14"/>
      <c r="AU56" s="14"/>
      <c r="AV56" s="14"/>
      <c r="AW56" s="14"/>
      <c r="AX56" s="14"/>
      <c r="AY56" s="14"/>
      <c r="AZ56" s="14"/>
      <c r="BA56" s="14"/>
      <c r="BB56" s="14"/>
      <c r="BC56" s="14"/>
      <c r="BD56" s="14"/>
      <c r="BE56" s="14"/>
      <c r="BF56" s="14">
        <f>SUBTOTAL(109,overall_SP1[sp1_overall_targetPr_joint])</f>
        <v>2710465</v>
      </c>
    </row>
    <row r="58" spans="1:58" ht="15" customHeight="1" x14ac:dyDescent="0.5">
      <c r="A58" s="98"/>
    </row>
    <row r="59" spans="1:58" ht="15" customHeight="1" x14ac:dyDescent="0.5">
      <c r="A59" s="99"/>
      <c r="AG59" s="50"/>
      <c r="AH59" s="50"/>
      <c r="AI59" s="50"/>
      <c r="AJ59" s="50"/>
      <c r="AK59" s="50"/>
      <c r="AL59" s="50"/>
      <c r="AM59" s="50"/>
      <c r="AN59" s="50"/>
      <c r="AO59" s="50"/>
      <c r="AP59" s="50"/>
      <c r="AQ59" s="50"/>
      <c r="AR59" s="50"/>
      <c r="AS59" s="50"/>
    </row>
    <row r="63" spans="1:58" ht="15" customHeight="1" x14ac:dyDescent="0.45">
      <c r="F63" s="187"/>
      <c r="G63" s="187"/>
      <c r="H63" s="187"/>
    </row>
    <row r="64" spans="1:58" ht="15" customHeight="1" x14ac:dyDescent="0.45">
      <c r="F64" s="187"/>
      <c r="G64" s="187"/>
      <c r="H64" s="187"/>
    </row>
    <row r="69" spans="6:6" ht="15" customHeight="1" x14ac:dyDescent="0.45">
      <c r="F69" s="187"/>
    </row>
    <row r="70" spans="6:6" ht="15" customHeight="1" x14ac:dyDescent="0.45">
      <c r="F70" s="187"/>
    </row>
    <row r="71" spans="6:6" ht="15" customHeight="1" x14ac:dyDescent="0.45">
      <c r="F71" s="187"/>
    </row>
  </sheetData>
  <phoneticPr fontId="2"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A0F13-406B-48DD-B1E8-9CA7581D6A72}">
  <sheetPr codeName="Sheet15"/>
  <dimension ref="A1:BF56"/>
  <sheetViews>
    <sheetView showGridLines="0" zoomScaleNormal="100" workbookViewId="0">
      <pane xSplit="5" ySplit="7" topLeftCell="F8" activePane="bottomRight" state="frozenSplit"/>
      <selection pane="topRight" activeCell="F1" sqref="F1"/>
      <selection pane="bottomLeft" activeCell="A18" sqref="A18"/>
      <selection pane="bottomRight"/>
    </sheetView>
  </sheetViews>
  <sheetFormatPr defaultRowHeight="15" customHeight="1" x14ac:dyDescent="0.45"/>
  <cols>
    <col min="1" max="1" width="14.1328125" customWidth="1"/>
    <col min="2" max="2" width="12.1328125" customWidth="1"/>
    <col min="3" max="3" width="18" customWidth="1"/>
    <col min="4" max="4" width="8.3984375" customWidth="1"/>
    <col min="5" max="5" width="14.1328125" customWidth="1"/>
    <col min="6" max="8" width="11.1328125" customWidth="1"/>
    <col min="9" max="19" width="9.6640625" customWidth="1"/>
    <col min="20" max="20" width="8.53125" customWidth="1"/>
    <col min="21" max="32" width="7.19921875" customWidth="1"/>
  </cols>
  <sheetData>
    <row r="1" spans="1:58" ht="15" customHeight="1" x14ac:dyDescent="0.45">
      <c r="A1" s="296" t="s">
        <v>730</v>
      </c>
    </row>
    <row r="2" spans="1:58" ht="19.899999999999999" x14ac:dyDescent="0.45">
      <c r="A2" s="297" t="s">
        <v>4282</v>
      </c>
      <c r="I2" s="50"/>
      <c r="J2" s="50"/>
      <c r="K2" s="50"/>
      <c r="L2" s="50"/>
      <c r="M2" s="50"/>
      <c r="N2" s="50"/>
      <c r="O2" s="50"/>
      <c r="P2" s="50"/>
      <c r="Q2" s="50"/>
      <c r="R2" s="50"/>
      <c r="S2" s="50"/>
    </row>
    <row r="3" spans="1:58" ht="14.25" x14ac:dyDescent="0.45">
      <c r="A3" s="5" t="str">
        <f>ActivityList!A3</f>
        <v>Release Date: 13 January 2026</v>
      </c>
      <c r="I3" s="48" t="str">
        <f>"sp1_overall_pin_"&amp;I4</f>
        <v>sp1_overall_pin_ed</v>
      </c>
      <c r="J3" s="48" t="str">
        <f t="shared" ref="J3:Q3" si="0">"sp1_overall_pin_"&amp;J4</f>
        <v>sp1_overall_pin_fs</v>
      </c>
      <c r="K3" s="48" t="str">
        <f t="shared" si="0"/>
        <v>sp1_overall_pin_he</v>
      </c>
      <c r="L3" s="48" t="str">
        <f t="shared" si="0"/>
        <v>sp1_overall_pin_pr</v>
      </c>
      <c r="M3" s="48" t="str">
        <f t="shared" si="0"/>
        <v>sp1_overall_pin_sn</v>
      </c>
      <c r="N3" s="48" t="str">
        <f t="shared" si="0"/>
        <v>sp1_overall_pin_wa</v>
      </c>
      <c r="O3" s="48" t="str">
        <f t="shared" si="0"/>
        <v>sp1_overall_pin_gp</v>
      </c>
      <c r="P3" s="48" t="str">
        <f t="shared" si="0"/>
        <v>sp1_overall_pin_cp</v>
      </c>
      <c r="Q3" s="48" t="str">
        <f t="shared" si="0"/>
        <v>sp1_overall_pin_gb</v>
      </c>
      <c r="R3" s="48"/>
      <c r="S3" s="48"/>
    </row>
    <row r="4" spans="1:58" ht="15.75" x14ac:dyDescent="0.5">
      <c r="F4" s="34"/>
      <c r="G4" s="34"/>
      <c r="H4" s="34"/>
      <c r="I4" s="49" t="s">
        <v>154</v>
      </c>
      <c r="J4" s="49" t="s">
        <v>155</v>
      </c>
      <c r="K4" s="49" t="s">
        <v>156</v>
      </c>
      <c r="L4" s="49" t="s">
        <v>157</v>
      </c>
      <c r="M4" s="49" t="s">
        <v>382</v>
      </c>
      <c r="N4" s="49" t="s">
        <v>158</v>
      </c>
      <c r="O4" s="49" t="s">
        <v>478</v>
      </c>
      <c r="P4" s="49" t="s">
        <v>479</v>
      </c>
      <c r="Q4" s="49" t="s">
        <v>480</v>
      </c>
      <c r="R4" s="49"/>
      <c r="S4" s="49"/>
      <c r="T4" s="34"/>
    </row>
    <row r="5" spans="1:58" ht="16.25" customHeight="1" x14ac:dyDescent="0.45">
      <c r="A5" s="2" t="s">
        <v>159</v>
      </c>
      <c r="B5" s="2"/>
      <c r="C5" s="2" t="s">
        <v>160</v>
      </c>
      <c r="D5" s="2"/>
      <c r="E5" s="2"/>
      <c r="F5" s="37" t="s">
        <v>481</v>
      </c>
      <c r="G5" s="38"/>
      <c r="H5" s="39"/>
      <c r="I5" s="43" t="s">
        <v>224</v>
      </c>
      <c r="J5" s="43"/>
      <c r="K5" s="43"/>
      <c r="L5" s="43"/>
      <c r="M5" s="43"/>
      <c r="N5" s="43"/>
      <c r="O5" s="102" t="s">
        <v>351</v>
      </c>
      <c r="P5" s="43"/>
      <c r="Q5" s="43"/>
      <c r="R5" s="102" t="s">
        <v>352</v>
      </c>
      <c r="S5" s="43"/>
      <c r="T5" s="379" t="s">
        <v>485</v>
      </c>
      <c r="U5" s="35" t="s">
        <v>350</v>
      </c>
      <c r="V5" s="35"/>
      <c r="W5" s="35"/>
      <c r="X5" s="35"/>
      <c r="Y5" s="35"/>
      <c r="Z5" s="35"/>
      <c r="AA5" s="119" t="s">
        <v>351</v>
      </c>
      <c r="AB5" s="35"/>
      <c r="AC5" s="35"/>
      <c r="AD5" s="94" t="s">
        <v>352</v>
      </c>
      <c r="AE5" s="35"/>
      <c r="AF5" s="103"/>
      <c r="AG5" s="67" t="s">
        <v>226</v>
      </c>
      <c r="AH5" s="67"/>
      <c r="AI5" s="67"/>
      <c r="AJ5" s="67"/>
      <c r="AK5" s="67"/>
      <c r="AL5" s="67"/>
      <c r="AM5" s="74" t="s">
        <v>351</v>
      </c>
      <c r="AN5" s="67"/>
      <c r="AO5" s="76"/>
      <c r="AP5" s="74" t="s">
        <v>352</v>
      </c>
      <c r="AQ5" s="67"/>
      <c r="AR5" s="78"/>
      <c r="AS5" s="93" t="s">
        <v>141</v>
      </c>
      <c r="AT5" s="189" t="s">
        <v>4035</v>
      </c>
      <c r="AU5" s="189"/>
      <c r="AV5" s="189"/>
      <c r="AW5" s="189"/>
      <c r="AX5" s="189"/>
      <c r="AY5" s="189"/>
      <c r="AZ5" s="190" t="s">
        <v>351</v>
      </c>
      <c r="BA5" s="189"/>
      <c r="BB5" s="191"/>
      <c r="BC5" s="190" t="s">
        <v>352</v>
      </c>
      <c r="BD5" s="189"/>
      <c r="BE5" s="192"/>
      <c r="BF5" s="193" t="s">
        <v>141</v>
      </c>
    </row>
    <row r="6" spans="1:58" ht="14.25" x14ac:dyDescent="0.45">
      <c r="A6" s="1" t="s">
        <v>161</v>
      </c>
      <c r="B6" s="1" t="s">
        <v>162</v>
      </c>
      <c r="C6" s="1" t="s">
        <v>211</v>
      </c>
      <c r="D6" s="1" t="s">
        <v>4252</v>
      </c>
      <c r="E6" s="1" t="s">
        <v>138</v>
      </c>
      <c r="F6" s="40" t="s">
        <v>153</v>
      </c>
      <c r="G6" s="41" t="s">
        <v>482</v>
      </c>
      <c r="H6" s="42" t="s">
        <v>11</v>
      </c>
      <c r="I6" s="44" t="s">
        <v>140</v>
      </c>
      <c r="J6" s="44" t="s">
        <v>368</v>
      </c>
      <c r="K6" s="44" t="s">
        <v>145</v>
      </c>
      <c r="L6" s="44" t="s">
        <v>146</v>
      </c>
      <c r="M6" s="44" t="s">
        <v>150</v>
      </c>
      <c r="N6" s="44" t="s">
        <v>148</v>
      </c>
      <c r="O6" s="109" t="s">
        <v>354</v>
      </c>
      <c r="P6" s="46" t="s">
        <v>143</v>
      </c>
      <c r="Q6" s="110" t="s">
        <v>149</v>
      </c>
      <c r="R6" s="46" t="s">
        <v>142</v>
      </c>
      <c r="S6" s="46" t="s">
        <v>144</v>
      </c>
      <c r="T6" s="380"/>
      <c r="U6" s="36" t="s">
        <v>140</v>
      </c>
      <c r="V6" s="36" t="s">
        <v>368</v>
      </c>
      <c r="W6" s="36" t="s">
        <v>145</v>
      </c>
      <c r="X6" s="36" t="s">
        <v>146</v>
      </c>
      <c r="Y6" s="36" t="s">
        <v>150</v>
      </c>
      <c r="Z6" s="36" t="s">
        <v>148</v>
      </c>
      <c r="AA6" s="107" t="s">
        <v>354</v>
      </c>
      <c r="AB6" s="46" t="s">
        <v>143</v>
      </c>
      <c r="AC6" s="46" t="s">
        <v>149</v>
      </c>
      <c r="AD6" s="75" t="s">
        <v>142</v>
      </c>
      <c r="AE6" s="46" t="s">
        <v>144</v>
      </c>
      <c r="AF6" s="103" t="s">
        <v>353</v>
      </c>
      <c r="AG6" s="68" t="s">
        <v>140</v>
      </c>
      <c r="AH6" s="68" t="s">
        <v>368</v>
      </c>
      <c r="AI6" s="68" t="s">
        <v>145</v>
      </c>
      <c r="AJ6" s="68" t="s">
        <v>146</v>
      </c>
      <c r="AK6" s="68" t="s">
        <v>150</v>
      </c>
      <c r="AL6" s="68" t="s">
        <v>148</v>
      </c>
      <c r="AM6" s="75" t="s">
        <v>354</v>
      </c>
      <c r="AN6" s="46" t="s">
        <v>143</v>
      </c>
      <c r="AO6" s="77" t="s">
        <v>149</v>
      </c>
      <c r="AP6" s="77" t="s">
        <v>142</v>
      </c>
      <c r="AQ6" s="77" t="s">
        <v>144</v>
      </c>
      <c r="AR6" s="78" t="s">
        <v>147</v>
      </c>
      <c r="AS6" s="111"/>
      <c r="AT6" s="194" t="s">
        <v>140</v>
      </c>
      <c r="AU6" s="194" t="s">
        <v>142</v>
      </c>
      <c r="AV6" s="194" t="s">
        <v>145</v>
      </c>
      <c r="AW6" s="194" t="s">
        <v>146</v>
      </c>
      <c r="AX6" s="194" t="s">
        <v>150</v>
      </c>
      <c r="AY6" s="194" t="s">
        <v>148</v>
      </c>
      <c r="AZ6" s="75" t="s">
        <v>354</v>
      </c>
      <c r="BA6" s="46" t="s">
        <v>143</v>
      </c>
      <c r="BB6" s="77" t="s">
        <v>149</v>
      </c>
      <c r="BC6" s="77" t="s">
        <v>355</v>
      </c>
      <c r="BD6" s="77" t="s">
        <v>144</v>
      </c>
      <c r="BE6" s="192" t="s">
        <v>147</v>
      </c>
      <c r="BF6" s="197"/>
    </row>
    <row r="7" spans="1:58" ht="14.25" x14ac:dyDescent="0.45">
      <c r="A7" s="3" t="s">
        <v>165</v>
      </c>
      <c r="B7" s="3" t="s">
        <v>166</v>
      </c>
      <c r="C7" s="3" t="s">
        <v>167</v>
      </c>
      <c r="D7" s="3" t="s">
        <v>168</v>
      </c>
      <c r="E7" s="3" t="s">
        <v>169</v>
      </c>
      <c r="F7" s="15" t="s">
        <v>486</v>
      </c>
      <c r="G7" s="16" t="s">
        <v>487</v>
      </c>
      <c r="H7" s="128" t="s">
        <v>488</v>
      </c>
      <c r="I7" s="129" t="s">
        <v>489</v>
      </c>
      <c r="J7" s="45" t="s">
        <v>4203</v>
      </c>
      <c r="K7" s="45" t="s">
        <v>491</v>
      </c>
      <c r="L7" s="45" t="s">
        <v>492</v>
      </c>
      <c r="M7" s="45" t="s">
        <v>493</v>
      </c>
      <c r="N7" s="45" t="s">
        <v>494</v>
      </c>
      <c r="O7" s="45" t="s">
        <v>495</v>
      </c>
      <c r="P7" s="45" t="s">
        <v>496</v>
      </c>
      <c r="Q7" s="45" t="s">
        <v>497</v>
      </c>
      <c r="R7" s="45" t="s">
        <v>490</v>
      </c>
      <c r="S7" s="45" t="s">
        <v>498</v>
      </c>
      <c r="T7" s="21" t="s">
        <v>499</v>
      </c>
      <c r="U7" s="120" t="s">
        <v>500</v>
      </c>
      <c r="V7" s="4" t="s">
        <v>4204</v>
      </c>
      <c r="W7" s="4" t="s">
        <v>502</v>
      </c>
      <c r="X7" s="4" t="s">
        <v>503</v>
      </c>
      <c r="Y7" s="4" t="s">
        <v>504</v>
      </c>
      <c r="Z7" s="4" t="s">
        <v>505</v>
      </c>
      <c r="AA7" s="4" t="s">
        <v>506</v>
      </c>
      <c r="AB7" s="4" t="s">
        <v>507</v>
      </c>
      <c r="AC7" s="4" t="s">
        <v>508</v>
      </c>
      <c r="AD7" s="7" t="s">
        <v>501</v>
      </c>
      <c r="AE7" s="7" t="s">
        <v>509</v>
      </c>
      <c r="AF7" s="7" t="s">
        <v>510</v>
      </c>
      <c r="AG7" s="206" t="s">
        <v>511</v>
      </c>
      <c r="AH7" s="207" t="s">
        <v>4205</v>
      </c>
      <c r="AI7" s="207" t="s">
        <v>513</v>
      </c>
      <c r="AJ7" s="207" t="s">
        <v>514</v>
      </c>
      <c r="AK7" s="207" t="s">
        <v>515</v>
      </c>
      <c r="AL7" s="207" t="s">
        <v>516</v>
      </c>
      <c r="AM7" s="207" t="s">
        <v>517</v>
      </c>
      <c r="AN7" s="207" t="s">
        <v>518</v>
      </c>
      <c r="AO7" s="207" t="s">
        <v>519</v>
      </c>
      <c r="AP7" s="207" t="s">
        <v>512</v>
      </c>
      <c r="AQ7" s="207" t="s">
        <v>520</v>
      </c>
      <c r="AR7" s="207" t="s">
        <v>4232</v>
      </c>
      <c r="AS7" s="208" t="s">
        <v>521</v>
      </c>
      <c r="AT7" s="206" t="s">
        <v>4115</v>
      </c>
      <c r="AU7" s="207" t="s">
        <v>4206</v>
      </c>
      <c r="AV7" s="207" t="s">
        <v>4117</v>
      </c>
      <c r="AW7" s="207" t="s">
        <v>4118</v>
      </c>
      <c r="AX7" s="207" t="s">
        <v>4119</v>
      </c>
      <c r="AY7" s="207" t="s">
        <v>4120</v>
      </c>
      <c r="AZ7" s="207" t="s">
        <v>4121</v>
      </c>
      <c r="BA7" s="207" t="s">
        <v>4122</v>
      </c>
      <c r="BB7" s="207" t="s">
        <v>4123</v>
      </c>
      <c r="BC7" s="207" t="s">
        <v>4116</v>
      </c>
      <c r="BD7" s="207" t="s">
        <v>4124</v>
      </c>
      <c r="BE7" s="207" t="s">
        <v>4233</v>
      </c>
      <c r="BF7" s="208" t="s">
        <v>4125</v>
      </c>
    </row>
    <row r="8" spans="1:58" ht="14.25" x14ac:dyDescent="0.45">
      <c r="A8" t="s">
        <v>243</v>
      </c>
      <c r="B8" t="s">
        <v>244</v>
      </c>
      <c r="C8" t="s">
        <v>245</v>
      </c>
      <c r="D8" t="s">
        <v>199</v>
      </c>
      <c r="E8" t="s">
        <v>246</v>
      </c>
      <c r="F8" s="55">
        <v>0</v>
      </c>
      <c r="G8" s="51">
        <v>0</v>
      </c>
      <c r="H8" s="51"/>
      <c r="I8" s="125">
        <v>0</v>
      </c>
      <c r="J8" s="51">
        <v>0</v>
      </c>
      <c r="K8" s="51">
        <v>0</v>
      </c>
      <c r="L8" s="51">
        <v>0</v>
      </c>
      <c r="M8" s="51">
        <v>0</v>
      </c>
      <c r="N8" s="51">
        <v>0</v>
      </c>
      <c r="O8" s="51">
        <v>0</v>
      </c>
      <c r="P8" s="51">
        <v>0</v>
      </c>
      <c r="Q8" s="51">
        <v>0</v>
      </c>
      <c r="R8" s="51">
        <v>0</v>
      </c>
      <c r="S8" s="51"/>
      <c r="T8" s="51">
        <v>0</v>
      </c>
      <c r="U8" s="125"/>
      <c r="V8" s="51"/>
      <c r="W8" s="51"/>
      <c r="X8" s="51"/>
      <c r="Y8" s="51">
        <v>0</v>
      </c>
      <c r="Z8" s="51"/>
      <c r="AA8" s="51"/>
      <c r="AB8" s="51"/>
      <c r="AC8" s="51"/>
      <c r="AD8" s="51"/>
      <c r="AE8" s="51"/>
      <c r="AF8" s="51"/>
      <c r="AG8" s="198">
        <v>0</v>
      </c>
      <c r="AH8" s="199">
        <v>0</v>
      </c>
      <c r="AI8" s="199">
        <v>0</v>
      </c>
      <c r="AJ8" s="199">
        <v>0</v>
      </c>
      <c r="AK8" s="199">
        <v>0</v>
      </c>
      <c r="AL8" s="199">
        <v>0</v>
      </c>
      <c r="AM8" s="199">
        <v>0</v>
      </c>
      <c r="AN8" s="199">
        <v>0</v>
      </c>
      <c r="AO8" s="199">
        <v>0</v>
      </c>
      <c r="AP8" s="199">
        <v>0</v>
      </c>
      <c r="AQ8" s="199">
        <v>0</v>
      </c>
      <c r="AR8" s="199">
        <v>0</v>
      </c>
      <c r="AS8" s="200">
        <v>0</v>
      </c>
      <c r="AT8" s="198">
        <v>0</v>
      </c>
      <c r="AU8" s="199">
        <v>0</v>
      </c>
      <c r="AV8" s="199">
        <v>0</v>
      </c>
      <c r="AW8" s="199">
        <v>0</v>
      </c>
      <c r="AX8" s="199">
        <v>0</v>
      </c>
      <c r="AY8" s="199">
        <v>0</v>
      </c>
      <c r="AZ8" s="199">
        <v>0</v>
      </c>
      <c r="BA8" s="199">
        <v>0</v>
      </c>
      <c r="BB8" s="199">
        <v>0</v>
      </c>
      <c r="BC8" s="199">
        <v>0</v>
      </c>
      <c r="BD8" s="199">
        <v>0</v>
      </c>
      <c r="BE8" s="199">
        <v>0</v>
      </c>
      <c r="BF8" s="200">
        <v>0</v>
      </c>
    </row>
    <row r="9" spans="1:58" ht="14.25" x14ac:dyDescent="0.45">
      <c r="A9" t="s">
        <v>247</v>
      </c>
      <c r="B9" t="s">
        <v>248</v>
      </c>
      <c r="C9" t="s">
        <v>245</v>
      </c>
      <c r="D9" t="s">
        <v>199</v>
      </c>
      <c r="E9" t="s">
        <v>249</v>
      </c>
      <c r="F9" s="55">
        <v>0</v>
      </c>
      <c r="G9" s="51">
        <v>0</v>
      </c>
      <c r="H9" s="51"/>
      <c r="I9" s="125">
        <v>0</v>
      </c>
      <c r="J9" s="51">
        <v>0</v>
      </c>
      <c r="K9" s="51">
        <v>0</v>
      </c>
      <c r="L9" s="51">
        <v>0</v>
      </c>
      <c r="M9" s="51">
        <v>0</v>
      </c>
      <c r="N9" s="51">
        <v>0</v>
      </c>
      <c r="O9" s="51">
        <v>0</v>
      </c>
      <c r="P9" s="51">
        <v>0</v>
      </c>
      <c r="Q9" s="51">
        <v>0</v>
      </c>
      <c r="R9" s="51">
        <v>0</v>
      </c>
      <c r="S9" s="51"/>
      <c r="T9" s="51">
        <v>0</v>
      </c>
      <c r="U9" s="125"/>
      <c r="V9" s="51"/>
      <c r="W9" s="51"/>
      <c r="X9" s="51"/>
      <c r="Y9" s="51">
        <v>0</v>
      </c>
      <c r="Z9" s="51"/>
      <c r="AA9" s="51"/>
      <c r="AB9" s="51"/>
      <c r="AC9" s="51"/>
      <c r="AD9" s="51"/>
      <c r="AE9" s="51"/>
      <c r="AF9" s="51"/>
      <c r="AG9" s="57">
        <v>0</v>
      </c>
      <c r="AH9" s="51">
        <v>0</v>
      </c>
      <c r="AI9" s="51">
        <v>0</v>
      </c>
      <c r="AJ9" s="51">
        <v>0</v>
      </c>
      <c r="AK9" s="51">
        <v>0</v>
      </c>
      <c r="AL9" s="51">
        <v>0</v>
      </c>
      <c r="AM9" s="51">
        <v>0</v>
      </c>
      <c r="AN9" s="51">
        <v>0</v>
      </c>
      <c r="AO9" s="51">
        <v>0</v>
      </c>
      <c r="AP9" s="51">
        <v>0</v>
      </c>
      <c r="AQ9" s="51">
        <v>0</v>
      </c>
      <c r="AR9" s="51">
        <v>0</v>
      </c>
      <c r="AS9" s="201">
        <v>0</v>
      </c>
      <c r="AT9" s="57">
        <v>0</v>
      </c>
      <c r="AU9" s="51">
        <v>0</v>
      </c>
      <c r="AV9" s="51">
        <v>0</v>
      </c>
      <c r="AW9" s="51">
        <v>0</v>
      </c>
      <c r="AX9" s="51">
        <v>0</v>
      </c>
      <c r="AY9" s="51">
        <v>0</v>
      </c>
      <c r="AZ9" s="51">
        <v>0</v>
      </c>
      <c r="BA9" s="51">
        <v>0</v>
      </c>
      <c r="BB9" s="51">
        <v>0</v>
      </c>
      <c r="BC9" s="51">
        <v>0</v>
      </c>
      <c r="BD9" s="51">
        <v>0</v>
      </c>
      <c r="BE9" s="51">
        <v>0</v>
      </c>
      <c r="BF9" s="201">
        <v>0</v>
      </c>
    </row>
    <row r="10" spans="1:58" ht="14.25" x14ac:dyDescent="0.45">
      <c r="A10" t="s">
        <v>250</v>
      </c>
      <c r="B10" t="s">
        <v>251</v>
      </c>
      <c r="C10" t="s">
        <v>252</v>
      </c>
      <c r="D10" t="s">
        <v>193</v>
      </c>
      <c r="E10" t="s">
        <v>253</v>
      </c>
      <c r="F10" s="10">
        <v>23346</v>
      </c>
      <c r="G10" s="8">
        <v>204922</v>
      </c>
      <c r="H10" s="8">
        <v>228268</v>
      </c>
      <c r="I10" s="126">
        <v>3083</v>
      </c>
      <c r="J10" s="8">
        <v>9161</v>
      </c>
      <c r="K10" s="8">
        <v>18111</v>
      </c>
      <c r="L10" s="8">
        <v>21011</v>
      </c>
      <c r="M10" s="8">
        <v>19455</v>
      </c>
      <c r="N10" s="8">
        <v>21550</v>
      </c>
      <c r="O10" s="8">
        <v>21011</v>
      </c>
      <c r="P10" s="8">
        <v>10341</v>
      </c>
      <c r="Q10" s="8">
        <v>11766</v>
      </c>
      <c r="R10" s="8">
        <v>9161</v>
      </c>
      <c r="S10" s="8"/>
      <c r="T10" s="8">
        <v>21550</v>
      </c>
      <c r="U10" s="124">
        <v>5</v>
      </c>
      <c r="V10" s="52">
        <v>4</v>
      </c>
      <c r="W10" s="52">
        <v>4</v>
      </c>
      <c r="X10" s="52">
        <v>5</v>
      </c>
      <c r="Y10" s="52">
        <v>5</v>
      </c>
      <c r="Z10" s="52">
        <v>5</v>
      </c>
      <c r="AA10" s="52">
        <v>5</v>
      </c>
      <c r="AB10" s="52">
        <v>5</v>
      </c>
      <c r="AC10" s="52">
        <v>5</v>
      </c>
      <c r="AD10" s="52">
        <v>4</v>
      </c>
      <c r="AE10" s="52">
        <v>4</v>
      </c>
      <c r="AF10" s="8">
        <v>5</v>
      </c>
      <c r="AG10" s="54">
        <v>2775</v>
      </c>
      <c r="AH10" s="8">
        <v>9161</v>
      </c>
      <c r="AI10" s="8">
        <v>13450</v>
      </c>
      <c r="AJ10" s="8">
        <v>15758</v>
      </c>
      <c r="AK10" s="8">
        <v>15564</v>
      </c>
      <c r="AL10" s="8">
        <v>21550</v>
      </c>
      <c r="AM10" s="8">
        <v>15758</v>
      </c>
      <c r="AN10" s="8">
        <v>5861</v>
      </c>
      <c r="AO10" s="8">
        <v>588</v>
      </c>
      <c r="AP10" s="8">
        <v>9161</v>
      </c>
      <c r="AQ10" s="8">
        <v>0</v>
      </c>
      <c r="AR10" s="8">
        <v>11706</v>
      </c>
      <c r="AS10" s="202">
        <v>21550</v>
      </c>
      <c r="AT10" s="54">
        <v>2775</v>
      </c>
      <c r="AU10" s="8">
        <v>9161</v>
      </c>
      <c r="AV10" s="8">
        <v>13450</v>
      </c>
      <c r="AW10" s="8">
        <v>15758</v>
      </c>
      <c r="AX10" s="8">
        <v>15564</v>
      </c>
      <c r="AY10" s="8">
        <v>21550</v>
      </c>
      <c r="AZ10" s="8">
        <v>15758</v>
      </c>
      <c r="BA10" s="8">
        <v>5861</v>
      </c>
      <c r="BB10" s="8">
        <v>588</v>
      </c>
      <c r="BC10" s="8">
        <v>9161</v>
      </c>
      <c r="BD10" s="8">
        <v>0</v>
      </c>
      <c r="BE10" s="8">
        <v>11706</v>
      </c>
      <c r="BF10" s="202">
        <v>21550</v>
      </c>
    </row>
    <row r="11" spans="1:58" ht="14.25" x14ac:dyDescent="0.45">
      <c r="A11" t="s">
        <v>250</v>
      </c>
      <c r="B11" t="s">
        <v>251</v>
      </c>
      <c r="C11" t="s">
        <v>254</v>
      </c>
      <c r="D11" t="s">
        <v>196</v>
      </c>
      <c r="E11" t="s">
        <v>255</v>
      </c>
      <c r="F11" s="10">
        <v>37607</v>
      </c>
      <c r="G11" s="8">
        <v>61335.748157433001</v>
      </c>
      <c r="H11" s="8">
        <v>98942.748157433001</v>
      </c>
      <c r="I11" s="126">
        <v>4828</v>
      </c>
      <c r="J11" s="8">
        <v>13830</v>
      </c>
      <c r="K11" s="8">
        <v>29175</v>
      </c>
      <c r="L11" s="8">
        <v>32235</v>
      </c>
      <c r="M11" s="8">
        <v>26454</v>
      </c>
      <c r="N11" s="8">
        <v>30643</v>
      </c>
      <c r="O11" s="8">
        <v>32235</v>
      </c>
      <c r="P11" s="8">
        <v>14826</v>
      </c>
      <c r="Q11" s="8">
        <v>14742</v>
      </c>
      <c r="R11" s="8">
        <v>13830</v>
      </c>
      <c r="S11" s="8"/>
      <c r="T11" s="8">
        <v>32235</v>
      </c>
      <c r="U11" s="124">
        <v>4</v>
      </c>
      <c r="V11" s="52">
        <v>4</v>
      </c>
      <c r="W11" s="52">
        <v>4</v>
      </c>
      <c r="X11" s="52">
        <v>4</v>
      </c>
      <c r="Y11" s="52">
        <v>4</v>
      </c>
      <c r="Z11" s="52">
        <v>4</v>
      </c>
      <c r="AA11" s="52">
        <v>4</v>
      </c>
      <c r="AB11" s="52">
        <v>4</v>
      </c>
      <c r="AC11" s="52">
        <v>4</v>
      </c>
      <c r="AD11" s="52">
        <v>4</v>
      </c>
      <c r="AE11" s="52">
        <v>4</v>
      </c>
      <c r="AF11" s="8">
        <v>4</v>
      </c>
      <c r="AG11" s="54">
        <v>4346</v>
      </c>
      <c r="AH11" s="8">
        <v>13830</v>
      </c>
      <c r="AI11" s="8">
        <v>23341</v>
      </c>
      <c r="AJ11" s="8">
        <v>24176</v>
      </c>
      <c r="AK11" s="8">
        <v>21163</v>
      </c>
      <c r="AL11" s="8">
        <v>30643</v>
      </c>
      <c r="AM11" s="8">
        <v>24176</v>
      </c>
      <c r="AN11" s="8">
        <v>8508</v>
      </c>
      <c r="AO11" s="8">
        <v>7371</v>
      </c>
      <c r="AP11" s="8">
        <v>13830</v>
      </c>
      <c r="AQ11" s="8">
        <v>0</v>
      </c>
      <c r="AR11" s="8">
        <v>11905</v>
      </c>
      <c r="AS11" s="202">
        <v>30643</v>
      </c>
      <c r="AT11" s="54">
        <v>4346</v>
      </c>
      <c r="AU11" s="8">
        <v>13830</v>
      </c>
      <c r="AV11" s="8">
        <v>23341</v>
      </c>
      <c r="AW11" s="8">
        <v>24176</v>
      </c>
      <c r="AX11" s="8">
        <v>21163</v>
      </c>
      <c r="AY11" s="8">
        <v>30643</v>
      </c>
      <c r="AZ11" s="8">
        <v>24176</v>
      </c>
      <c r="BA11" s="8">
        <v>8508</v>
      </c>
      <c r="BB11" s="8">
        <v>7371</v>
      </c>
      <c r="BC11" s="8">
        <v>13830</v>
      </c>
      <c r="BD11" s="8">
        <v>0</v>
      </c>
      <c r="BE11" s="8">
        <v>11905</v>
      </c>
      <c r="BF11" s="202">
        <v>30643</v>
      </c>
    </row>
    <row r="12" spans="1:58" ht="14.25" x14ac:dyDescent="0.45">
      <c r="A12" t="s">
        <v>250</v>
      </c>
      <c r="B12" t="s">
        <v>251</v>
      </c>
      <c r="C12" t="s">
        <v>256</v>
      </c>
      <c r="D12" t="s">
        <v>199</v>
      </c>
      <c r="E12" t="s">
        <v>257</v>
      </c>
      <c r="F12" s="55">
        <v>0</v>
      </c>
      <c r="G12" s="51">
        <v>0</v>
      </c>
      <c r="H12" s="51"/>
      <c r="I12" s="125">
        <v>0</v>
      </c>
      <c r="J12" s="51">
        <v>0</v>
      </c>
      <c r="K12" s="51">
        <v>0</v>
      </c>
      <c r="L12" s="51">
        <v>0</v>
      </c>
      <c r="M12" s="51">
        <v>0</v>
      </c>
      <c r="N12" s="51">
        <v>0</v>
      </c>
      <c r="O12" s="51">
        <v>0</v>
      </c>
      <c r="P12" s="51">
        <v>0</v>
      </c>
      <c r="Q12" s="51">
        <v>0</v>
      </c>
      <c r="R12" s="51">
        <v>0</v>
      </c>
      <c r="S12" s="51"/>
      <c r="T12" s="51">
        <v>0</v>
      </c>
      <c r="U12" s="125"/>
      <c r="V12" s="51"/>
      <c r="W12" s="51"/>
      <c r="X12" s="51"/>
      <c r="Y12" s="51">
        <v>0</v>
      </c>
      <c r="Z12" s="51"/>
      <c r="AA12" s="51"/>
      <c r="AB12" s="51"/>
      <c r="AC12" s="51"/>
      <c r="AD12" s="51"/>
      <c r="AE12" s="51"/>
      <c r="AF12" s="51"/>
      <c r="AG12" s="57">
        <v>0</v>
      </c>
      <c r="AH12" s="51">
        <v>0</v>
      </c>
      <c r="AI12" s="51">
        <v>0</v>
      </c>
      <c r="AJ12" s="51">
        <v>0</v>
      </c>
      <c r="AK12" s="51">
        <v>0</v>
      </c>
      <c r="AL12" s="51">
        <v>0</v>
      </c>
      <c r="AM12" s="51">
        <v>0</v>
      </c>
      <c r="AN12" s="51">
        <v>0</v>
      </c>
      <c r="AO12" s="51">
        <v>0</v>
      </c>
      <c r="AP12" s="51">
        <v>0</v>
      </c>
      <c r="AQ12" s="51">
        <v>0</v>
      </c>
      <c r="AR12" s="51">
        <v>0</v>
      </c>
      <c r="AS12" s="201">
        <v>0</v>
      </c>
      <c r="AT12" s="57">
        <v>0</v>
      </c>
      <c r="AU12" s="51">
        <v>0</v>
      </c>
      <c r="AV12" s="51">
        <v>0</v>
      </c>
      <c r="AW12" s="51">
        <v>0</v>
      </c>
      <c r="AX12" s="51">
        <v>0</v>
      </c>
      <c r="AY12" s="51">
        <v>0</v>
      </c>
      <c r="AZ12" s="51">
        <v>0</v>
      </c>
      <c r="BA12" s="51">
        <v>0</v>
      </c>
      <c r="BB12" s="51">
        <v>0</v>
      </c>
      <c r="BC12" s="51">
        <v>0</v>
      </c>
      <c r="BD12" s="51">
        <v>0</v>
      </c>
      <c r="BE12" s="51">
        <v>0</v>
      </c>
      <c r="BF12" s="201">
        <v>0</v>
      </c>
    </row>
    <row r="13" spans="1:58" ht="14.25" x14ac:dyDescent="0.45">
      <c r="A13" t="s">
        <v>258</v>
      </c>
      <c r="B13" t="s">
        <v>259</v>
      </c>
      <c r="C13" t="s">
        <v>252</v>
      </c>
      <c r="D13" t="s">
        <v>193</v>
      </c>
      <c r="E13" t="s">
        <v>260</v>
      </c>
      <c r="F13" s="10">
        <v>28205</v>
      </c>
      <c r="G13" s="8">
        <v>152005</v>
      </c>
      <c r="H13" s="8">
        <v>180210</v>
      </c>
      <c r="I13" s="126">
        <v>3343</v>
      </c>
      <c r="J13" s="8">
        <v>12387</v>
      </c>
      <c r="K13" s="8">
        <v>21881</v>
      </c>
      <c r="L13" s="8">
        <v>25385</v>
      </c>
      <c r="M13" s="8">
        <v>24925</v>
      </c>
      <c r="N13" s="8">
        <v>26237</v>
      </c>
      <c r="O13" s="8">
        <v>25385</v>
      </c>
      <c r="P13" s="8">
        <v>10479</v>
      </c>
      <c r="Q13" s="8">
        <v>14215</v>
      </c>
      <c r="R13" s="8">
        <v>12387</v>
      </c>
      <c r="S13" s="8"/>
      <c r="T13" s="8">
        <v>26237</v>
      </c>
      <c r="U13" s="124">
        <v>5</v>
      </c>
      <c r="V13" s="52">
        <v>4</v>
      </c>
      <c r="W13" s="52">
        <v>4</v>
      </c>
      <c r="X13" s="52">
        <v>5</v>
      </c>
      <c r="Y13" s="52">
        <v>5</v>
      </c>
      <c r="Z13" s="52">
        <v>5</v>
      </c>
      <c r="AA13" s="52">
        <v>5</v>
      </c>
      <c r="AB13" s="52">
        <v>5</v>
      </c>
      <c r="AC13" s="52">
        <v>5</v>
      </c>
      <c r="AD13" s="52">
        <v>4</v>
      </c>
      <c r="AE13" s="52">
        <v>4</v>
      </c>
      <c r="AF13" s="8">
        <v>5</v>
      </c>
      <c r="AG13" s="54">
        <v>3008</v>
      </c>
      <c r="AH13" s="8">
        <v>12387</v>
      </c>
      <c r="AI13" s="8">
        <v>16249</v>
      </c>
      <c r="AJ13" s="8">
        <v>19039</v>
      </c>
      <c r="AK13" s="8">
        <v>19940</v>
      </c>
      <c r="AL13" s="8">
        <v>26237</v>
      </c>
      <c r="AM13" s="8">
        <v>19039</v>
      </c>
      <c r="AN13" s="8">
        <v>6009</v>
      </c>
      <c r="AO13" s="8">
        <v>711</v>
      </c>
      <c r="AP13" s="8">
        <v>12387</v>
      </c>
      <c r="AQ13" s="8">
        <v>0</v>
      </c>
      <c r="AR13" s="8">
        <v>25146</v>
      </c>
      <c r="AS13" s="202">
        <v>26237</v>
      </c>
      <c r="AT13" s="54">
        <v>3008</v>
      </c>
      <c r="AU13" s="8">
        <v>12387</v>
      </c>
      <c r="AV13" s="8">
        <v>16249</v>
      </c>
      <c r="AW13" s="8">
        <v>19039</v>
      </c>
      <c r="AX13" s="8">
        <v>19940</v>
      </c>
      <c r="AY13" s="8">
        <v>26237</v>
      </c>
      <c r="AZ13" s="8">
        <v>19039</v>
      </c>
      <c r="BA13" s="8">
        <v>6009</v>
      </c>
      <c r="BB13" s="8">
        <v>711</v>
      </c>
      <c r="BC13" s="8">
        <v>12387</v>
      </c>
      <c r="BD13" s="8">
        <v>0</v>
      </c>
      <c r="BE13" s="8">
        <v>25146</v>
      </c>
      <c r="BF13" s="202">
        <v>26237</v>
      </c>
    </row>
    <row r="14" spans="1:58" ht="14.25" x14ac:dyDescent="0.45">
      <c r="A14" t="s">
        <v>258</v>
      </c>
      <c r="B14" t="s">
        <v>259</v>
      </c>
      <c r="C14" t="s">
        <v>254</v>
      </c>
      <c r="D14" t="s">
        <v>196</v>
      </c>
      <c r="E14" t="s">
        <v>261</v>
      </c>
      <c r="F14" s="10">
        <v>10472</v>
      </c>
      <c r="G14" s="8">
        <v>35228.320498224006</v>
      </c>
      <c r="H14" s="8">
        <v>45700.320498224006</v>
      </c>
      <c r="I14" s="126">
        <v>1152</v>
      </c>
      <c r="J14" s="8">
        <v>3205</v>
      </c>
      <c r="K14" s="8">
        <v>8124</v>
      </c>
      <c r="L14" s="8">
        <v>9425</v>
      </c>
      <c r="M14" s="8">
        <v>8373</v>
      </c>
      <c r="N14" s="8">
        <v>8499</v>
      </c>
      <c r="O14" s="8">
        <v>9425</v>
      </c>
      <c r="P14" s="8">
        <v>3883</v>
      </c>
      <c r="Q14" s="8">
        <v>5278</v>
      </c>
      <c r="R14" s="8">
        <v>3205</v>
      </c>
      <c r="S14" s="8"/>
      <c r="T14" s="8">
        <v>9425</v>
      </c>
      <c r="U14" s="124">
        <v>5</v>
      </c>
      <c r="V14" s="52">
        <v>4</v>
      </c>
      <c r="W14" s="52">
        <v>4</v>
      </c>
      <c r="X14" s="52">
        <v>5</v>
      </c>
      <c r="Y14" s="52">
        <v>5</v>
      </c>
      <c r="Z14" s="52">
        <v>4</v>
      </c>
      <c r="AA14" s="52">
        <v>5</v>
      </c>
      <c r="AB14" s="52">
        <v>5</v>
      </c>
      <c r="AC14" s="52">
        <v>5</v>
      </c>
      <c r="AD14" s="52">
        <v>4</v>
      </c>
      <c r="AE14" s="52">
        <v>4</v>
      </c>
      <c r="AF14" s="8">
        <v>5</v>
      </c>
      <c r="AG14" s="54">
        <v>1037</v>
      </c>
      <c r="AH14" s="8">
        <v>3205</v>
      </c>
      <c r="AI14" s="8">
        <v>6499</v>
      </c>
      <c r="AJ14" s="8">
        <v>7069</v>
      </c>
      <c r="AK14" s="8">
        <v>6698</v>
      </c>
      <c r="AL14" s="8">
        <v>8499</v>
      </c>
      <c r="AM14" s="8">
        <v>7069</v>
      </c>
      <c r="AN14" s="8">
        <v>2234</v>
      </c>
      <c r="AO14" s="8">
        <v>3167</v>
      </c>
      <c r="AP14" s="8">
        <v>3205</v>
      </c>
      <c r="AQ14" s="8">
        <v>0</v>
      </c>
      <c r="AR14" s="8">
        <v>6035</v>
      </c>
      <c r="AS14" s="202">
        <v>8499</v>
      </c>
      <c r="AT14" s="54">
        <v>1037</v>
      </c>
      <c r="AU14" s="8">
        <v>3205</v>
      </c>
      <c r="AV14" s="8">
        <v>6499</v>
      </c>
      <c r="AW14" s="8">
        <v>7069</v>
      </c>
      <c r="AX14" s="8">
        <v>6698</v>
      </c>
      <c r="AY14" s="8">
        <v>8499</v>
      </c>
      <c r="AZ14" s="8">
        <v>7069</v>
      </c>
      <c r="BA14" s="8">
        <v>2234</v>
      </c>
      <c r="BB14" s="8">
        <v>3167</v>
      </c>
      <c r="BC14" s="8">
        <v>3205</v>
      </c>
      <c r="BD14" s="8">
        <v>0</v>
      </c>
      <c r="BE14" s="8">
        <v>6035</v>
      </c>
      <c r="BF14" s="202">
        <v>8499</v>
      </c>
    </row>
    <row r="15" spans="1:58" ht="14.25" x14ac:dyDescent="0.45">
      <c r="A15" t="s">
        <v>262</v>
      </c>
      <c r="B15" t="s">
        <v>263</v>
      </c>
      <c r="C15" t="s">
        <v>245</v>
      </c>
      <c r="D15" t="s">
        <v>199</v>
      </c>
      <c r="E15" t="s">
        <v>264</v>
      </c>
      <c r="F15" s="55">
        <v>0</v>
      </c>
      <c r="G15" s="51">
        <v>0</v>
      </c>
      <c r="H15" s="51"/>
      <c r="I15" s="125">
        <v>0</v>
      </c>
      <c r="J15" s="51">
        <v>0</v>
      </c>
      <c r="K15" s="51">
        <v>0</v>
      </c>
      <c r="L15" s="51">
        <v>0</v>
      </c>
      <c r="M15" s="51">
        <v>0</v>
      </c>
      <c r="N15" s="51">
        <v>0</v>
      </c>
      <c r="O15" s="51">
        <v>0</v>
      </c>
      <c r="P15" s="51">
        <v>0</v>
      </c>
      <c r="Q15" s="51">
        <v>0</v>
      </c>
      <c r="R15" s="51">
        <v>0</v>
      </c>
      <c r="S15" s="51"/>
      <c r="T15" s="51">
        <v>0</v>
      </c>
      <c r="U15" s="125"/>
      <c r="V15" s="51"/>
      <c r="W15" s="51"/>
      <c r="X15" s="51"/>
      <c r="Y15" s="51">
        <v>0</v>
      </c>
      <c r="Z15" s="51"/>
      <c r="AA15" s="51"/>
      <c r="AB15" s="51"/>
      <c r="AC15" s="51"/>
      <c r="AD15" s="51"/>
      <c r="AE15" s="51"/>
      <c r="AF15" s="51"/>
      <c r="AG15" s="57">
        <v>0</v>
      </c>
      <c r="AH15" s="51">
        <v>0</v>
      </c>
      <c r="AI15" s="51">
        <v>0</v>
      </c>
      <c r="AJ15" s="51">
        <v>0</v>
      </c>
      <c r="AK15" s="51">
        <v>0</v>
      </c>
      <c r="AL15" s="51">
        <v>0</v>
      </c>
      <c r="AM15" s="51">
        <v>0</v>
      </c>
      <c r="AN15" s="51">
        <v>0</v>
      </c>
      <c r="AO15" s="51">
        <v>0</v>
      </c>
      <c r="AP15" s="51">
        <v>0</v>
      </c>
      <c r="AQ15" s="51">
        <v>0</v>
      </c>
      <c r="AR15" s="51">
        <v>0</v>
      </c>
      <c r="AS15" s="201">
        <v>0</v>
      </c>
      <c r="AT15" s="57">
        <v>0</v>
      </c>
      <c r="AU15" s="51">
        <v>0</v>
      </c>
      <c r="AV15" s="51">
        <v>0</v>
      </c>
      <c r="AW15" s="51">
        <v>0</v>
      </c>
      <c r="AX15" s="51">
        <v>0</v>
      </c>
      <c r="AY15" s="51">
        <v>0</v>
      </c>
      <c r="AZ15" s="51">
        <v>0</v>
      </c>
      <c r="BA15" s="51">
        <v>0</v>
      </c>
      <c r="BB15" s="51">
        <v>0</v>
      </c>
      <c r="BC15" s="51">
        <v>0</v>
      </c>
      <c r="BD15" s="51">
        <v>0</v>
      </c>
      <c r="BE15" s="51">
        <v>0</v>
      </c>
      <c r="BF15" s="201">
        <v>0</v>
      </c>
    </row>
    <row r="16" spans="1:58" ht="14.25" x14ac:dyDescent="0.45">
      <c r="A16" t="s">
        <v>265</v>
      </c>
      <c r="B16" t="s">
        <v>266</v>
      </c>
      <c r="C16" t="s">
        <v>245</v>
      </c>
      <c r="D16" t="s">
        <v>199</v>
      </c>
      <c r="E16" t="s">
        <v>267</v>
      </c>
      <c r="F16" s="55">
        <v>0</v>
      </c>
      <c r="G16" s="51">
        <v>0</v>
      </c>
      <c r="H16" s="51"/>
      <c r="I16" s="125">
        <v>0</v>
      </c>
      <c r="J16" s="51">
        <v>0</v>
      </c>
      <c r="K16" s="51">
        <v>0</v>
      </c>
      <c r="L16" s="51">
        <v>0</v>
      </c>
      <c r="M16" s="51">
        <v>0</v>
      </c>
      <c r="N16" s="51">
        <v>0</v>
      </c>
      <c r="O16" s="51">
        <v>0</v>
      </c>
      <c r="P16" s="51">
        <v>0</v>
      </c>
      <c r="Q16" s="51">
        <v>0</v>
      </c>
      <c r="R16" s="51">
        <v>0</v>
      </c>
      <c r="S16" s="51"/>
      <c r="T16" s="51">
        <v>0</v>
      </c>
      <c r="U16" s="125"/>
      <c r="V16" s="51"/>
      <c r="W16" s="51"/>
      <c r="X16" s="51"/>
      <c r="Y16" s="51">
        <v>0</v>
      </c>
      <c r="Z16" s="51"/>
      <c r="AA16" s="51"/>
      <c r="AB16" s="51"/>
      <c r="AC16" s="51"/>
      <c r="AD16" s="51"/>
      <c r="AE16" s="51"/>
      <c r="AF16" s="51"/>
      <c r="AG16" s="57">
        <v>0</v>
      </c>
      <c r="AH16" s="51">
        <v>0</v>
      </c>
      <c r="AI16" s="51">
        <v>0</v>
      </c>
      <c r="AJ16" s="51">
        <v>0</v>
      </c>
      <c r="AK16" s="51">
        <v>0</v>
      </c>
      <c r="AL16" s="51">
        <v>0</v>
      </c>
      <c r="AM16" s="51">
        <v>0</v>
      </c>
      <c r="AN16" s="51">
        <v>0</v>
      </c>
      <c r="AO16" s="51">
        <v>0</v>
      </c>
      <c r="AP16" s="51">
        <v>0</v>
      </c>
      <c r="AQ16" s="51">
        <v>0</v>
      </c>
      <c r="AR16" s="51">
        <v>0</v>
      </c>
      <c r="AS16" s="201">
        <v>0</v>
      </c>
      <c r="AT16" s="57">
        <v>0</v>
      </c>
      <c r="AU16" s="51">
        <v>0</v>
      </c>
      <c r="AV16" s="51">
        <v>0</v>
      </c>
      <c r="AW16" s="51">
        <v>0</v>
      </c>
      <c r="AX16" s="51">
        <v>0</v>
      </c>
      <c r="AY16" s="51">
        <v>0</v>
      </c>
      <c r="AZ16" s="51">
        <v>0</v>
      </c>
      <c r="BA16" s="51">
        <v>0</v>
      </c>
      <c r="BB16" s="51">
        <v>0</v>
      </c>
      <c r="BC16" s="51">
        <v>0</v>
      </c>
      <c r="BD16" s="51">
        <v>0</v>
      </c>
      <c r="BE16" s="51">
        <v>0</v>
      </c>
      <c r="BF16" s="201">
        <v>0</v>
      </c>
    </row>
    <row r="17" spans="1:58" ht="14.25" x14ac:dyDescent="0.45">
      <c r="A17" t="s">
        <v>268</v>
      </c>
      <c r="B17" t="s">
        <v>269</v>
      </c>
      <c r="C17" t="s">
        <v>252</v>
      </c>
      <c r="D17" t="s">
        <v>193</v>
      </c>
      <c r="E17" t="s">
        <v>270</v>
      </c>
      <c r="F17" s="10">
        <v>7270</v>
      </c>
      <c r="G17" s="8">
        <v>50450</v>
      </c>
      <c r="H17" s="8">
        <v>57720</v>
      </c>
      <c r="I17" s="126">
        <v>381</v>
      </c>
      <c r="J17" s="8">
        <v>3159</v>
      </c>
      <c r="K17" s="8">
        <v>5640</v>
      </c>
      <c r="L17" s="8">
        <v>4154</v>
      </c>
      <c r="M17" s="8">
        <v>5699</v>
      </c>
      <c r="N17" s="8">
        <v>7270</v>
      </c>
      <c r="O17" s="8">
        <v>4154</v>
      </c>
      <c r="P17" s="8">
        <v>3452</v>
      </c>
      <c r="Q17" s="8">
        <v>3664</v>
      </c>
      <c r="R17" s="8">
        <v>3159</v>
      </c>
      <c r="S17" s="8"/>
      <c r="T17" s="8">
        <v>7270</v>
      </c>
      <c r="U17" s="124">
        <v>5</v>
      </c>
      <c r="V17" s="52">
        <v>4</v>
      </c>
      <c r="W17" s="52">
        <v>4</v>
      </c>
      <c r="X17" s="52">
        <v>5</v>
      </c>
      <c r="Y17" s="52">
        <v>5</v>
      </c>
      <c r="Z17" s="52">
        <v>5</v>
      </c>
      <c r="AA17" s="52">
        <v>4</v>
      </c>
      <c r="AB17" s="52">
        <v>5</v>
      </c>
      <c r="AC17" s="52">
        <v>5</v>
      </c>
      <c r="AD17" s="52">
        <v>4</v>
      </c>
      <c r="AE17" s="52">
        <v>4</v>
      </c>
      <c r="AF17" s="8">
        <v>5</v>
      </c>
      <c r="AG17" s="54">
        <v>343</v>
      </c>
      <c r="AH17" s="8">
        <v>3159</v>
      </c>
      <c r="AI17" s="8">
        <v>4188</v>
      </c>
      <c r="AJ17" s="8">
        <v>3116</v>
      </c>
      <c r="AK17" s="8">
        <v>4560</v>
      </c>
      <c r="AL17" s="8">
        <v>7270</v>
      </c>
      <c r="AM17" s="8">
        <v>3116</v>
      </c>
      <c r="AN17" s="8">
        <v>1988</v>
      </c>
      <c r="AO17" s="8">
        <v>183</v>
      </c>
      <c r="AP17" s="8">
        <v>3159</v>
      </c>
      <c r="AQ17" s="8">
        <v>0</v>
      </c>
      <c r="AR17" s="8">
        <v>2320</v>
      </c>
      <c r="AS17" s="202">
        <v>7270</v>
      </c>
      <c r="AT17" s="54">
        <v>343</v>
      </c>
      <c r="AU17" s="8">
        <v>3159</v>
      </c>
      <c r="AV17" s="8">
        <v>4188</v>
      </c>
      <c r="AW17" s="8">
        <v>3116</v>
      </c>
      <c r="AX17" s="8">
        <v>4560</v>
      </c>
      <c r="AY17" s="8">
        <v>7270</v>
      </c>
      <c r="AZ17" s="8">
        <v>3116</v>
      </c>
      <c r="BA17" s="8">
        <v>1988</v>
      </c>
      <c r="BB17" s="8">
        <v>183</v>
      </c>
      <c r="BC17" s="8">
        <v>3159</v>
      </c>
      <c r="BD17" s="8">
        <v>0</v>
      </c>
      <c r="BE17" s="8">
        <v>2320</v>
      </c>
      <c r="BF17" s="202">
        <v>7270</v>
      </c>
    </row>
    <row r="18" spans="1:58" ht="14.25" x14ac:dyDescent="0.45">
      <c r="A18" t="s">
        <v>268</v>
      </c>
      <c r="B18" t="s">
        <v>269</v>
      </c>
      <c r="C18" t="s">
        <v>271</v>
      </c>
      <c r="D18" t="s">
        <v>196</v>
      </c>
      <c r="E18" t="s">
        <v>272</v>
      </c>
      <c r="F18" s="10">
        <v>22234</v>
      </c>
      <c r="G18" s="8">
        <v>20057.226344045768</v>
      </c>
      <c r="H18" s="8">
        <v>42291.226344045768</v>
      </c>
      <c r="I18" s="126">
        <v>1165</v>
      </c>
      <c r="J18" s="8">
        <v>6915</v>
      </c>
      <c r="K18" s="8">
        <v>17249</v>
      </c>
      <c r="L18" s="8">
        <v>18964</v>
      </c>
      <c r="M18" s="8">
        <v>13786</v>
      </c>
      <c r="N18" s="8">
        <v>13340</v>
      </c>
      <c r="O18" s="8">
        <v>18964</v>
      </c>
      <c r="P18" s="8">
        <v>10550</v>
      </c>
      <c r="Q18" s="8">
        <v>8716</v>
      </c>
      <c r="R18" s="8">
        <v>6915</v>
      </c>
      <c r="S18" s="8"/>
      <c r="T18" s="8">
        <v>18964</v>
      </c>
      <c r="U18" s="124">
        <v>4</v>
      </c>
      <c r="V18" s="52">
        <v>4</v>
      </c>
      <c r="W18" s="52">
        <v>4</v>
      </c>
      <c r="X18" s="52">
        <v>4</v>
      </c>
      <c r="Y18" s="52">
        <v>4</v>
      </c>
      <c r="Z18" s="52">
        <v>4</v>
      </c>
      <c r="AA18" s="52">
        <v>4</v>
      </c>
      <c r="AB18" s="52">
        <v>4</v>
      </c>
      <c r="AC18" s="52">
        <v>4</v>
      </c>
      <c r="AD18" s="52">
        <v>4</v>
      </c>
      <c r="AE18" s="52">
        <v>4</v>
      </c>
      <c r="AF18" s="8">
        <v>4</v>
      </c>
      <c r="AG18" s="54">
        <v>1049</v>
      </c>
      <c r="AH18" s="8">
        <v>6915</v>
      </c>
      <c r="AI18" s="8">
        <v>13800</v>
      </c>
      <c r="AJ18" s="8">
        <v>14223</v>
      </c>
      <c r="AK18" s="8">
        <v>11029</v>
      </c>
      <c r="AL18" s="8">
        <v>13340</v>
      </c>
      <c r="AM18" s="8">
        <v>14223</v>
      </c>
      <c r="AN18" s="8">
        <v>6037</v>
      </c>
      <c r="AO18" s="8">
        <v>4358</v>
      </c>
      <c r="AP18" s="8">
        <v>6915</v>
      </c>
      <c r="AQ18" s="8">
        <v>0</v>
      </c>
      <c r="AR18" s="8">
        <v>1444</v>
      </c>
      <c r="AS18" s="202">
        <v>14223</v>
      </c>
      <c r="AT18" s="54">
        <v>1049</v>
      </c>
      <c r="AU18" s="8">
        <v>6915</v>
      </c>
      <c r="AV18" s="8">
        <v>13800</v>
      </c>
      <c r="AW18" s="8">
        <v>14223</v>
      </c>
      <c r="AX18" s="8">
        <v>11029</v>
      </c>
      <c r="AY18" s="8">
        <v>13340</v>
      </c>
      <c r="AZ18" s="8">
        <v>14223</v>
      </c>
      <c r="BA18" s="8">
        <v>6037</v>
      </c>
      <c r="BB18" s="8">
        <v>4358</v>
      </c>
      <c r="BC18" s="8">
        <v>6915</v>
      </c>
      <c r="BD18" s="8">
        <v>0</v>
      </c>
      <c r="BE18" s="8">
        <v>1444</v>
      </c>
      <c r="BF18" s="202">
        <v>14223</v>
      </c>
    </row>
    <row r="19" spans="1:58" ht="14.25" x14ac:dyDescent="0.45">
      <c r="A19" t="s">
        <v>268</v>
      </c>
      <c r="B19" t="s">
        <v>269</v>
      </c>
      <c r="C19" t="s">
        <v>256</v>
      </c>
      <c r="D19" t="s">
        <v>199</v>
      </c>
      <c r="E19" t="s">
        <v>273</v>
      </c>
      <c r="F19" s="55">
        <v>0</v>
      </c>
      <c r="G19" s="51">
        <v>0</v>
      </c>
      <c r="H19" s="51"/>
      <c r="I19" s="125">
        <v>0</v>
      </c>
      <c r="J19" s="51">
        <v>0</v>
      </c>
      <c r="K19" s="51">
        <v>0</v>
      </c>
      <c r="L19" s="51">
        <v>0</v>
      </c>
      <c r="M19" s="51">
        <v>0</v>
      </c>
      <c r="N19" s="51">
        <v>0</v>
      </c>
      <c r="O19" s="51">
        <v>0</v>
      </c>
      <c r="P19" s="51">
        <v>0</v>
      </c>
      <c r="Q19" s="51">
        <v>0</v>
      </c>
      <c r="R19" s="51">
        <v>0</v>
      </c>
      <c r="S19" s="51"/>
      <c r="T19" s="51">
        <v>0</v>
      </c>
      <c r="U19" s="125"/>
      <c r="V19" s="51"/>
      <c r="W19" s="51"/>
      <c r="X19" s="51"/>
      <c r="Y19" s="51">
        <v>0</v>
      </c>
      <c r="Z19" s="51" t="s">
        <v>484</v>
      </c>
      <c r="AA19" s="51"/>
      <c r="AB19" s="51"/>
      <c r="AC19" s="51"/>
      <c r="AD19" s="51"/>
      <c r="AE19" s="51"/>
      <c r="AF19" s="51"/>
      <c r="AG19" s="57">
        <v>0</v>
      </c>
      <c r="AH19" s="51">
        <v>0</v>
      </c>
      <c r="AI19" s="51">
        <v>0</v>
      </c>
      <c r="AJ19" s="51">
        <v>0</v>
      </c>
      <c r="AK19" s="51">
        <v>0</v>
      </c>
      <c r="AL19" s="51">
        <v>0</v>
      </c>
      <c r="AM19" s="51">
        <v>0</v>
      </c>
      <c r="AN19" s="51">
        <v>0</v>
      </c>
      <c r="AO19" s="51">
        <v>0</v>
      </c>
      <c r="AP19" s="51">
        <v>0</v>
      </c>
      <c r="AQ19" s="51">
        <v>0</v>
      </c>
      <c r="AR19" s="51">
        <v>0</v>
      </c>
      <c r="AS19" s="201">
        <v>0</v>
      </c>
      <c r="AT19" s="57">
        <v>0</v>
      </c>
      <c r="AU19" s="51">
        <v>0</v>
      </c>
      <c r="AV19" s="51">
        <v>0</v>
      </c>
      <c r="AW19" s="51">
        <v>0</v>
      </c>
      <c r="AX19" s="51">
        <v>0</v>
      </c>
      <c r="AY19" s="51">
        <v>0</v>
      </c>
      <c r="AZ19" s="51">
        <v>0</v>
      </c>
      <c r="BA19" s="51">
        <v>0</v>
      </c>
      <c r="BB19" s="51">
        <v>0</v>
      </c>
      <c r="BC19" s="51">
        <v>0</v>
      </c>
      <c r="BD19" s="51">
        <v>0</v>
      </c>
      <c r="BE19" s="51">
        <v>0</v>
      </c>
      <c r="BF19" s="201">
        <v>0</v>
      </c>
    </row>
    <row r="20" spans="1:58" ht="14.25" x14ac:dyDescent="0.45">
      <c r="A20" t="s">
        <v>268</v>
      </c>
      <c r="B20" t="s">
        <v>269</v>
      </c>
      <c r="C20" t="s">
        <v>274</v>
      </c>
      <c r="D20" t="s">
        <v>196</v>
      </c>
      <c r="E20" t="s">
        <v>275</v>
      </c>
      <c r="F20" s="10">
        <v>131221</v>
      </c>
      <c r="G20" s="8">
        <v>246952.55813953432</v>
      </c>
      <c r="H20" s="8">
        <v>378173.55813953432</v>
      </c>
      <c r="I20" s="126">
        <v>11553</v>
      </c>
      <c r="J20" s="8">
        <v>41136</v>
      </c>
      <c r="K20" s="8">
        <v>101798</v>
      </c>
      <c r="L20" s="8">
        <v>107076</v>
      </c>
      <c r="M20" s="8">
        <v>78326</v>
      </c>
      <c r="N20" s="8">
        <v>77420</v>
      </c>
      <c r="O20" s="8">
        <v>107076</v>
      </c>
      <c r="P20" s="8">
        <v>59279</v>
      </c>
      <c r="Q20" s="8">
        <v>51439</v>
      </c>
      <c r="R20" s="8">
        <v>41136</v>
      </c>
      <c r="S20" s="8"/>
      <c r="T20" s="8">
        <v>107076</v>
      </c>
      <c r="U20" s="124">
        <v>4</v>
      </c>
      <c r="V20" s="52">
        <v>4</v>
      </c>
      <c r="W20" s="52">
        <v>4</v>
      </c>
      <c r="X20" s="52">
        <v>4</v>
      </c>
      <c r="Y20" s="52">
        <v>4</v>
      </c>
      <c r="Z20" s="52">
        <v>4</v>
      </c>
      <c r="AA20" s="52">
        <v>4</v>
      </c>
      <c r="AB20" s="52">
        <v>4</v>
      </c>
      <c r="AC20" s="52">
        <v>4</v>
      </c>
      <c r="AD20" s="52">
        <v>4</v>
      </c>
      <c r="AE20" s="52">
        <v>4</v>
      </c>
      <c r="AF20" s="8">
        <v>4</v>
      </c>
      <c r="AG20" s="54">
        <v>10397</v>
      </c>
      <c r="AH20" s="8">
        <v>41136</v>
      </c>
      <c r="AI20" s="8">
        <v>81443</v>
      </c>
      <c r="AJ20" s="8">
        <v>80307</v>
      </c>
      <c r="AK20" s="8">
        <v>62661</v>
      </c>
      <c r="AL20" s="8">
        <v>77420</v>
      </c>
      <c r="AM20" s="8">
        <v>80307</v>
      </c>
      <c r="AN20" s="8">
        <v>33826</v>
      </c>
      <c r="AO20" s="8">
        <v>25719</v>
      </c>
      <c r="AP20" s="8">
        <v>41136</v>
      </c>
      <c r="AQ20" s="8">
        <v>0</v>
      </c>
      <c r="AR20" s="8">
        <v>5133</v>
      </c>
      <c r="AS20" s="202">
        <v>81443</v>
      </c>
      <c r="AT20" s="54">
        <v>10397</v>
      </c>
      <c r="AU20" s="8">
        <v>41136</v>
      </c>
      <c r="AV20" s="8">
        <v>81443</v>
      </c>
      <c r="AW20" s="8">
        <v>80307</v>
      </c>
      <c r="AX20" s="8">
        <v>62661</v>
      </c>
      <c r="AY20" s="8">
        <v>77420</v>
      </c>
      <c r="AZ20" s="8">
        <v>80307</v>
      </c>
      <c r="BA20" s="8">
        <v>33826</v>
      </c>
      <c r="BB20" s="8">
        <v>25719</v>
      </c>
      <c r="BC20" s="8">
        <v>41136</v>
      </c>
      <c r="BD20" s="8">
        <v>0</v>
      </c>
      <c r="BE20" s="8">
        <v>5133</v>
      </c>
      <c r="BF20" s="202">
        <v>81443</v>
      </c>
    </row>
    <row r="21" spans="1:58" ht="14.25" x14ac:dyDescent="0.45">
      <c r="A21" t="s">
        <v>276</v>
      </c>
      <c r="B21" t="s">
        <v>277</v>
      </c>
      <c r="C21" t="s">
        <v>245</v>
      </c>
      <c r="D21" t="s">
        <v>199</v>
      </c>
      <c r="E21" t="s">
        <v>278</v>
      </c>
      <c r="F21" s="55">
        <v>0</v>
      </c>
      <c r="G21" s="51">
        <v>0</v>
      </c>
      <c r="H21" s="51"/>
      <c r="I21" s="125">
        <v>0</v>
      </c>
      <c r="J21" s="51">
        <v>0</v>
      </c>
      <c r="K21" s="51">
        <v>0</v>
      </c>
      <c r="L21" s="51">
        <v>0</v>
      </c>
      <c r="M21" s="51">
        <v>0</v>
      </c>
      <c r="N21" s="51">
        <v>0</v>
      </c>
      <c r="O21" s="51">
        <v>0</v>
      </c>
      <c r="P21" s="51">
        <v>0</v>
      </c>
      <c r="Q21" s="51">
        <v>0</v>
      </c>
      <c r="R21" s="51">
        <v>0</v>
      </c>
      <c r="S21" s="51"/>
      <c r="T21" s="51">
        <v>0</v>
      </c>
      <c r="U21" s="125"/>
      <c r="V21" s="51"/>
      <c r="W21" s="51"/>
      <c r="X21" s="51"/>
      <c r="Y21" s="51">
        <v>0</v>
      </c>
      <c r="Z21" s="51"/>
      <c r="AA21" s="51"/>
      <c r="AB21" s="51"/>
      <c r="AC21" s="51"/>
      <c r="AD21" s="51"/>
      <c r="AE21" s="51"/>
      <c r="AF21" s="51"/>
      <c r="AG21" s="57">
        <v>0</v>
      </c>
      <c r="AH21" s="51">
        <v>0</v>
      </c>
      <c r="AI21" s="51">
        <v>0</v>
      </c>
      <c r="AJ21" s="51">
        <v>0</v>
      </c>
      <c r="AK21" s="51">
        <v>0</v>
      </c>
      <c r="AL21" s="51">
        <v>0</v>
      </c>
      <c r="AM21" s="51">
        <v>0</v>
      </c>
      <c r="AN21" s="51">
        <v>0</v>
      </c>
      <c r="AO21" s="51">
        <v>0</v>
      </c>
      <c r="AP21" s="51">
        <v>0</v>
      </c>
      <c r="AQ21" s="51">
        <v>0</v>
      </c>
      <c r="AR21" s="51">
        <v>0</v>
      </c>
      <c r="AS21" s="201">
        <v>0</v>
      </c>
      <c r="AT21" s="57">
        <v>0</v>
      </c>
      <c r="AU21" s="51">
        <v>0</v>
      </c>
      <c r="AV21" s="51">
        <v>0</v>
      </c>
      <c r="AW21" s="51">
        <v>0</v>
      </c>
      <c r="AX21" s="51">
        <v>0</v>
      </c>
      <c r="AY21" s="51">
        <v>0</v>
      </c>
      <c r="AZ21" s="51">
        <v>0</v>
      </c>
      <c r="BA21" s="51">
        <v>0</v>
      </c>
      <c r="BB21" s="51">
        <v>0</v>
      </c>
      <c r="BC21" s="51">
        <v>0</v>
      </c>
      <c r="BD21" s="51">
        <v>0</v>
      </c>
      <c r="BE21" s="51">
        <v>0</v>
      </c>
      <c r="BF21" s="201">
        <v>0</v>
      </c>
    </row>
    <row r="22" spans="1:58" ht="14.25" x14ac:dyDescent="0.45">
      <c r="A22" t="s">
        <v>279</v>
      </c>
      <c r="B22" t="s">
        <v>280</v>
      </c>
      <c r="C22" t="s">
        <v>245</v>
      </c>
      <c r="D22" t="s">
        <v>199</v>
      </c>
      <c r="E22" t="s">
        <v>281</v>
      </c>
      <c r="F22" s="55">
        <v>0</v>
      </c>
      <c r="G22" s="51">
        <v>0</v>
      </c>
      <c r="H22" s="51"/>
      <c r="I22" s="125">
        <v>0</v>
      </c>
      <c r="J22" s="51">
        <v>0</v>
      </c>
      <c r="K22" s="51">
        <v>0</v>
      </c>
      <c r="L22" s="51">
        <v>0</v>
      </c>
      <c r="M22" s="51">
        <v>0</v>
      </c>
      <c r="N22" s="51">
        <v>0</v>
      </c>
      <c r="O22" s="51">
        <v>0</v>
      </c>
      <c r="P22" s="51">
        <v>0</v>
      </c>
      <c r="Q22" s="51">
        <v>0</v>
      </c>
      <c r="R22" s="51">
        <v>0</v>
      </c>
      <c r="S22" s="51"/>
      <c r="T22" s="51">
        <v>0</v>
      </c>
      <c r="U22" s="125"/>
      <c r="V22" s="51"/>
      <c r="W22" s="51"/>
      <c r="X22" s="51"/>
      <c r="Y22" s="51">
        <v>0</v>
      </c>
      <c r="Z22" s="51"/>
      <c r="AA22" s="51"/>
      <c r="AB22" s="51"/>
      <c r="AC22" s="51"/>
      <c r="AD22" s="51"/>
      <c r="AE22" s="51"/>
      <c r="AF22" s="51"/>
      <c r="AG22" s="57">
        <v>0</v>
      </c>
      <c r="AH22" s="51">
        <v>0</v>
      </c>
      <c r="AI22" s="51">
        <v>0</v>
      </c>
      <c r="AJ22" s="51">
        <v>0</v>
      </c>
      <c r="AK22" s="51">
        <v>0</v>
      </c>
      <c r="AL22" s="51">
        <v>0</v>
      </c>
      <c r="AM22" s="51">
        <v>0</v>
      </c>
      <c r="AN22" s="51">
        <v>0</v>
      </c>
      <c r="AO22" s="51">
        <v>0</v>
      </c>
      <c r="AP22" s="51">
        <v>0</v>
      </c>
      <c r="AQ22" s="51">
        <v>0</v>
      </c>
      <c r="AR22" s="51">
        <v>0</v>
      </c>
      <c r="AS22" s="201">
        <v>0</v>
      </c>
      <c r="AT22" s="57">
        <v>0</v>
      </c>
      <c r="AU22" s="51">
        <v>0</v>
      </c>
      <c r="AV22" s="51">
        <v>0</v>
      </c>
      <c r="AW22" s="51">
        <v>0</v>
      </c>
      <c r="AX22" s="51">
        <v>0</v>
      </c>
      <c r="AY22" s="51">
        <v>0</v>
      </c>
      <c r="AZ22" s="51">
        <v>0</v>
      </c>
      <c r="BA22" s="51">
        <v>0</v>
      </c>
      <c r="BB22" s="51">
        <v>0</v>
      </c>
      <c r="BC22" s="51">
        <v>0</v>
      </c>
      <c r="BD22" s="51">
        <v>0</v>
      </c>
      <c r="BE22" s="51">
        <v>0</v>
      </c>
      <c r="BF22" s="201">
        <v>0</v>
      </c>
    </row>
    <row r="23" spans="1:58" ht="14.25" x14ac:dyDescent="0.45">
      <c r="A23" t="s">
        <v>282</v>
      </c>
      <c r="B23" t="s">
        <v>283</v>
      </c>
      <c r="C23" t="s">
        <v>245</v>
      </c>
      <c r="D23" t="s">
        <v>199</v>
      </c>
      <c r="E23" t="s">
        <v>284</v>
      </c>
      <c r="F23" s="55">
        <v>0</v>
      </c>
      <c r="G23" s="51">
        <v>0</v>
      </c>
      <c r="H23" s="51"/>
      <c r="I23" s="125">
        <v>0</v>
      </c>
      <c r="J23" s="51">
        <v>0</v>
      </c>
      <c r="K23" s="51">
        <v>0</v>
      </c>
      <c r="L23" s="51">
        <v>0</v>
      </c>
      <c r="M23" s="51">
        <v>0</v>
      </c>
      <c r="N23" s="51">
        <v>0</v>
      </c>
      <c r="O23" s="51">
        <v>0</v>
      </c>
      <c r="P23" s="51">
        <v>0</v>
      </c>
      <c r="Q23" s="51">
        <v>0</v>
      </c>
      <c r="R23" s="51">
        <v>0</v>
      </c>
      <c r="S23" s="51"/>
      <c r="T23" s="51">
        <v>0</v>
      </c>
      <c r="U23" s="125"/>
      <c r="V23" s="51"/>
      <c r="W23" s="51"/>
      <c r="X23" s="51"/>
      <c r="Y23" s="51">
        <v>0</v>
      </c>
      <c r="Z23" s="51"/>
      <c r="AA23" s="51"/>
      <c r="AB23" s="51"/>
      <c r="AC23" s="51"/>
      <c r="AD23" s="51"/>
      <c r="AE23" s="51"/>
      <c r="AF23" s="51"/>
      <c r="AG23" s="57">
        <v>0</v>
      </c>
      <c r="AH23" s="51">
        <v>0</v>
      </c>
      <c r="AI23" s="51">
        <v>0</v>
      </c>
      <c r="AJ23" s="51">
        <v>0</v>
      </c>
      <c r="AK23" s="51">
        <v>0</v>
      </c>
      <c r="AL23" s="51">
        <v>0</v>
      </c>
      <c r="AM23" s="51">
        <v>0</v>
      </c>
      <c r="AN23" s="51">
        <v>0</v>
      </c>
      <c r="AO23" s="51">
        <v>0</v>
      </c>
      <c r="AP23" s="51">
        <v>0</v>
      </c>
      <c r="AQ23" s="51">
        <v>0</v>
      </c>
      <c r="AR23" s="51">
        <v>0</v>
      </c>
      <c r="AS23" s="201">
        <v>0</v>
      </c>
      <c r="AT23" s="57">
        <v>0</v>
      </c>
      <c r="AU23" s="51">
        <v>0</v>
      </c>
      <c r="AV23" s="51">
        <v>0</v>
      </c>
      <c r="AW23" s="51">
        <v>0</v>
      </c>
      <c r="AX23" s="51">
        <v>0</v>
      </c>
      <c r="AY23" s="51">
        <v>0</v>
      </c>
      <c r="AZ23" s="51">
        <v>0</v>
      </c>
      <c r="BA23" s="51">
        <v>0</v>
      </c>
      <c r="BB23" s="51">
        <v>0</v>
      </c>
      <c r="BC23" s="51">
        <v>0</v>
      </c>
      <c r="BD23" s="51">
        <v>0</v>
      </c>
      <c r="BE23" s="51">
        <v>0</v>
      </c>
      <c r="BF23" s="201">
        <v>0</v>
      </c>
    </row>
    <row r="24" spans="1:58" ht="14.25" x14ac:dyDescent="0.45">
      <c r="A24" t="s">
        <v>285</v>
      </c>
      <c r="B24" t="s">
        <v>286</v>
      </c>
      <c r="C24" t="s">
        <v>245</v>
      </c>
      <c r="D24" t="s">
        <v>199</v>
      </c>
      <c r="E24" t="s">
        <v>287</v>
      </c>
      <c r="F24" s="55">
        <v>0</v>
      </c>
      <c r="G24" s="51">
        <v>0</v>
      </c>
      <c r="H24" s="51"/>
      <c r="I24" s="125">
        <v>0</v>
      </c>
      <c r="J24" s="51">
        <v>0</v>
      </c>
      <c r="K24" s="51">
        <v>0</v>
      </c>
      <c r="L24" s="51">
        <v>0</v>
      </c>
      <c r="M24" s="51">
        <v>0</v>
      </c>
      <c r="N24" s="51">
        <v>0</v>
      </c>
      <c r="O24" s="51">
        <v>0</v>
      </c>
      <c r="P24" s="51">
        <v>0</v>
      </c>
      <c r="Q24" s="51">
        <v>0</v>
      </c>
      <c r="R24" s="51">
        <v>0</v>
      </c>
      <c r="S24" s="51"/>
      <c r="T24" s="51">
        <v>0</v>
      </c>
      <c r="U24" s="125"/>
      <c r="V24" s="51"/>
      <c r="W24" s="51"/>
      <c r="X24" s="51"/>
      <c r="Y24" s="51">
        <v>0</v>
      </c>
      <c r="Z24" s="51"/>
      <c r="AA24" s="51"/>
      <c r="AB24" s="51"/>
      <c r="AC24" s="51"/>
      <c r="AD24" s="51"/>
      <c r="AE24" s="51"/>
      <c r="AF24" s="51"/>
      <c r="AG24" s="57">
        <v>0</v>
      </c>
      <c r="AH24" s="51">
        <v>0</v>
      </c>
      <c r="AI24" s="51">
        <v>0</v>
      </c>
      <c r="AJ24" s="51">
        <v>0</v>
      </c>
      <c r="AK24" s="51">
        <v>0</v>
      </c>
      <c r="AL24" s="51">
        <v>0</v>
      </c>
      <c r="AM24" s="51">
        <v>0</v>
      </c>
      <c r="AN24" s="51">
        <v>0</v>
      </c>
      <c r="AO24" s="51">
        <v>0</v>
      </c>
      <c r="AP24" s="51">
        <v>0</v>
      </c>
      <c r="AQ24" s="51">
        <v>0</v>
      </c>
      <c r="AR24" s="51">
        <v>0</v>
      </c>
      <c r="AS24" s="201">
        <v>0</v>
      </c>
      <c r="AT24" s="57">
        <v>0</v>
      </c>
      <c r="AU24" s="51">
        <v>0</v>
      </c>
      <c r="AV24" s="51">
        <v>0</v>
      </c>
      <c r="AW24" s="51">
        <v>0</v>
      </c>
      <c r="AX24" s="51">
        <v>0</v>
      </c>
      <c r="AY24" s="51">
        <v>0</v>
      </c>
      <c r="AZ24" s="51">
        <v>0</v>
      </c>
      <c r="BA24" s="51">
        <v>0</v>
      </c>
      <c r="BB24" s="51">
        <v>0</v>
      </c>
      <c r="BC24" s="51">
        <v>0</v>
      </c>
      <c r="BD24" s="51">
        <v>0</v>
      </c>
      <c r="BE24" s="51">
        <v>0</v>
      </c>
      <c r="BF24" s="201">
        <v>0</v>
      </c>
    </row>
    <row r="25" spans="1:58" ht="14.25" x14ac:dyDescent="0.45">
      <c r="A25" t="s">
        <v>288</v>
      </c>
      <c r="B25" t="s">
        <v>289</v>
      </c>
      <c r="C25" t="s">
        <v>252</v>
      </c>
      <c r="D25" t="s">
        <v>193</v>
      </c>
      <c r="E25" t="s">
        <v>290</v>
      </c>
      <c r="F25" s="10">
        <v>5384</v>
      </c>
      <c r="G25" s="8">
        <v>20407</v>
      </c>
      <c r="H25" s="8">
        <v>25791</v>
      </c>
      <c r="I25" s="126">
        <v>1185</v>
      </c>
      <c r="J25" s="8">
        <v>1863</v>
      </c>
      <c r="K25" s="8">
        <v>4177</v>
      </c>
      <c r="L25" s="8">
        <v>4673</v>
      </c>
      <c r="M25" s="8">
        <v>3915</v>
      </c>
      <c r="N25" s="8">
        <v>3230</v>
      </c>
      <c r="O25" s="8">
        <v>4673</v>
      </c>
      <c r="P25" s="8">
        <v>2560</v>
      </c>
      <c r="Q25" s="8">
        <v>2111</v>
      </c>
      <c r="R25" s="8">
        <v>1863</v>
      </c>
      <c r="S25" s="8"/>
      <c r="T25" s="8">
        <v>4673</v>
      </c>
      <c r="U25" s="124">
        <v>4</v>
      </c>
      <c r="V25" s="52">
        <v>4</v>
      </c>
      <c r="W25" s="52">
        <v>4</v>
      </c>
      <c r="X25" s="52">
        <v>4</v>
      </c>
      <c r="Y25" s="52">
        <v>5</v>
      </c>
      <c r="Z25" s="52">
        <v>4</v>
      </c>
      <c r="AA25" s="52">
        <v>4</v>
      </c>
      <c r="AB25" s="52">
        <v>4</v>
      </c>
      <c r="AC25" s="52">
        <v>4</v>
      </c>
      <c r="AD25" s="52">
        <v>4</v>
      </c>
      <c r="AE25" s="52">
        <v>4</v>
      </c>
      <c r="AF25" s="8">
        <v>4</v>
      </c>
      <c r="AG25" s="54">
        <v>1067</v>
      </c>
      <c r="AH25" s="8">
        <v>1863</v>
      </c>
      <c r="AI25" s="8">
        <v>3102</v>
      </c>
      <c r="AJ25" s="8">
        <v>3505</v>
      </c>
      <c r="AK25" s="8">
        <v>3132</v>
      </c>
      <c r="AL25" s="8">
        <v>3230</v>
      </c>
      <c r="AM25" s="8">
        <v>3505</v>
      </c>
      <c r="AN25" s="8">
        <v>1478</v>
      </c>
      <c r="AO25" s="8">
        <v>106</v>
      </c>
      <c r="AP25" s="8">
        <v>1863</v>
      </c>
      <c r="AQ25" s="8">
        <v>0</v>
      </c>
      <c r="AR25" s="8">
        <v>488</v>
      </c>
      <c r="AS25" s="202">
        <v>3505</v>
      </c>
      <c r="AT25" s="54">
        <v>1067</v>
      </c>
      <c r="AU25" s="8">
        <v>1863</v>
      </c>
      <c r="AV25" s="8">
        <v>3102</v>
      </c>
      <c r="AW25" s="8">
        <v>3505</v>
      </c>
      <c r="AX25" s="8">
        <v>3132</v>
      </c>
      <c r="AY25" s="8">
        <v>3230</v>
      </c>
      <c r="AZ25" s="8">
        <v>3505</v>
      </c>
      <c r="BA25" s="8">
        <v>1478</v>
      </c>
      <c r="BB25" s="8">
        <v>106</v>
      </c>
      <c r="BC25" s="8">
        <v>1863</v>
      </c>
      <c r="BD25" s="8">
        <v>0</v>
      </c>
      <c r="BE25" s="8">
        <v>488</v>
      </c>
      <c r="BF25" s="202">
        <v>3505</v>
      </c>
    </row>
    <row r="26" spans="1:58" ht="14.25" x14ac:dyDescent="0.45">
      <c r="A26" t="s">
        <v>288</v>
      </c>
      <c r="B26" t="s">
        <v>289</v>
      </c>
      <c r="C26" t="s">
        <v>291</v>
      </c>
      <c r="D26" t="s">
        <v>196</v>
      </c>
      <c r="E26" t="s">
        <v>292</v>
      </c>
      <c r="F26" s="10">
        <v>8270</v>
      </c>
      <c r="G26" s="8">
        <v>24448.662456261645</v>
      </c>
      <c r="H26" s="8">
        <v>32718.662456261645</v>
      </c>
      <c r="I26" s="126">
        <v>1213</v>
      </c>
      <c r="J26" s="8">
        <v>1455</v>
      </c>
      <c r="K26" s="8">
        <v>6416</v>
      </c>
      <c r="L26" s="8">
        <v>6065</v>
      </c>
      <c r="M26" s="8">
        <v>4399</v>
      </c>
      <c r="N26" s="8">
        <v>5669</v>
      </c>
      <c r="O26" s="8">
        <v>6065</v>
      </c>
      <c r="P26" s="8">
        <v>3926</v>
      </c>
      <c r="Q26" s="8">
        <v>3242</v>
      </c>
      <c r="R26" s="8">
        <v>1455</v>
      </c>
      <c r="S26" s="8"/>
      <c r="T26" s="8">
        <v>6416</v>
      </c>
      <c r="U26" s="124">
        <v>4</v>
      </c>
      <c r="V26" s="52">
        <v>4</v>
      </c>
      <c r="W26" s="52">
        <v>4</v>
      </c>
      <c r="X26" s="52">
        <v>4</v>
      </c>
      <c r="Y26" s="52">
        <v>3</v>
      </c>
      <c r="Z26" s="52">
        <v>3</v>
      </c>
      <c r="AA26" s="52">
        <v>4</v>
      </c>
      <c r="AB26" s="52">
        <v>4</v>
      </c>
      <c r="AC26" s="52">
        <v>4</v>
      </c>
      <c r="AD26" s="52">
        <v>4</v>
      </c>
      <c r="AE26" s="52">
        <v>4</v>
      </c>
      <c r="AF26" s="8">
        <v>4</v>
      </c>
      <c r="AG26" s="54">
        <v>1092</v>
      </c>
      <c r="AH26" s="8">
        <v>1455</v>
      </c>
      <c r="AI26" s="8">
        <v>5133</v>
      </c>
      <c r="AJ26" s="8">
        <v>4549</v>
      </c>
      <c r="AK26" s="8">
        <v>1760</v>
      </c>
      <c r="AL26" s="8">
        <v>2834</v>
      </c>
      <c r="AM26" s="8">
        <v>4549</v>
      </c>
      <c r="AN26" s="8">
        <v>2257</v>
      </c>
      <c r="AO26" s="8">
        <v>1621</v>
      </c>
      <c r="AP26" s="8">
        <v>1455</v>
      </c>
      <c r="AQ26" s="8">
        <v>0</v>
      </c>
      <c r="AR26" s="8">
        <v>531</v>
      </c>
      <c r="AS26" s="202">
        <v>5133</v>
      </c>
      <c r="AT26" s="54">
        <v>1092</v>
      </c>
      <c r="AU26" s="8">
        <v>1455</v>
      </c>
      <c r="AV26" s="8">
        <v>5133</v>
      </c>
      <c r="AW26" s="8">
        <v>4549</v>
      </c>
      <c r="AX26" s="8">
        <v>352</v>
      </c>
      <c r="AY26" s="8">
        <v>567</v>
      </c>
      <c r="AZ26" s="8">
        <v>4549</v>
      </c>
      <c r="BA26" s="8">
        <v>2257</v>
      </c>
      <c r="BB26" s="8">
        <v>1621</v>
      </c>
      <c r="BC26" s="8">
        <v>1455</v>
      </c>
      <c r="BD26" s="8">
        <v>0</v>
      </c>
      <c r="BE26" s="8">
        <v>531</v>
      </c>
      <c r="BF26" s="202">
        <v>5133</v>
      </c>
    </row>
    <row r="27" spans="1:58" ht="14.25" x14ac:dyDescent="0.45">
      <c r="A27" t="s">
        <v>288</v>
      </c>
      <c r="B27" t="s">
        <v>289</v>
      </c>
      <c r="C27" t="s">
        <v>256</v>
      </c>
      <c r="D27" t="s">
        <v>199</v>
      </c>
      <c r="E27" t="s">
        <v>293</v>
      </c>
      <c r="F27" s="55">
        <v>0</v>
      </c>
      <c r="G27" s="51">
        <v>0</v>
      </c>
      <c r="H27" s="51"/>
      <c r="I27" s="125">
        <v>0</v>
      </c>
      <c r="J27" s="51">
        <v>0</v>
      </c>
      <c r="K27" s="51">
        <v>0</v>
      </c>
      <c r="L27" s="51">
        <v>0</v>
      </c>
      <c r="M27" s="51">
        <v>0</v>
      </c>
      <c r="N27" s="51">
        <v>0</v>
      </c>
      <c r="O27" s="51">
        <v>0</v>
      </c>
      <c r="P27" s="51">
        <v>0</v>
      </c>
      <c r="Q27" s="51">
        <v>0</v>
      </c>
      <c r="R27" s="51">
        <v>0</v>
      </c>
      <c r="S27" s="51"/>
      <c r="T27" s="51">
        <v>0</v>
      </c>
      <c r="U27" s="125"/>
      <c r="V27" s="51"/>
      <c r="W27" s="51"/>
      <c r="X27" s="51"/>
      <c r="Y27" s="51">
        <v>0</v>
      </c>
      <c r="Z27" s="51"/>
      <c r="AA27" s="51"/>
      <c r="AB27" s="51"/>
      <c r="AC27" s="51"/>
      <c r="AD27" s="51"/>
      <c r="AE27" s="51"/>
      <c r="AF27" s="51"/>
      <c r="AG27" s="57">
        <v>0</v>
      </c>
      <c r="AH27" s="51">
        <v>0</v>
      </c>
      <c r="AI27" s="51">
        <v>0</v>
      </c>
      <c r="AJ27" s="51">
        <v>0</v>
      </c>
      <c r="AK27" s="51">
        <v>0</v>
      </c>
      <c r="AL27" s="51">
        <v>0</v>
      </c>
      <c r="AM27" s="51">
        <v>0</v>
      </c>
      <c r="AN27" s="51">
        <v>0</v>
      </c>
      <c r="AO27" s="51">
        <v>0</v>
      </c>
      <c r="AP27" s="51">
        <v>0</v>
      </c>
      <c r="AQ27" s="51">
        <v>0</v>
      </c>
      <c r="AR27" s="51">
        <v>0</v>
      </c>
      <c r="AS27" s="201">
        <v>0</v>
      </c>
      <c r="AT27" s="57">
        <v>0</v>
      </c>
      <c r="AU27" s="51">
        <v>0</v>
      </c>
      <c r="AV27" s="51">
        <v>0</v>
      </c>
      <c r="AW27" s="51">
        <v>0</v>
      </c>
      <c r="AX27" s="51">
        <v>0</v>
      </c>
      <c r="AY27" s="51">
        <v>0</v>
      </c>
      <c r="AZ27" s="51">
        <v>0</v>
      </c>
      <c r="BA27" s="51">
        <v>0</v>
      </c>
      <c r="BB27" s="51">
        <v>0</v>
      </c>
      <c r="BC27" s="51">
        <v>0</v>
      </c>
      <c r="BD27" s="51">
        <v>0</v>
      </c>
      <c r="BE27" s="51">
        <v>0</v>
      </c>
      <c r="BF27" s="201">
        <v>0</v>
      </c>
    </row>
    <row r="28" spans="1:58" ht="14.25" x14ac:dyDescent="0.45">
      <c r="A28" t="s">
        <v>288</v>
      </c>
      <c r="B28" t="s">
        <v>289</v>
      </c>
      <c r="C28" t="s">
        <v>294</v>
      </c>
      <c r="D28" t="s">
        <v>196</v>
      </c>
      <c r="E28" t="s">
        <v>295</v>
      </c>
      <c r="F28" s="10">
        <v>39435</v>
      </c>
      <c r="G28" s="8">
        <v>139009.71428571464</v>
      </c>
      <c r="H28" s="8">
        <v>178444.71428571464</v>
      </c>
      <c r="I28" s="126">
        <v>4340</v>
      </c>
      <c r="J28" s="8">
        <v>6257</v>
      </c>
      <c r="K28" s="8">
        <v>30593</v>
      </c>
      <c r="L28" s="8">
        <v>34592</v>
      </c>
      <c r="M28" s="8">
        <v>19530</v>
      </c>
      <c r="N28" s="8">
        <v>36055</v>
      </c>
      <c r="O28" s="8">
        <v>34592</v>
      </c>
      <c r="P28" s="8">
        <v>17575</v>
      </c>
      <c r="Q28" s="8">
        <v>15459</v>
      </c>
      <c r="R28" s="8">
        <v>6257</v>
      </c>
      <c r="S28" s="8"/>
      <c r="T28" s="8">
        <v>36055</v>
      </c>
      <c r="U28" s="124">
        <v>4</v>
      </c>
      <c r="V28" s="52">
        <v>4</v>
      </c>
      <c r="W28" s="52">
        <v>4</v>
      </c>
      <c r="X28" s="52">
        <v>4</v>
      </c>
      <c r="Y28" s="52">
        <v>4</v>
      </c>
      <c r="Z28" s="52">
        <v>4</v>
      </c>
      <c r="AA28" s="52">
        <v>4</v>
      </c>
      <c r="AB28" s="52">
        <v>4</v>
      </c>
      <c r="AC28" s="52">
        <v>4</v>
      </c>
      <c r="AD28" s="52">
        <v>4</v>
      </c>
      <c r="AE28" s="52">
        <v>4</v>
      </c>
      <c r="AF28" s="8">
        <v>4</v>
      </c>
      <c r="AG28" s="54">
        <v>3906</v>
      </c>
      <c r="AH28" s="8">
        <v>6257</v>
      </c>
      <c r="AI28" s="8">
        <v>24475</v>
      </c>
      <c r="AJ28" s="8">
        <v>25944</v>
      </c>
      <c r="AK28" s="8">
        <v>15624</v>
      </c>
      <c r="AL28" s="8">
        <v>36055</v>
      </c>
      <c r="AM28" s="8">
        <v>25944</v>
      </c>
      <c r="AN28" s="8">
        <v>10057</v>
      </c>
      <c r="AO28" s="8">
        <v>7729</v>
      </c>
      <c r="AP28" s="8">
        <v>6257</v>
      </c>
      <c r="AQ28" s="8">
        <v>0</v>
      </c>
      <c r="AR28" s="8">
        <v>3465</v>
      </c>
      <c r="AS28" s="202">
        <v>36055</v>
      </c>
      <c r="AT28" s="54">
        <v>3906</v>
      </c>
      <c r="AU28" s="8">
        <v>6257</v>
      </c>
      <c r="AV28" s="8">
        <v>24475</v>
      </c>
      <c r="AW28" s="8">
        <v>25944</v>
      </c>
      <c r="AX28" s="8">
        <v>15624</v>
      </c>
      <c r="AY28" s="8">
        <v>36055</v>
      </c>
      <c r="AZ28" s="8">
        <v>25944</v>
      </c>
      <c r="BA28" s="8">
        <v>10057</v>
      </c>
      <c r="BB28" s="8">
        <v>7729</v>
      </c>
      <c r="BC28" s="8">
        <v>6257</v>
      </c>
      <c r="BD28" s="8">
        <v>0</v>
      </c>
      <c r="BE28" s="8">
        <v>3465</v>
      </c>
      <c r="BF28" s="202">
        <v>36055</v>
      </c>
    </row>
    <row r="29" spans="1:58" ht="14.25" x14ac:dyDescent="0.45">
      <c r="A29" t="s">
        <v>296</v>
      </c>
      <c r="B29" t="s">
        <v>297</v>
      </c>
      <c r="C29" t="s">
        <v>245</v>
      </c>
      <c r="D29" t="s">
        <v>199</v>
      </c>
      <c r="E29" t="s">
        <v>298</v>
      </c>
      <c r="F29" s="55">
        <v>0</v>
      </c>
      <c r="G29" s="51">
        <v>0</v>
      </c>
      <c r="H29" s="51"/>
      <c r="I29" s="125">
        <v>0</v>
      </c>
      <c r="J29" s="51">
        <v>0</v>
      </c>
      <c r="K29" s="51">
        <v>0</v>
      </c>
      <c r="L29" s="51">
        <v>0</v>
      </c>
      <c r="M29" s="51">
        <v>0</v>
      </c>
      <c r="N29" s="51">
        <v>0</v>
      </c>
      <c r="O29" s="51">
        <v>0</v>
      </c>
      <c r="P29" s="51">
        <v>0</v>
      </c>
      <c r="Q29" s="51">
        <v>0</v>
      </c>
      <c r="R29" s="51">
        <v>0</v>
      </c>
      <c r="S29" s="51"/>
      <c r="T29" s="51">
        <v>0</v>
      </c>
      <c r="U29" s="125"/>
      <c r="V29" s="51"/>
      <c r="W29" s="51"/>
      <c r="X29" s="51"/>
      <c r="Y29" s="51">
        <v>0</v>
      </c>
      <c r="Z29" s="51"/>
      <c r="AA29" s="51"/>
      <c r="AB29" s="51"/>
      <c r="AC29" s="51"/>
      <c r="AD29" s="51"/>
      <c r="AE29" s="51"/>
      <c r="AF29" s="51"/>
      <c r="AG29" s="57">
        <v>0</v>
      </c>
      <c r="AH29" s="51">
        <v>0</v>
      </c>
      <c r="AI29" s="51">
        <v>0</v>
      </c>
      <c r="AJ29" s="51">
        <v>0</v>
      </c>
      <c r="AK29" s="51">
        <v>0</v>
      </c>
      <c r="AL29" s="51">
        <v>0</v>
      </c>
      <c r="AM29" s="51">
        <v>0</v>
      </c>
      <c r="AN29" s="51">
        <v>0</v>
      </c>
      <c r="AO29" s="51">
        <v>0</v>
      </c>
      <c r="AP29" s="51">
        <v>0</v>
      </c>
      <c r="AQ29" s="51">
        <v>0</v>
      </c>
      <c r="AR29" s="51">
        <v>0</v>
      </c>
      <c r="AS29" s="201">
        <v>0</v>
      </c>
      <c r="AT29" s="57">
        <v>0</v>
      </c>
      <c r="AU29" s="51">
        <v>0</v>
      </c>
      <c r="AV29" s="51">
        <v>0</v>
      </c>
      <c r="AW29" s="51">
        <v>0</v>
      </c>
      <c r="AX29" s="51">
        <v>0</v>
      </c>
      <c r="AY29" s="51">
        <v>0</v>
      </c>
      <c r="AZ29" s="51">
        <v>0</v>
      </c>
      <c r="BA29" s="51">
        <v>0</v>
      </c>
      <c r="BB29" s="51">
        <v>0</v>
      </c>
      <c r="BC29" s="51">
        <v>0</v>
      </c>
      <c r="BD29" s="51">
        <v>0</v>
      </c>
      <c r="BE29" s="51">
        <v>0</v>
      </c>
      <c r="BF29" s="201">
        <v>0</v>
      </c>
    </row>
    <row r="30" spans="1:58" ht="14.25" x14ac:dyDescent="0.45">
      <c r="A30" t="s">
        <v>299</v>
      </c>
      <c r="B30" t="s">
        <v>300</v>
      </c>
      <c r="C30" t="s">
        <v>245</v>
      </c>
      <c r="D30" t="s">
        <v>199</v>
      </c>
      <c r="E30" t="s">
        <v>301</v>
      </c>
      <c r="F30" s="55">
        <v>0</v>
      </c>
      <c r="G30" s="51">
        <v>0</v>
      </c>
      <c r="H30" s="51"/>
      <c r="I30" s="125">
        <v>0</v>
      </c>
      <c r="J30" s="51">
        <v>0</v>
      </c>
      <c r="K30" s="51">
        <v>0</v>
      </c>
      <c r="L30" s="51">
        <v>0</v>
      </c>
      <c r="M30" s="51">
        <v>0</v>
      </c>
      <c r="N30" s="51">
        <v>0</v>
      </c>
      <c r="O30" s="51">
        <v>0</v>
      </c>
      <c r="P30" s="51">
        <v>0</v>
      </c>
      <c r="Q30" s="51">
        <v>0</v>
      </c>
      <c r="R30" s="51">
        <v>0</v>
      </c>
      <c r="S30" s="51"/>
      <c r="T30" s="51">
        <v>0</v>
      </c>
      <c r="U30" s="125"/>
      <c r="V30" s="51"/>
      <c r="W30" s="51"/>
      <c r="X30" s="51"/>
      <c r="Y30" s="51">
        <v>0</v>
      </c>
      <c r="Z30" s="51"/>
      <c r="AA30" s="51"/>
      <c r="AB30" s="51"/>
      <c r="AC30" s="51"/>
      <c r="AD30" s="51"/>
      <c r="AE30" s="51"/>
      <c r="AF30" s="51"/>
      <c r="AG30" s="57">
        <v>0</v>
      </c>
      <c r="AH30" s="51">
        <v>0</v>
      </c>
      <c r="AI30" s="51">
        <v>0</v>
      </c>
      <c r="AJ30" s="51">
        <v>0</v>
      </c>
      <c r="AK30" s="51">
        <v>0</v>
      </c>
      <c r="AL30" s="51">
        <v>0</v>
      </c>
      <c r="AM30" s="51">
        <v>0</v>
      </c>
      <c r="AN30" s="51">
        <v>0</v>
      </c>
      <c r="AO30" s="51">
        <v>0</v>
      </c>
      <c r="AP30" s="51">
        <v>0</v>
      </c>
      <c r="AQ30" s="51">
        <v>0</v>
      </c>
      <c r="AR30" s="51">
        <v>0</v>
      </c>
      <c r="AS30" s="201">
        <v>0</v>
      </c>
      <c r="AT30" s="57">
        <v>0</v>
      </c>
      <c r="AU30" s="51">
        <v>0</v>
      </c>
      <c r="AV30" s="51">
        <v>0</v>
      </c>
      <c r="AW30" s="51">
        <v>0</v>
      </c>
      <c r="AX30" s="51">
        <v>0</v>
      </c>
      <c r="AY30" s="51">
        <v>0</v>
      </c>
      <c r="AZ30" s="51">
        <v>0</v>
      </c>
      <c r="BA30" s="51">
        <v>0</v>
      </c>
      <c r="BB30" s="51">
        <v>0</v>
      </c>
      <c r="BC30" s="51">
        <v>0</v>
      </c>
      <c r="BD30" s="51">
        <v>0</v>
      </c>
      <c r="BE30" s="51">
        <v>0</v>
      </c>
      <c r="BF30" s="201">
        <v>0</v>
      </c>
    </row>
    <row r="31" spans="1:58" ht="14.25" x14ac:dyDescent="0.45">
      <c r="A31" t="s">
        <v>302</v>
      </c>
      <c r="B31" t="s">
        <v>303</v>
      </c>
      <c r="C31" t="s">
        <v>245</v>
      </c>
      <c r="D31" t="s">
        <v>199</v>
      </c>
      <c r="E31" t="s">
        <v>304</v>
      </c>
      <c r="F31" s="55">
        <v>0</v>
      </c>
      <c r="G31" s="51">
        <v>0</v>
      </c>
      <c r="H31" s="51"/>
      <c r="I31" s="125">
        <v>0</v>
      </c>
      <c r="J31" s="51">
        <v>0</v>
      </c>
      <c r="K31" s="51">
        <v>0</v>
      </c>
      <c r="L31" s="51">
        <v>0</v>
      </c>
      <c r="M31" s="51">
        <v>0</v>
      </c>
      <c r="N31" s="51">
        <v>0</v>
      </c>
      <c r="O31" s="51">
        <v>0</v>
      </c>
      <c r="P31" s="51">
        <v>0</v>
      </c>
      <c r="Q31" s="51">
        <v>0</v>
      </c>
      <c r="R31" s="51">
        <v>0</v>
      </c>
      <c r="S31" s="51"/>
      <c r="T31" s="51">
        <v>0</v>
      </c>
      <c r="U31" s="125"/>
      <c r="V31" s="51"/>
      <c r="W31" s="51"/>
      <c r="X31" s="51"/>
      <c r="Y31" s="51">
        <v>0</v>
      </c>
      <c r="Z31" s="51"/>
      <c r="AA31" s="51"/>
      <c r="AB31" s="51"/>
      <c r="AC31" s="51"/>
      <c r="AD31" s="51"/>
      <c r="AE31" s="51"/>
      <c r="AF31" s="51"/>
      <c r="AG31" s="57">
        <v>0</v>
      </c>
      <c r="AH31" s="51">
        <v>0</v>
      </c>
      <c r="AI31" s="51">
        <v>0</v>
      </c>
      <c r="AJ31" s="51">
        <v>0</v>
      </c>
      <c r="AK31" s="51">
        <v>0</v>
      </c>
      <c r="AL31" s="51">
        <v>0</v>
      </c>
      <c r="AM31" s="51">
        <v>0</v>
      </c>
      <c r="AN31" s="51">
        <v>0</v>
      </c>
      <c r="AO31" s="51">
        <v>0</v>
      </c>
      <c r="AP31" s="51">
        <v>0</v>
      </c>
      <c r="AQ31" s="51">
        <v>0</v>
      </c>
      <c r="AR31" s="51">
        <v>0</v>
      </c>
      <c r="AS31" s="201">
        <v>0</v>
      </c>
      <c r="AT31" s="57">
        <v>0</v>
      </c>
      <c r="AU31" s="51">
        <v>0</v>
      </c>
      <c r="AV31" s="51">
        <v>0</v>
      </c>
      <c r="AW31" s="51">
        <v>0</v>
      </c>
      <c r="AX31" s="51">
        <v>0</v>
      </c>
      <c r="AY31" s="51">
        <v>0</v>
      </c>
      <c r="AZ31" s="51">
        <v>0</v>
      </c>
      <c r="BA31" s="51">
        <v>0</v>
      </c>
      <c r="BB31" s="51">
        <v>0</v>
      </c>
      <c r="BC31" s="51">
        <v>0</v>
      </c>
      <c r="BD31" s="51">
        <v>0</v>
      </c>
      <c r="BE31" s="51">
        <v>0</v>
      </c>
      <c r="BF31" s="201">
        <v>0</v>
      </c>
    </row>
    <row r="32" spans="1:58" ht="14.25" x14ac:dyDescent="0.45">
      <c r="A32" t="s">
        <v>305</v>
      </c>
      <c r="B32" t="s">
        <v>306</v>
      </c>
      <c r="C32" t="s">
        <v>307</v>
      </c>
      <c r="D32" t="s">
        <v>193</v>
      </c>
      <c r="E32" t="s">
        <v>308</v>
      </c>
      <c r="F32" s="10">
        <v>14447</v>
      </c>
      <c r="G32" s="8">
        <v>107044</v>
      </c>
      <c r="H32" s="8">
        <v>121491</v>
      </c>
      <c r="I32" s="126">
        <v>3180</v>
      </c>
      <c r="J32" s="8">
        <v>2542</v>
      </c>
      <c r="K32" s="8">
        <v>11208</v>
      </c>
      <c r="L32" s="8">
        <v>9631</v>
      </c>
      <c r="M32" s="8">
        <v>10702</v>
      </c>
      <c r="N32" s="8">
        <v>8299</v>
      </c>
      <c r="O32" s="8">
        <v>9631</v>
      </c>
      <c r="P32" s="8">
        <v>6857</v>
      </c>
      <c r="Q32" s="8">
        <v>5663</v>
      </c>
      <c r="R32" s="8">
        <v>2542</v>
      </c>
      <c r="S32" s="8"/>
      <c r="T32" s="8">
        <v>11208</v>
      </c>
      <c r="U32" s="124">
        <v>5</v>
      </c>
      <c r="V32" s="52">
        <v>4</v>
      </c>
      <c r="W32" s="52">
        <v>4</v>
      </c>
      <c r="X32" s="52">
        <v>4</v>
      </c>
      <c r="Y32" s="52">
        <v>5</v>
      </c>
      <c r="Z32" s="52">
        <v>4</v>
      </c>
      <c r="AA32" s="52">
        <v>4</v>
      </c>
      <c r="AB32" s="52">
        <v>5</v>
      </c>
      <c r="AC32" s="52">
        <v>4</v>
      </c>
      <c r="AD32" s="52">
        <v>4</v>
      </c>
      <c r="AE32" s="52">
        <v>4</v>
      </c>
      <c r="AF32" s="8">
        <v>5</v>
      </c>
      <c r="AG32" s="54">
        <v>2862</v>
      </c>
      <c r="AH32" s="8">
        <v>2542</v>
      </c>
      <c r="AI32" s="8">
        <v>8323</v>
      </c>
      <c r="AJ32" s="8">
        <v>7223</v>
      </c>
      <c r="AK32" s="8">
        <v>8562</v>
      </c>
      <c r="AL32" s="8">
        <v>8299</v>
      </c>
      <c r="AM32" s="8">
        <v>7223</v>
      </c>
      <c r="AN32" s="8">
        <v>3965</v>
      </c>
      <c r="AO32" s="8">
        <v>283</v>
      </c>
      <c r="AP32" s="8">
        <v>2542</v>
      </c>
      <c r="AQ32" s="8">
        <v>0</v>
      </c>
      <c r="AR32" s="8">
        <v>11208</v>
      </c>
      <c r="AS32" s="202">
        <v>11208</v>
      </c>
      <c r="AT32" s="54">
        <v>2862</v>
      </c>
      <c r="AU32" s="8">
        <v>2542</v>
      </c>
      <c r="AV32" s="8">
        <v>8323</v>
      </c>
      <c r="AW32" s="8">
        <v>7223</v>
      </c>
      <c r="AX32" s="8">
        <v>8562</v>
      </c>
      <c r="AY32" s="8">
        <v>8299</v>
      </c>
      <c r="AZ32" s="8">
        <v>7223</v>
      </c>
      <c r="BA32" s="8">
        <v>3965</v>
      </c>
      <c r="BB32" s="8">
        <v>283</v>
      </c>
      <c r="BC32" s="8">
        <v>2542</v>
      </c>
      <c r="BD32" s="8">
        <v>0</v>
      </c>
      <c r="BE32" s="8">
        <v>11208</v>
      </c>
      <c r="BF32" s="202">
        <v>11208</v>
      </c>
    </row>
    <row r="33" spans="1:58" ht="14.25" x14ac:dyDescent="0.45">
      <c r="A33" t="s">
        <v>305</v>
      </c>
      <c r="B33" t="s">
        <v>306</v>
      </c>
      <c r="C33" t="s">
        <v>254</v>
      </c>
      <c r="D33" t="s">
        <v>196</v>
      </c>
      <c r="E33" t="s">
        <v>309</v>
      </c>
      <c r="F33" s="10">
        <v>25722</v>
      </c>
      <c r="G33" s="8">
        <v>93192.103959224856</v>
      </c>
      <c r="H33" s="8">
        <v>118914.10395922486</v>
      </c>
      <c r="I33" s="126">
        <v>1887</v>
      </c>
      <c r="J33" s="8">
        <v>3982</v>
      </c>
      <c r="K33" s="8">
        <v>19955</v>
      </c>
      <c r="L33" s="8">
        <v>13618</v>
      </c>
      <c r="M33" s="8">
        <v>14983</v>
      </c>
      <c r="N33" s="8">
        <v>12048</v>
      </c>
      <c r="O33" s="8">
        <v>13618</v>
      </c>
      <c r="P33" s="8">
        <v>11398</v>
      </c>
      <c r="Q33" s="8">
        <v>10083</v>
      </c>
      <c r="R33" s="8">
        <v>3982</v>
      </c>
      <c r="S33" s="8"/>
      <c r="T33" s="8">
        <v>19955</v>
      </c>
      <c r="U33" s="124">
        <v>4</v>
      </c>
      <c r="V33" s="52">
        <v>4</v>
      </c>
      <c r="W33" s="52">
        <v>4</v>
      </c>
      <c r="X33" s="52">
        <v>4</v>
      </c>
      <c r="Y33" s="52">
        <v>4</v>
      </c>
      <c r="Z33" s="52">
        <v>3</v>
      </c>
      <c r="AA33" s="52">
        <v>4</v>
      </c>
      <c r="AB33" s="52">
        <v>4</v>
      </c>
      <c r="AC33" s="52">
        <v>4</v>
      </c>
      <c r="AD33" s="52">
        <v>4</v>
      </c>
      <c r="AE33" s="52">
        <v>4</v>
      </c>
      <c r="AF33" s="8">
        <v>4</v>
      </c>
      <c r="AG33" s="54">
        <v>1698</v>
      </c>
      <c r="AH33" s="8">
        <v>3982</v>
      </c>
      <c r="AI33" s="8">
        <v>15964</v>
      </c>
      <c r="AJ33" s="8">
        <v>10214</v>
      </c>
      <c r="AK33" s="8">
        <v>11986</v>
      </c>
      <c r="AL33" s="8">
        <v>6024</v>
      </c>
      <c r="AM33" s="8">
        <v>10214</v>
      </c>
      <c r="AN33" s="8">
        <v>6527</v>
      </c>
      <c r="AO33" s="8">
        <v>5042</v>
      </c>
      <c r="AP33" s="8">
        <v>3982</v>
      </c>
      <c r="AQ33" s="8">
        <v>0</v>
      </c>
      <c r="AR33" s="8">
        <v>2866</v>
      </c>
      <c r="AS33" s="202">
        <v>15964</v>
      </c>
      <c r="AT33" s="54">
        <v>1698</v>
      </c>
      <c r="AU33" s="8">
        <v>3982</v>
      </c>
      <c r="AV33" s="8">
        <v>15964</v>
      </c>
      <c r="AW33" s="8">
        <v>10214</v>
      </c>
      <c r="AX33" s="8">
        <v>11986</v>
      </c>
      <c r="AY33" s="8">
        <v>1205</v>
      </c>
      <c r="AZ33" s="8">
        <v>10214</v>
      </c>
      <c r="BA33" s="8">
        <v>6527</v>
      </c>
      <c r="BB33" s="8">
        <v>5042</v>
      </c>
      <c r="BC33" s="8">
        <v>3982</v>
      </c>
      <c r="BD33" s="8">
        <v>0</v>
      </c>
      <c r="BE33" s="8">
        <v>2866</v>
      </c>
      <c r="BF33" s="202">
        <v>15964</v>
      </c>
    </row>
    <row r="34" spans="1:58" ht="14.25" x14ac:dyDescent="0.45">
      <c r="A34" t="s">
        <v>305</v>
      </c>
      <c r="B34" t="s">
        <v>306</v>
      </c>
      <c r="C34" t="s">
        <v>256</v>
      </c>
      <c r="D34" t="s">
        <v>199</v>
      </c>
      <c r="E34" t="s">
        <v>310</v>
      </c>
      <c r="F34" s="55">
        <v>0</v>
      </c>
      <c r="G34" s="51">
        <v>0</v>
      </c>
      <c r="H34" s="51"/>
      <c r="I34" s="125">
        <v>0</v>
      </c>
      <c r="J34" s="51">
        <v>0</v>
      </c>
      <c r="K34" s="51">
        <v>0</v>
      </c>
      <c r="L34" s="51">
        <v>0</v>
      </c>
      <c r="M34" s="51">
        <v>0</v>
      </c>
      <c r="N34" s="51">
        <v>0</v>
      </c>
      <c r="O34" s="51">
        <v>0</v>
      </c>
      <c r="P34" s="51">
        <v>0</v>
      </c>
      <c r="Q34" s="51">
        <v>0</v>
      </c>
      <c r="R34" s="51">
        <v>0</v>
      </c>
      <c r="S34" s="51"/>
      <c r="T34" s="51">
        <v>0</v>
      </c>
      <c r="U34" s="125"/>
      <c r="V34" s="51"/>
      <c r="W34" s="51"/>
      <c r="X34" s="51"/>
      <c r="Y34" s="51">
        <v>0</v>
      </c>
      <c r="Z34" s="51"/>
      <c r="AA34" s="51"/>
      <c r="AB34" s="51"/>
      <c r="AC34" s="51"/>
      <c r="AD34" s="51"/>
      <c r="AE34" s="51"/>
      <c r="AF34" s="51"/>
      <c r="AG34" s="57">
        <v>0</v>
      </c>
      <c r="AH34" s="51">
        <v>0</v>
      </c>
      <c r="AI34" s="51">
        <v>0</v>
      </c>
      <c r="AJ34" s="51">
        <v>0</v>
      </c>
      <c r="AK34" s="51">
        <v>0</v>
      </c>
      <c r="AL34" s="51">
        <v>0</v>
      </c>
      <c r="AM34" s="51">
        <v>0</v>
      </c>
      <c r="AN34" s="51">
        <v>0</v>
      </c>
      <c r="AO34" s="51">
        <v>0</v>
      </c>
      <c r="AP34" s="51">
        <v>0</v>
      </c>
      <c r="AQ34" s="51">
        <v>0</v>
      </c>
      <c r="AR34" s="51">
        <v>0</v>
      </c>
      <c r="AS34" s="201">
        <v>0</v>
      </c>
      <c r="AT34" s="57">
        <v>0</v>
      </c>
      <c r="AU34" s="51">
        <v>0</v>
      </c>
      <c r="AV34" s="51">
        <v>0</v>
      </c>
      <c r="AW34" s="51">
        <v>0</v>
      </c>
      <c r="AX34" s="51">
        <v>0</v>
      </c>
      <c r="AY34" s="51">
        <v>0</v>
      </c>
      <c r="AZ34" s="51">
        <v>0</v>
      </c>
      <c r="BA34" s="51">
        <v>0</v>
      </c>
      <c r="BB34" s="51">
        <v>0</v>
      </c>
      <c r="BC34" s="51">
        <v>0</v>
      </c>
      <c r="BD34" s="51">
        <v>0</v>
      </c>
      <c r="BE34" s="51">
        <v>0</v>
      </c>
      <c r="BF34" s="201">
        <v>0</v>
      </c>
    </row>
    <row r="35" spans="1:58" ht="14.25" x14ac:dyDescent="0.45">
      <c r="A35" t="s">
        <v>305</v>
      </c>
      <c r="B35" t="s">
        <v>306</v>
      </c>
      <c r="C35" t="s">
        <v>311</v>
      </c>
      <c r="D35" t="s">
        <v>193</v>
      </c>
      <c r="E35" t="s">
        <v>312</v>
      </c>
      <c r="F35" s="10">
        <v>25799</v>
      </c>
      <c r="G35" s="8">
        <v>231388</v>
      </c>
      <c r="H35" s="8">
        <v>257187</v>
      </c>
      <c r="I35" s="126">
        <v>5678</v>
      </c>
      <c r="J35" s="8">
        <v>3337</v>
      </c>
      <c r="K35" s="8">
        <v>20014</v>
      </c>
      <c r="L35" s="8">
        <v>12856</v>
      </c>
      <c r="M35" s="8">
        <v>14072</v>
      </c>
      <c r="N35" s="8">
        <v>25799</v>
      </c>
      <c r="O35" s="8">
        <v>12040</v>
      </c>
      <c r="P35" s="8">
        <v>12856</v>
      </c>
      <c r="Q35" s="8">
        <v>10113</v>
      </c>
      <c r="R35" s="8">
        <v>3337</v>
      </c>
      <c r="S35" s="8"/>
      <c r="T35" s="8">
        <v>25799</v>
      </c>
      <c r="U35" s="124">
        <v>4</v>
      </c>
      <c r="V35" s="52">
        <v>4</v>
      </c>
      <c r="W35" s="52">
        <v>4</v>
      </c>
      <c r="X35" s="52">
        <v>4</v>
      </c>
      <c r="Y35" s="52">
        <v>5</v>
      </c>
      <c r="Z35" s="52">
        <v>4</v>
      </c>
      <c r="AA35" s="52">
        <v>4</v>
      </c>
      <c r="AB35" s="52">
        <v>4</v>
      </c>
      <c r="AC35" s="52">
        <v>4</v>
      </c>
      <c r="AD35" s="52">
        <v>4</v>
      </c>
      <c r="AE35" s="52">
        <v>4</v>
      </c>
      <c r="AF35" s="8">
        <v>4</v>
      </c>
      <c r="AG35" s="54">
        <v>5111</v>
      </c>
      <c r="AH35" s="8">
        <v>3337</v>
      </c>
      <c r="AI35" s="8">
        <v>14863</v>
      </c>
      <c r="AJ35" s="8">
        <v>9030</v>
      </c>
      <c r="AK35" s="8">
        <v>11258</v>
      </c>
      <c r="AL35" s="8">
        <v>25799</v>
      </c>
      <c r="AM35" s="8">
        <v>9030</v>
      </c>
      <c r="AN35" s="8">
        <v>7328</v>
      </c>
      <c r="AO35" s="8">
        <v>506</v>
      </c>
      <c r="AP35" s="8">
        <v>3337</v>
      </c>
      <c r="AQ35" s="8">
        <v>0</v>
      </c>
      <c r="AR35" s="8">
        <v>16700</v>
      </c>
      <c r="AS35" s="202">
        <v>25799</v>
      </c>
      <c r="AT35" s="54">
        <v>5111</v>
      </c>
      <c r="AU35" s="8">
        <v>3337</v>
      </c>
      <c r="AV35" s="8">
        <v>14863</v>
      </c>
      <c r="AW35" s="8">
        <v>9030</v>
      </c>
      <c r="AX35" s="8">
        <v>11258</v>
      </c>
      <c r="AY35" s="8">
        <v>25799</v>
      </c>
      <c r="AZ35" s="8">
        <v>9030</v>
      </c>
      <c r="BA35" s="8">
        <v>7328</v>
      </c>
      <c r="BB35" s="8">
        <v>506</v>
      </c>
      <c r="BC35" s="8">
        <v>3337</v>
      </c>
      <c r="BD35" s="8">
        <v>0</v>
      </c>
      <c r="BE35" s="8">
        <v>16700</v>
      </c>
      <c r="BF35" s="202">
        <v>25799</v>
      </c>
    </row>
    <row r="36" spans="1:58" ht="14.25" x14ac:dyDescent="0.45">
      <c r="A36" t="s">
        <v>313</v>
      </c>
      <c r="B36" t="s">
        <v>314</v>
      </c>
      <c r="C36" t="s">
        <v>245</v>
      </c>
      <c r="D36" t="s">
        <v>199</v>
      </c>
      <c r="E36" t="s">
        <v>315</v>
      </c>
      <c r="F36" s="55">
        <v>0</v>
      </c>
      <c r="G36" s="51">
        <v>0</v>
      </c>
      <c r="H36" s="51"/>
      <c r="I36" s="125">
        <v>0</v>
      </c>
      <c r="J36" s="51">
        <v>0</v>
      </c>
      <c r="K36" s="51">
        <v>0</v>
      </c>
      <c r="L36" s="51">
        <v>0</v>
      </c>
      <c r="M36" s="51">
        <v>0</v>
      </c>
      <c r="N36" s="51">
        <v>0</v>
      </c>
      <c r="O36" s="51">
        <v>0</v>
      </c>
      <c r="P36" s="51">
        <v>0</v>
      </c>
      <c r="Q36" s="51">
        <v>0</v>
      </c>
      <c r="R36" s="51">
        <v>0</v>
      </c>
      <c r="S36" s="51"/>
      <c r="T36" s="51">
        <v>0</v>
      </c>
      <c r="U36" s="125"/>
      <c r="V36" s="51"/>
      <c r="W36" s="51"/>
      <c r="X36" s="51"/>
      <c r="Y36" s="51">
        <v>0</v>
      </c>
      <c r="Z36" s="51"/>
      <c r="AA36" s="51"/>
      <c r="AB36" s="51"/>
      <c r="AC36" s="51"/>
      <c r="AD36" s="51"/>
      <c r="AE36" s="51"/>
      <c r="AF36" s="51"/>
      <c r="AG36" s="57">
        <v>0</v>
      </c>
      <c r="AH36" s="51">
        <v>0</v>
      </c>
      <c r="AI36" s="51">
        <v>0</v>
      </c>
      <c r="AJ36" s="51">
        <v>0</v>
      </c>
      <c r="AK36" s="51">
        <v>0</v>
      </c>
      <c r="AL36" s="51">
        <v>0</v>
      </c>
      <c r="AM36" s="51">
        <v>0</v>
      </c>
      <c r="AN36" s="51">
        <v>0</v>
      </c>
      <c r="AO36" s="51">
        <v>0</v>
      </c>
      <c r="AP36" s="51">
        <v>0</v>
      </c>
      <c r="AQ36" s="51">
        <v>0</v>
      </c>
      <c r="AR36" s="51">
        <v>0</v>
      </c>
      <c r="AS36" s="201">
        <v>0</v>
      </c>
      <c r="AT36" s="57">
        <v>0</v>
      </c>
      <c r="AU36" s="51">
        <v>0</v>
      </c>
      <c r="AV36" s="51">
        <v>0</v>
      </c>
      <c r="AW36" s="51">
        <v>0</v>
      </c>
      <c r="AX36" s="51">
        <v>0</v>
      </c>
      <c r="AY36" s="51">
        <v>0</v>
      </c>
      <c r="AZ36" s="51">
        <v>0</v>
      </c>
      <c r="BA36" s="51">
        <v>0</v>
      </c>
      <c r="BB36" s="51">
        <v>0</v>
      </c>
      <c r="BC36" s="51">
        <v>0</v>
      </c>
      <c r="BD36" s="51">
        <v>0</v>
      </c>
      <c r="BE36" s="51">
        <v>0</v>
      </c>
      <c r="BF36" s="201">
        <v>0</v>
      </c>
    </row>
    <row r="37" spans="1:58" ht="14.25" x14ac:dyDescent="0.45">
      <c r="A37" t="s">
        <v>316</v>
      </c>
      <c r="B37" t="s">
        <v>317</v>
      </c>
      <c r="C37" t="s">
        <v>252</v>
      </c>
      <c r="D37" t="s">
        <v>193</v>
      </c>
      <c r="E37" t="s">
        <v>318</v>
      </c>
      <c r="F37" s="10">
        <v>29217</v>
      </c>
      <c r="G37" s="8">
        <v>173398</v>
      </c>
      <c r="H37" s="8">
        <v>202615</v>
      </c>
      <c r="I37" s="126">
        <v>4823</v>
      </c>
      <c r="J37" s="8">
        <v>10798</v>
      </c>
      <c r="K37" s="8">
        <v>22666</v>
      </c>
      <c r="L37" s="8">
        <v>26295</v>
      </c>
      <c r="M37" s="8">
        <v>20538</v>
      </c>
      <c r="N37" s="8">
        <v>22724</v>
      </c>
      <c r="O37" s="8">
        <v>26295</v>
      </c>
      <c r="P37" s="8">
        <v>13718</v>
      </c>
      <c r="Q37" s="8">
        <v>11780</v>
      </c>
      <c r="R37" s="8">
        <v>10798</v>
      </c>
      <c r="S37" s="8"/>
      <c r="T37" s="8">
        <v>26295</v>
      </c>
      <c r="U37" s="124">
        <v>5</v>
      </c>
      <c r="V37" s="52">
        <v>4</v>
      </c>
      <c r="W37" s="52">
        <v>4</v>
      </c>
      <c r="X37" s="52">
        <v>5</v>
      </c>
      <c r="Y37" s="52">
        <v>5</v>
      </c>
      <c r="Z37" s="52">
        <v>5</v>
      </c>
      <c r="AA37" s="52">
        <v>5</v>
      </c>
      <c r="AB37" s="52">
        <v>5</v>
      </c>
      <c r="AC37" s="52">
        <v>5</v>
      </c>
      <c r="AD37" s="52">
        <v>4</v>
      </c>
      <c r="AE37" s="52">
        <v>4</v>
      </c>
      <c r="AF37" s="8">
        <v>5</v>
      </c>
      <c r="AG37" s="54">
        <v>4341</v>
      </c>
      <c r="AH37" s="8">
        <v>10798</v>
      </c>
      <c r="AI37" s="8">
        <v>16832</v>
      </c>
      <c r="AJ37" s="8">
        <v>19721</v>
      </c>
      <c r="AK37" s="8">
        <v>16430</v>
      </c>
      <c r="AL37" s="8">
        <v>22724</v>
      </c>
      <c r="AM37" s="8">
        <v>19721</v>
      </c>
      <c r="AN37" s="8">
        <v>7829</v>
      </c>
      <c r="AO37" s="8">
        <v>589</v>
      </c>
      <c r="AP37" s="8">
        <v>10798</v>
      </c>
      <c r="AQ37" s="8">
        <v>0</v>
      </c>
      <c r="AR37" s="8">
        <v>23516</v>
      </c>
      <c r="AS37" s="202">
        <v>23516</v>
      </c>
      <c r="AT37" s="54">
        <v>4341</v>
      </c>
      <c r="AU37" s="8">
        <v>10798</v>
      </c>
      <c r="AV37" s="8">
        <v>16832</v>
      </c>
      <c r="AW37" s="8">
        <v>19721</v>
      </c>
      <c r="AX37" s="8">
        <v>16430</v>
      </c>
      <c r="AY37" s="8">
        <v>22724</v>
      </c>
      <c r="AZ37" s="8">
        <v>19721</v>
      </c>
      <c r="BA37" s="8">
        <v>7829</v>
      </c>
      <c r="BB37" s="8">
        <v>589</v>
      </c>
      <c r="BC37" s="8">
        <v>10798</v>
      </c>
      <c r="BD37" s="8">
        <v>0</v>
      </c>
      <c r="BE37" s="8">
        <v>23516</v>
      </c>
      <c r="BF37" s="202">
        <v>23516</v>
      </c>
    </row>
    <row r="38" spans="1:58" ht="14.25" x14ac:dyDescent="0.45">
      <c r="A38" t="s">
        <v>316</v>
      </c>
      <c r="B38" t="s">
        <v>317</v>
      </c>
      <c r="C38" t="s">
        <v>319</v>
      </c>
      <c r="D38" t="s">
        <v>196</v>
      </c>
      <c r="E38" t="s">
        <v>320</v>
      </c>
      <c r="F38" s="10">
        <v>83462</v>
      </c>
      <c r="G38" s="8">
        <v>88204.956185013609</v>
      </c>
      <c r="H38" s="8">
        <v>171666.95618501361</v>
      </c>
      <c r="I38" s="126">
        <v>7873</v>
      </c>
      <c r="J38" s="8">
        <v>19553</v>
      </c>
      <c r="K38" s="8">
        <v>64748</v>
      </c>
      <c r="L38" s="8">
        <v>57560</v>
      </c>
      <c r="M38" s="8">
        <v>58319</v>
      </c>
      <c r="N38" s="8">
        <v>53824</v>
      </c>
      <c r="O38" s="8">
        <v>57560</v>
      </c>
      <c r="P38" s="8">
        <v>38238</v>
      </c>
      <c r="Q38" s="8">
        <v>32717</v>
      </c>
      <c r="R38" s="8">
        <v>19553</v>
      </c>
      <c r="S38" s="8"/>
      <c r="T38" s="8">
        <v>64748</v>
      </c>
      <c r="U38" s="124">
        <v>4</v>
      </c>
      <c r="V38" s="52">
        <v>4</v>
      </c>
      <c r="W38" s="52">
        <v>4</v>
      </c>
      <c r="X38" s="52">
        <v>4</v>
      </c>
      <c r="Y38" s="52">
        <v>4</v>
      </c>
      <c r="Z38" s="52">
        <v>4</v>
      </c>
      <c r="AA38" s="52">
        <v>4</v>
      </c>
      <c r="AB38" s="52">
        <v>4</v>
      </c>
      <c r="AC38" s="52">
        <v>4</v>
      </c>
      <c r="AD38" s="52">
        <v>4</v>
      </c>
      <c r="AE38" s="52">
        <v>4</v>
      </c>
      <c r="AF38" s="8">
        <v>4</v>
      </c>
      <c r="AG38" s="54">
        <v>7086</v>
      </c>
      <c r="AH38" s="8">
        <v>19553</v>
      </c>
      <c r="AI38" s="8">
        <v>51801</v>
      </c>
      <c r="AJ38" s="8">
        <v>43170</v>
      </c>
      <c r="AK38" s="8">
        <v>46655</v>
      </c>
      <c r="AL38" s="8">
        <v>53824</v>
      </c>
      <c r="AM38" s="8">
        <v>43170</v>
      </c>
      <c r="AN38" s="8">
        <v>21875</v>
      </c>
      <c r="AO38" s="8">
        <v>16359</v>
      </c>
      <c r="AP38" s="8">
        <v>19553</v>
      </c>
      <c r="AQ38" s="8">
        <v>0</v>
      </c>
      <c r="AR38" s="8">
        <v>14996</v>
      </c>
      <c r="AS38" s="202">
        <v>53824</v>
      </c>
      <c r="AT38" s="54">
        <v>7086</v>
      </c>
      <c r="AU38" s="8">
        <v>19553</v>
      </c>
      <c r="AV38" s="8">
        <v>51801</v>
      </c>
      <c r="AW38" s="8">
        <v>43170</v>
      </c>
      <c r="AX38" s="8">
        <v>46655</v>
      </c>
      <c r="AY38" s="8">
        <v>53824</v>
      </c>
      <c r="AZ38" s="8">
        <v>43170</v>
      </c>
      <c r="BA38" s="8">
        <v>21875</v>
      </c>
      <c r="BB38" s="8">
        <v>16359</v>
      </c>
      <c r="BC38" s="8">
        <v>19553</v>
      </c>
      <c r="BD38" s="8">
        <v>0</v>
      </c>
      <c r="BE38" s="8">
        <v>14996</v>
      </c>
      <c r="BF38" s="202">
        <v>53824</v>
      </c>
    </row>
    <row r="39" spans="1:58" ht="14.25" x14ac:dyDescent="0.45">
      <c r="A39" t="s">
        <v>316</v>
      </c>
      <c r="B39" t="s">
        <v>317</v>
      </c>
      <c r="C39" t="s">
        <v>256</v>
      </c>
      <c r="D39" t="s">
        <v>199</v>
      </c>
      <c r="E39" t="s">
        <v>321</v>
      </c>
      <c r="F39" s="55">
        <v>0</v>
      </c>
      <c r="G39" s="51">
        <v>0</v>
      </c>
      <c r="H39" s="51"/>
      <c r="I39" s="125">
        <v>0</v>
      </c>
      <c r="J39" s="51">
        <v>0</v>
      </c>
      <c r="K39" s="51">
        <v>0</v>
      </c>
      <c r="L39" s="51">
        <v>0</v>
      </c>
      <c r="M39" s="51">
        <v>0</v>
      </c>
      <c r="N39" s="51">
        <v>0</v>
      </c>
      <c r="O39" s="51">
        <v>0</v>
      </c>
      <c r="P39" s="51">
        <v>0</v>
      </c>
      <c r="Q39" s="51">
        <v>0</v>
      </c>
      <c r="R39" s="51">
        <v>0</v>
      </c>
      <c r="S39" s="51"/>
      <c r="T39" s="51">
        <v>0</v>
      </c>
      <c r="U39" s="125"/>
      <c r="V39" s="51"/>
      <c r="W39" s="51"/>
      <c r="X39" s="51"/>
      <c r="Y39" s="51">
        <v>0</v>
      </c>
      <c r="Z39" s="51"/>
      <c r="AA39" s="51"/>
      <c r="AB39" s="51"/>
      <c r="AC39" s="51"/>
      <c r="AD39" s="51"/>
      <c r="AE39" s="51"/>
      <c r="AF39" s="51"/>
      <c r="AG39" s="57">
        <v>0</v>
      </c>
      <c r="AH39" s="51">
        <v>0</v>
      </c>
      <c r="AI39" s="51">
        <v>0</v>
      </c>
      <c r="AJ39" s="51">
        <v>0</v>
      </c>
      <c r="AK39" s="51">
        <v>0</v>
      </c>
      <c r="AL39" s="51">
        <v>0</v>
      </c>
      <c r="AM39" s="51">
        <v>0</v>
      </c>
      <c r="AN39" s="51">
        <v>0</v>
      </c>
      <c r="AO39" s="51">
        <v>0</v>
      </c>
      <c r="AP39" s="51">
        <v>0</v>
      </c>
      <c r="AQ39" s="51">
        <v>0</v>
      </c>
      <c r="AR39" s="51">
        <v>0</v>
      </c>
      <c r="AS39" s="201">
        <v>0</v>
      </c>
      <c r="AT39" s="57">
        <v>0</v>
      </c>
      <c r="AU39" s="51">
        <v>0</v>
      </c>
      <c r="AV39" s="51">
        <v>0</v>
      </c>
      <c r="AW39" s="51">
        <v>0</v>
      </c>
      <c r="AX39" s="51">
        <v>0</v>
      </c>
      <c r="AY39" s="51">
        <v>0</v>
      </c>
      <c r="AZ39" s="51">
        <v>0</v>
      </c>
      <c r="BA39" s="51">
        <v>0</v>
      </c>
      <c r="BB39" s="51">
        <v>0</v>
      </c>
      <c r="BC39" s="51">
        <v>0</v>
      </c>
      <c r="BD39" s="51">
        <v>0</v>
      </c>
      <c r="BE39" s="51">
        <v>0</v>
      </c>
      <c r="BF39" s="201">
        <v>0</v>
      </c>
    </row>
    <row r="40" spans="1:58" ht="14.25" x14ac:dyDescent="0.45">
      <c r="A40" t="s">
        <v>316</v>
      </c>
      <c r="B40" t="s">
        <v>317</v>
      </c>
      <c r="C40" t="s">
        <v>322</v>
      </c>
      <c r="D40" t="s">
        <v>196</v>
      </c>
      <c r="E40" t="s">
        <v>323</v>
      </c>
      <c r="F40" s="10">
        <v>133606</v>
      </c>
      <c r="G40" s="8">
        <v>511154.6862745079</v>
      </c>
      <c r="H40" s="8">
        <v>644760.6862745079</v>
      </c>
      <c r="I40" s="126">
        <v>29407</v>
      </c>
      <c r="J40" s="8">
        <v>28030</v>
      </c>
      <c r="K40" s="8">
        <v>103648</v>
      </c>
      <c r="L40" s="8">
        <v>112968</v>
      </c>
      <c r="M40" s="8">
        <v>68986</v>
      </c>
      <c r="N40" s="8">
        <v>118909</v>
      </c>
      <c r="O40" s="8">
        <v>112968</v>
      </c>
      <c r="P40" s="8">
        <v>63372</v>
      </c>
      <c r="Q40" s="8">
        <v>52374</v>
      </c>
      <c r="R40" s="8">
        <v>28030</v>
      </c>
      <c r="S40" s="8"/>
      <c r="T40" s="8">
        <v>118909</v>
      </c>
      <c r="U40" s="124">
        <v>4</v>
      </c>
      <c r="V40" s="52">
        <v>4</v>
      </c>
      <c r="W40" s="52">
        <v>4</v>
      </c>
      <c r="X40" s="52">
        <v>4</v>
      </c>
      <c r="Y40" s="52">
        <v>4</v>
      </c>
      <c r="Z40" s="52">
        <v>4</v>
      </c>
      <c r="AA40" s="52">
        <v>4</v>
      </c>
      <c r="AB40" s="52">
        <v>4</v>
      </c>
      <c r="AC40" s="52">
        <v>4</v>
      </c>
      <c r="AD40" s="52">
        <v>4</v>
      </c>
      <c r="AE40" s="52">
        <v>4</v>
      </c>
      <c r="AF40" s="8">
        <v>4</v>
      </c>
      <c r="AG40" s="54">
        <v>26466</v>
      </c>
      <c r="AH40" s="8">
        <v>28030</v>
      </c>
      <c r="AI40" s="8">
        <v>95884</v>
      </c>
      <c r="AJ40" s="8">
        <v>84726</v>
      </c>
      <c r="AK40" s="8">
        <v>55189</v>
      </c>
      <c r="AL40" s="8">
        <v>118909</v>
      </c>
      <c r="AM40" s="8">
        <v>84726</v>
      </c>
      <c r="AN40" s="8">
        <v>36237</v>
      </c>
      <c r="AO40" s="8">
        <v>26187</v>
      </c>
      <c r="AP40" s="8">
        <v>28030</v>
      </c>
      <c r="AQ40" s="8">
        <v>0</v>
      </c>
      <c r="AR40" s="8">
        <v>70317</v>
      </c>
      <c r="AS40" s="202">
        <v>118909</v>
      </c>
      <c r="AT40" s="54">
        <v>26466</v>
      </c>
      <c r="AU40" s="8">
        <v>28030</v>
      </c>
      <c r="AV40" s="8">
        <v>95884</v>
      </c>
      <c r="AW40" s="8">
        <v>84726</v>
      </c>
      <c r="AX40" s="8">
        <v>55189</v>
      </c>
      <c r="AY40" s="8">
        <v>118909</v>
      </c>
      <c r="AZ40" s="8">
        <v>84726</v>
      </c>
      <c r="BA40" s="8">
        <v>36237</v>
      </c>
      <c r="BB40" s="8">
        <v>26187</v>
      </c>
      <c r="BC40" s="8">
        <v>28030</v>
      </c>
      <c r="BD40" s="8">
        <v>0</v>
      </c>
      <c r="BE40" s="8">
        <v>70317</v>
      </c>
      <c r="BF40" s="202">
        <v>118909</v>
      </c>
    </row>
    <row r="41" spans="1:58" ht="14.25" x14ac:dyDescent="0.45">
      <c r="A41" t="s">
        <v>324</v>
      </c>
      <c r="B41" t="s">
        <v>325</v>
      </c>
      <c r="C41" t="s">
        <v>326</v>
      </c>
      <c r="D41" t="s">
        <v>193</v>
      </c>
      <c r="E41" t="s">
        <v>327</v>
      </c>
      <c r="F41" s="10">
        <v>5315</v>
      </c>
      <c r="G41" s="8">
        <v>18255</v>
      </c>
      <c r="H41" s="8">
        <v>23570</v>
      </c>
      <c r="I41" s="126">
        <v>780</v>
      </c>
      <c r="J41" s="8">
        <v>1762</v>
      </c>
      <c r="K41" s="8">
        <v>4123</v>
      </c>
      <c r="L41" s="8">
        <v>4252</v>
      </c>
      <c r="M41" s="8">
        <v>5102</v>
      </c>
      <c r="N41" s="8">
        <v>4651</v>
      </c>
      <c r="O41" s="8">
        <v>4252</v>
      </c>
      <c r="P41" s="8">
        <v>2525</v>
      </c>
      <c r="Q41" s="8">
        <v>2679</v>
      </c>
      <c r="R41" s="8">
        <v>1762</v>
      </c>
      <c r="S41" s="8"/>
      <c r="T41" s="8">
        <v>5102</v>
      </c>
      <c r="U41" s="124">
        <v>5</v>
      </c>
      <c r="V41" s="52">
        <v>4</v>
      </c>
      <c r="W41" s="52">
        <v>4</v>
      </c>
      <c r="X41" s="52">
        <v>5</v>
      </c>
      <c r="Y41" s="52">
        <v>5</v>
      </c>
      <c r="Z41" s="52">
        <v>5</v>
      </c>
      <c r="AA41" s="52">
        <v>5</v>
      </c>
      <c r="AB41" s="52">
        <v>5</v>
      </c>
      <c r="AC41" s="52">
        <v>5</v>
      </c>
      <c r="AD41" s="52">
        <v>4</v>
      </c>
      <c r="AE41" s="52">
        <v>4</v>
      </c>
      <c r="AF41" s="8">
        <v>5</v>
      </c>
      <c r="AG41" s="54">
        <v>702</v>
      </c>
      <c r="AH41" s="8">
        <v>1762</v>
      </c>
      <c r="AI41" s="8">
        <v>3062</v>
      </c>
      <c r="AJ41" s="8">
        <v>3189</v>
      </c>
      <c r="AK41" s="8">
        <v>4082</v>
      </c>
      <c r="AL41" s="8">
        <v>4651</v>
      </c>
      <c r="AM41" s="8">
        <v>3189</v>
      </c>
      <c r="AN41" s="8">
        <v>1468</v>
      </c>
      <c r="AO41" s="8">
        <v>134</v>
      </c>
      <c r="AP41" s="8">
        <v>1762</v>
      </c>
      <c r="AQ41" s="8">
        <v>0</v>
      </c>
      <c r="AR41" s="8">
        <v>2271</v>
      </c>
      <c r="AS41" s="202">
        <v>4651</v>
      </c>
      <c r="AT41" s="54">
        <v>702</v>
      </c>
      <c r="AU41" s="8">
        <v>1762</v>
      </c>
      <c r="AV41" s="8">
        <v>3062</v>
      </c>
      <c r="AW41" s="8">
        <v>3189</v>
      </c>
      <c r="AX41" s="8">
        <v>4082</v>
      </c>
      <c r="AY41" s="8">
        <v>4651</v>
      </c>
      <c r="AZ41" s="8">
        <v>3189</v>
      </c>
      <c r="BA41" s="8">
        <v>1468</v>
      </c>
      <c r="BB41" s="8">
        <v>134</v>
      </c>
      <c r="BC41" s="8">
        <v>1762</v>
      </c>
      <c r="BD41" s="8">
        <v>0</v>
      </c>
      <c r="BE41" s="8">
        <v>2271</v>
      </c>
      <c r="BF41" s="202">
        <v>4651</v>
      </c>
    </row>
    <row r="42" spans="1:58" ht="14.25" x14ac:dyDescent="0.45">
      <c r="A42" t="s">
        <v>324</v>
      </c>
      <c r="B42" t="s">
        <v>325</v>
      </c>
      <c r="C42" t="s">
        <v>254</v>
      </c>
      <c r="D42" t="s">
        <v>196</v>
      </c>
      <c r="E42" t="s">
        <v>328</v>
      </c>
      <c r="F42" s="10">
        <v>1930</v>
      </c>
      <c r="G42" s="8">
        <v>3343.7298994067223</v>
      </c>
      <c r="H42" s="8">
        <v>5273.7298994067223</v>
      </c>
      <c r="I42" s="126">
        <v>283</v>
      </c>
      <c r="J42" s="8">
        <v>634</v>
      </c>
      <c r="K42" s="8">
        <v>1497</v>
      </c>
      <c r="L42" s="8">
        <v>1737</v>
      </c>
      <c r="M42" s="8">
        <v>1550</v>
      </c>
      <c r="N42" s="8">
        <v>1608</v>
      </c>
      <c r="O42" s="8">
        <v>1737</v>
      </c>
      <c r="P42" s="8">
        <v>837</v>
      </c>
      <c r="Q42" s="8">
        <v>757</v>
      </c>
      <c r="R42" s="8">
        <v>634</v>
      </c>
      <c r="S42" s="8"/>
      <c r="T42" s="8">
        <v>1737</v>
      </c>
      <c r="U42" s="124">
        <v>4</v>
      </c>
      <c r="V42" s="52">
        <v>4</v>
      </c>
      <c r="W42" s="52">
        <v>4</v>
      </c>
      <c r="X42" s="52">
        <v>4</v>
      </c>
      <c r="Y42" s="52">
        <v>4</v>
      </c>
      <c r="Z42" s="52">
        <v>4</v>
      </c>
      <c r="AA42" s="52">
        <v>4</v>
      </c>
      <c r="AB42" s="52">
        <v>4</v>
      </c>
      <c r="AC42" s="52">
        <v>4</v>
      </c>
      <c r="AD42" s="52">
        <v>4</v>
      </c>
      <c r="AE42" s="52">
        <v>4</v>
      </c>
      <c r="AF42" s="8">
        <v>4</v>
      </c>
      <c r="AG42" s="54">
        <v>255</v>
      </c>
      <c r="AH42" s="8">
        <v>634</v>
      </c>
      <c r="AI42" s="8">
        <v>1198</v>
      </c>
      <c r="AJ42" s="8">
        <v>1303</v>
      </c>
      <c r="AK42" s="8">
        <v>1240</v>
      </c>
      <c r="AL42" s="8">
        <v>1608</v>
      </c>
      <c r="AM42" s="8">
        <v>1303</v>
      </c>
      <c r="AN42" s="8">
        <v>483</v>
      </c>
      <c r="AO42" s="8">
        <v>378</v>
      </c>
      <c r="AP42" s="8">
        <v>634</v>
      </c>
      <c r="AQ42" s="8">
        <v>0</v>
      </c>
      <c r="AR42" s="8">
        <v>310</v>
      </c>
      <c r="AS42" s="202">
        <v>1608</v>
      </c>
      <c r="AT42" s="54">
        <v>255</v>
      </c>
      <c r="AU42" s="8">
        <v>634</v>
      </c>
      <c r="AV42" s="8">
        <v>1198</v>
      </c>
      <c r="AW42" s="8">
        <v>1303</v>
      </c>
      <c r="AX42" s="8">
        <v>1240</v>
      </c>
      <c r="AY42" s="8">
        <v>1608</v>
      </c>
      <c r="AZ42" s="8">
        <v>1303</v>
      </c>
      <c r="BA42" s="8">
        <v>483</v>
      </c>
      <c r="BB42" s="8">
        <v>378</v>
      </c>
      <c r="BC42" s="8">
        <v>634</v>
      </c>
      <c r="BD42" s="8">
        <v>0</v>
      </c>
      <c r="BE42" s="8">
        <v>310</v>
      </c>
      <c r="BF42" s="202">
        <v>1608</v>
      </c>
    </row>
    <row r="43" spans="1:58" ht="14.25" x14ac:dyDescent="0.45">
      <c r="A43" t="s">
        <v>324</v>
      </c>
      <c r="B43" t="s">
        <v>325</v>
      </c>
      <c r="C43" t="s">
        <v>256</v>
      </c>
      <c r="D43" t="s">
        <v>199</v>
      </c>
      <c r="E43" t="s">
        <v>329</v>
      </c>
      <c r="F43" s="55">
        <v>0</v>
      </c>
      <c r="G43" s="51">
        <v>0</v>
      </c>
      <c r="H43" s="51"/>
      <c r="I43" s="125">
        <v>0</v>
      </c>
      <c r="J43" s="51">
        <v>0</v>
      </c>
      <c r="K43" s="51">
        <v>0</v>
      </c>
      <c r="L43" s="51">
        <v>0</v>
      </c>
      <c r="M43" s="51">
        <v>0</v>
      </c>
      <c r="N43" s="51">
        <v>0</v>
      </c>
      <c r="O43" s="51">
        <v>0</v>
      </c>
      <c r="P43" s="51">
        <v>0</v>
      </c>
      <c r="Q43" s="51">
        <v>0</v>
      </c>
      <c r="R43" s="51">
        <v>0</v>
      </c>
      <c r="S43" s="51"/>
      <c r="T43" s="51">
        <v>0</v>
      </c>
      <c r="U43" s="125"/>
      <c r="V43" s="51"/>
      <c r="W43" s="51"/>
      <c r="X43" s="51"/>
      <c r="Y43" s="51">
        <v>0</v>
      </c>
      <c r="Z43" s="51"/>
      <c r="AA43" s="51"/>
      <c r="AB43" s="51"/>
      <c r="AC43" s="51"/>
      <c r="AD43" s="51"/>
      <c r="AE43" s="51"/>
      <c r="AF43" s="51"/>
      <c r="AG43" s="57">
        <v>0</v>
      </c>
      <c r="AH43" s="51">
        <v>0</v>
      </c>
      <c r="AI43" s="51">
        <v>0</v>
      </c>
      <c r="AJ43" s="51">
        <v>0</v>
      </c>
      <c r="AK43" s="51">
        <v>0</v>
      </c>
      <c r="AL43" s="51">
        <v>0</v>
      </c>
      <c r="AM43" s="51">
        <v>0</v>
      </c>
      <c r="AN43" s="51">
        <v>0</v>
      </c>
      <c r="AO43" s="51">
        <v>0</v>
      </c>
      <c r="AP43" s="51">
        <v>0</v>
      </c>
      <c r="AQ43" s="51">
        <v>0</v>
      </c>
      <c r="AR43" s="51">
        <v>0</v>
      </c>
      <c r="AS43" s="201">
        <v>0</v>
      </c>
      <c r="AT43" s="57">
        <v>0</v>
      </c>
      <c r="AU43" s="51">
        <v>0</v>
      </c>
      <c r="AV43" s="51">
        <v>0</v>
      </c>
      <c r="AW43" s="51">
        <v>0</v>
      </c>
      <c r="AX43" s="51">
        <v>0</v>
      </c>
      <c r="AY43" s="51">
        <v>0</v>
      </c>
      <c r="AZ43" s="51">
        <v>0</v>
      </c>
      <c r="BA43" s="51">
        <v>0</v>
      </c>
      <c r="BB43" s="51">
        <v>0</v>
      </c>
      <c r="BC43" s="51">
        <v>0</v>
      </c>
      <c r="BD43" s="51">
        <v>0</v>
      </c>
      <c r="BE43" s="51">
        <v>0</v>
      </c>
      <c r="BF43" s="201">
        <v>0</v>
      </c>
    </row>
    <row r="44" spans="1:58" ht="14.25" x14ac:dyDescent="0.45">
      <c r="A44" t="s">
        <v>324</v>
      </c>
      <c r="B44" t="s">
        <v>325</v>
      </c>
      <c r="C44" t="s">
        <v>330</v>
      </c>
      <c r="D44" t="s">
        <v>193</v>
      </c>
      <c r="E44" t="s">
        <v>331</v>
      </c>
      <c r="F44" s="10">
        <v>9908</v>
      </c>
      <c r="G44" s="8">
        <v>67022</v>
      </c>
      <c r="H44" s="8">
        <v>76930</v>
      </c>
      <c r="I44" s="126">
        <v>2181</v>
      </c>
      <c r="J44" s="8">
        <v>3323</v>
      </c>
      <c r="K44" s="8">
        <v>7686</v>
      </c>
      <c r="L44" s="8">
        <v>8493</v>
      </c>
      <c r="M44" s="8">
        <v>8310</v>
      </c>
      <c r="N44" s="8">
        <v>9908</v>
      </c>
      <c r="O44" s="8">
        <v>8493</v>
      </c>
      <c r="P44" s="8">
        <v>3873</v>
      </c>
      <c r="Q44" s="8">
        <v>3884</v>
      </c>
      <c r="R44" s="8">
        <v>3323</v>
      </c>
      <c r="S44" s="8"/>
      <c r="T44" s="8">
        <v>9908</v>
      </c>
      <c r="U44" s="124">
        <v>4</v>
      </c>
      <c r="V44" s="52">
        <v>4</v>
      </c>
      <c r="W44" s="52">
        <v>5</v>
      </c>
      <c r="X44" s="52">
        <v>5</v>
      </c>
      <c r="Y44" s="52">
        <v>5</v>
      </c>
      <c r="Z44" s="52">
        <v>4</v>
      </c>
      <c r="AA44" s="52">
        <v>5</v>
      </c>
      <c r="AB44" s="52">
        <v>5</v>
      </c>
      <c r="AC44" s="52">
        <v>4</v>
      </c>
      <c r="AD44" s="52">
        <v>4</v>
      </c>
      <c r="AE44" s="52">
        <v>4</v>
      </c>
      <c r="AF44" s="8">
        <v>5</v>
      </c>
      <c r="AG44" s="54">
        <v>1963</v>
      </c>
      <c r="AH44" s="8">
        <v>3323</v>
      </c>
      <c r="AI44" s="8">
        <v>5708</v>
      </c>
      <c r="AJ44" s="8">
        <v>6370</v>
      </c>
      <c r="AK44" s="8">
        <v>6648</v>
      </c>
      <c r="AL44" s="8">
        <v>9908</v>
      </c>
      <c r="AM44" s="8">
        <v>6370</v>
      </c>
      <c r="AN44" s="8">
        <v>2231</v>
      </c>
      <c r="AO44" s="8">
        <v>194</v>
      </c>
      <c r="AP44" s="8">
        <v>3323</v>
      </c>
      <c r="AQ44" s="8">
        <v>0</v>
      </c>
      <c r="AR44" s="8">
        <v>3309</v>
      </c>
      <c r="AS44" s="202">
        <v>9908</v>
      </c>
      <c r="AT44" s="54">
        <v>1963</v>
      </c>
      <c r="AU44" s="8">
        <v>3323</v>
      </c>
      <c r="AV44" s="8">
        <v>5708</v>
      </c>
      <c r="AW44" s="8">
        <v>6370</v>
      </c>
      <c r="AX44" s="8">
        <v>6648</v>
      </c>
      <c r="AY44" s="8">
        <v>9908</v>
      </c>
      <c r="AZ44" s="8">
        <v>6370</v>
      </c>
      <c r="BA44" s="8">
        <v>2231</v>
      </c>
      <c r="BB44" s="8">
        <v>194</v>
      </c>
      <c r="BC44" s="8">
        <v>3323</v>
      </c>
      <c r="BD44" s="8">
        <v>0</v>
      </c>
      <c r="BE44" s="8">
        <v>3309</v>
      </c>
      <c r="BF44" s="202">
        <v>9908</v>
      </c>
    </row>
    <row r="45" spans="1:58" ht="14.25" x14ac:dyDescent="0.45">
      <c r="A45" t="s">
        <v>332</v>
      </c>
      <c r="B45" t="s">
        <v>333</v>
      </c>
      <c r="C45" t="s">
        <v>245</v>
      </c>
      <c r="D45" t="s">
        <v>199</v>
      </c>
      <c r="E45" t="s">
        <v>334</v>
      </c>
      <c r="F45" s="55">
        <v>0</v>
      </c>
      <c r="G45" s="51">
        <v>0</v>
      </c>
      <c r="H45" s="51"/>
      <c r="I45" s="125">
        <v>0</v>
      </c>
      <c r="J45" s="51">
        <v>0</v>
      </c>
      <c r="K45" s="51">
        <v>0</v>
      </c>
      <c r="L45" s="51">
        <v>0</v>
      </c>
      <c r="M45" s="51">
        <v>0</v>
      </c>
      <c r="N45" s="51">
        <v>0</v>
      </c>
      <c r="O45" s="51">
        <v>0</v>
      </c>
      <c r="P45" s="51">
        <v>0</v>
      </c>
      <c r="Q45" s="51">
        <v>0</v>
      </c>
      <c r="R45" s="51">
        <v>0</v>
      </c>
      <c r="S45" s="51"/>
      <c r="T45" s="51">
        <v>0</v>
      </c>
      <c r="U45" s="125"/>
      <c r="V45" s="51"/>
      <c r="W45" s="51"/>
      <c r="X45" s="51"/>
      <c r="Y45" s="51">
        <v>0</v>
      </c>
      <c r="Z45" s="51"/>
      <c r="AA45" s="51"/>
      <c r="AB45" s="51"/>
      <c r="AC45" s="51"/>
      <c r="AD45" s="51"/>
      <c r="AE45" s="51"/>
      <c r="AF45" s="51"/>
      <c r="AG45" s="57">
        <v>0</v>
      </c>
      <c r="AH45" s="51">
        <v>0</v>
      </c>
      <c r="AI45" s="51">
        <v>0</v>
      </c>
      <c r="AJ45" s="51">
        <v>0</v>
      </c>
      <c r="AK45" s="51">
        <v>0</v>
      </c>
      <c r="AL45" s="51">
        <v>0</v>
      </c>
      <c r="AM45" s="51">
        <v>0</v>
      </c>
      <c r="AN45" s="51">
        <v>0</v>
      </c>
      <c r="AO45" s="51">
        <v>0</v>
      </c>
      <c r="AP45" s="51">
        <v>0</v>
      </c>
      <c r="AQ45" s="51">
        <v>0</v>
      </c>
      <c r="AR45" s="51">
        <v>0</v>
      </c>
      <c r="AS45" s="201">
        <v>0</v>
      </c>
      <c r="AT45" s="57">
        <v>0</v>
      </c>
      <c r="AU45" s="51">
        <v>0</v>
      </c>
      <c r="AV45" s="51">
        <v>0</v>
      </c>
      <c r="AW45" s="51">
        <v>0</v>
      </c>
      <c r="AX45" s="51">
        <v>0</v>
      </c>
      <c r="AY45" s="51">
        <v>0</v>
      </c>
      <c r="AZ45" s="51">
        <v>0</v>
      </c>
      <c r="BA45" s="51">
        <v>0</v>
      </c>
      <c r="BB45" s="51">
        <v>0</v>
      </c>
      <c r="BC45" s="51">
        <v>0</v>
      </c>
      <c r="BD45" s="51">
        <v>0</v>
      </c>
      <c r="BE45" s="51">
        <v>0</v>
      </c>
      <c r="BF45" s="201">
        <v>0</v>
      </c>
    </row>
    <row r="46" spans="1:58" ht="14.25" x14ac:dyDescent="0.45">
      <c r="A46" t="s">
        <v>335</v>
      </c>
      <c r="B46" t="s">
        <v>336</v>
      </c>
      <c r="C46" t="s">
        <v>245</v>
      </c>
      <c r="D46" t="s">
        <v>199</v>
      </c>
      <c r="E46" t="s">
        <v>337</v>
      </c>
      <c r="F46" s="55">
        <v>0</v>
      </c>
      <c r="G46" s="51">
        <v>0</v>
      </c>
      <c r="H46" s="51"/>
      <c r="I46" s="125">
        <v>0</v>
      </c>
      <c r="J46" s="51">
        <v>0</v>
      </c>
      <c r="K46" s="51">
        <v>0</v>
      </c>
      <c r="L46" s="51">
        <v>0</v>
      </c>
      <c r="M46" s="51">
        <v>0</v>
      </c>
      <c r="N46" s="51">
        <v>0</v>
      </c>
      <c r="O46" s="51">
        <v>0</v>
      </c>
      <c r="P46" s="51">
        <v>0</v>
      </c>
      <c r="Q46" s="51">
        <v>0</v>
      </c>
      <c r="R46" s="51">
        <v>0</v>
      </c>
      <c r="S46" s="51"/>
      <c r="T46" s="51">
        <v>0</v>
      </c>
      <c r="U46" s="125"/>
      <c r="V46" s="51"/>
      <c r="W46" s="51"/>
      <c r="X46" s="51"/>
      <c r="Y46" s="51">
        <v>0</v>
      </c>
      <c r="Z46" s="51"/>
      <c r="AA46" s="51"/>
      <c r="AB46" s="51"/>
      <c r="AC46" s="51"/>
      <c r="AD46" s="51"/>
      <c r="AE46" s="51"/>
      <c r="AF46" s="51"/>
      <c r="AG46" s="57">
        <v>0</v>
      </c>
      <c r="AH46" s="51">
        <v>0</v>
      </c>
      <c r="AI46" s="51">
        <v>0</v>
      </c>
      <c r="AJ46" s="51">
        <v>0</v>
      </c>
      <c r="AK46" s="51">
        <v>0</v>
      </c>
      <c r="AL46" s="51">
        <v>0</v>
      </c>
      <c r="AM46" s="51">
        <v>0</v>
      </c>
      <c r="AN46" s="51">
        <v>0</v>
      </c>
      <c r="AO46" s="51">
        <v>0</v>
      </c>
      <c r="AP46" s="51">
        <v>0</v>
      </c>
      <c r="AQ46" s="51">
        <v>0</v>
      </c>
      <c r="AR46" s="51">
        <v>0</v>
      </c>
      <c r="AS46" s="201">
        <v>0</v>
      </c>
      <c r="AT46" s="57">
        <v>0</v>
      </c>
      <c r="AU46" s="51">
        <v>0</v>
      </c>
      <c r="AV46" s="51">
        <v>0</v>
      </c>
      <c r="AW46" s="51">
        <v>0</v>
      </c>
      <c r="AX46" s="51">
        <v>0</v>
      </c>
      <c r="AY46" s="51">
        <v>0</v>
      </c>
      <c r="AZ46" s="51">
        <v>0</v>
      </c>
      <c r="BA46" s="51">
        <v>0</v>
      </c>
      <c r="BB46" s="51">
        <v>0</v>
      </c>
      <c r="BC46" s="51">
        <v>0</v>
      </c>
      <c r="BD46" s="51">
        <v>0</v>
      </c>
      <c r="BE46" s="51">
        <v>0</v>
      </c>
      <c r="BF46" s="201">
        <v>0</v>
      </c>
    </row>
    <row r="47" spans="1:58" ht="14.25" x14ac:dyDescent="0.45">
      <c r="A47" t="s">
        <v>338</v>
      </c>
      <c r="B47" t="s">
        <v>339</v>
      </c>
      <c r="C47" t="s">
        <v>245</v>
      </c>
      <c r="D47" t="s">
        <v>199</v>
      </c>
      <c r="E47" t="s">
        <v>340</v>
      </c>
      <c r="F47" s="55">
        <v>0</v>
      </c>
      <c r="G47" s="51">
        <v>0</v>
      </c>
      <c r="H47" s="51"/>
      <c r="I47" s="125">
        <v>0</v>
      </c>
      <c r="J47" s="51">
        <v>0</v>
      </c>
      <c r="K47" s="51">
        <v>0</v>
      </c>
      <c r="L47" s="51">
        <v>0</v>
      </c>
      <c r="M47" s="51">
        <v>0</v>
      </c>
      <c r="N47" s="51">
        <v>0</v>
      </c>
      <c r="O47" s="51">
        <v>0</v>
      </c>
      <c r="P47" s="51">
        <v>0</v>
      </c>
      <c r="Q47" s="51">
        <v>0</v>
      </c>
      <c r="R47" s="51">
        <v>0</v>
      </c>
      <c r="S47" s="51"/>
      <c r="T47" s="51">
        <v>0</v>
      </c>
      <c r="U47" s="125"/>
      <c r="V47" s="51"/>
      <c r="W47" s="51"/>
      <c r="X47" s="51"/>
      <c r="Y47" s="51">
        <v>0</v>
      </c>
      <c r="Z47" s="51"/>
      <c r="AA47" s="51"/>
      <c r="AB47" s="51"/>
      <c r="AC47" s="51"/>
      <c r="AD47" s="51"/>
      <c r="AE47" s="51"/>
      <c r="AF47" s="51"/>
      <c r="AG47" s="57">
        <v>0</v>
      </c>
      <c r="AH47" s="51">
        <v>0</v>
      </c>
      <c r="AI47" s="51">
        <v>0</v>
      </c>
      <c r="AJ47" s="51">
        <v>0</v>
      </c>
      <c r="AK47" s="51">
        <v>0</v>
      </c>
      <c r="AL47" s="51">
        <v>0</v>
      </c>
      <c r="AM47" s="51">
        <v>0</v>
      </c>
      <c r="AN47" s="51">
        <v>0</v>
      </c>
      <c r="AO47" s="51">
        <v>0</v>
      </c>
      <c r="AP47" s="51">
        <v>0</v>
      </c>
      <c r="AQ47" s="51">
        <v>0</v>
      </c>
      <c r="AR47" s="51">
        <v>0</v>
      </c>
      <c r="AS47" s="201">
        <v>0</v>
      </c>
      <c r="AT47" s="57">
        <v>0</v>
      </c>
      <c r="AU47" s="51">
        <v>0</v>
      </c>
      <c r="AV47" s="51">
        <v>0</v>
      </c>
      <c r="AW47" s="51">
        <v>0</v>
      </c>
      <c r="AX47" s="51">
        <v>0</v>
      </c>
      <c r="AY47" s="51">
        <v>0</v>
      </c>
      <c r="AZ47" s="51">
        <v>0</v>
      </c>
      <c r="BA47" s="51">
        <v>0</v>
      </c>
      <c r="BB47" s="51">
        <v>0</v>
      </c>
      <c r="BC47" s="51">
        <v>0</v>
      </c>
      <c r="BD47" s="51">
        <v>0</v>
      </c>
      <c r="BE47" s="51">
        <v>0</v>
      </c>
      <c r="BF47" s="201">
        <v>0</v>
      </c>
    </row>
    <row r="48" spans="1:58" ht="14.25" x14ac:dyDescent="0.45">
      <c r="A48" t="s">
        <v>341</v>
      </c>
      <c r="B48" t="s">
        <v>342</v>
      </c>
      <c r="C48" t="s">
        <v>252</v>
      </c>
      <c r="D48" t="s">
        <v>193</v>
      </c>
      <c r="E48" t="s">
        <v>343</v>
      </c>
      <c r="F48" s="10">
        <v>4864</v>
      </c>
      <c r="G48" s="8">
        <v>79652</v>
      </c>
      <c r="H48" s="8">
        <v>84516</v>
      </c>
      <c r="I48" s="126">
        <v>1071</v>
      </c>
      <c r="J48" s="8">
        <v>690</v>
      </c>
      <c r="K48" s="8">
        <v>3773</v>
      </c>
      <c r="L48" s="8">
        <v>4378</v>
      </c>
      <c r="M48" s="8">
        <v>4062</v>
      </c>
      <c r="N48" s="8">
        <v>4062</v>
      </c>
      <c r="O48" s="8">
        <v>4378</v>
      </c>
      <c r="P48" s="8">
        <v>2055</v>
      </c>
      <c r="Q48" s="8">
        <v>1907</v>
      </c>
      <c r="R48" s="8">
        <v>690</v>
      </c>
      <c r="S48" s="8"/>
      <c r="T48" s="8">
        <v>4378</v>
      </c>
      <c r="U48" s="124">
        <v>4</v>
      </c>
      <c r="V48" s="52">
        <v>4</v>
      </c>
      <c r="W48" s="52">
        <v>4</v>
      </c>
      <c r="X48" s="52">
        <v>4</v>
      </c>
      <c r="Y48" s="52">
        <v>5</v>
      </c>
      <c r="Z48" s="52">
        <v>5</v>
      </c>
      <c r="AA48" s="52">
        <v>4</v>
      </c>
      <c r="AB48" s="52">
        <v>5</v>
      </c>
      <c r="AC48" s="52">
        <v>4</v>
      </c>
      <c r="AD48" s="52">
        <v>4</v>
      </c>
      <c r="AE48" s="52">
        <v>4</v>
      </c>
      <c r="AF48" s="8">
        <v>5</v>
      </c>
      <c r="AG48" s="54">
        <v>964</v>
      </c>
      <c r="AH48" s="8">
        <v>690</v>
      </c>
      <c r="AI48" s="8">
        <v>2802</v>
      </c>
      <c r="AJ48" s="8">
        <v>3284</v>
      </c>
      <c r="AK48" s="8">
        <v>3249</v>
      </c>
      <c r="AL48" s="8">
        <v>4062</v>
      </c>
      <c r="AM48" s="8">
        <v>3284</v>
      </c>
      <c r="AN48" s="8">
        <v>1213</v>
      </c>
      <c r="AO48" s="8">
        <v>95</v>
      </c>
      <c r="AP48" s="8">
        <v>690</v>
      </c>
      <c r="AQ48" s="8">
        <v>0</v>
      </c>
      <c r="AR48" s="8">
        <v>2614</v>
      </c>
      <c r="AS48" s="202">
        <v>4062</v>
      </c>
      <c r="AT48" s="54">
        <v>964</v>
      </c>
      <c r="AU48" s="8">
        <v>690</v>
      </c>
      <c r="AV48" s="8">
        <v>2802</v>
      </c>
      <c r="AW48" s="8">
        <v>3284</v>
      </c>
      <c r="AX48" s="8">
        <v>3249</v>
      </c>
      <c r="AY48" s="8">
        <v>4062</v>
      </c>
      <c r="AZ48" s="8">
        <v>3284</v>
      </c>
      <c r="BA48" s="8">
        <v>1213</v>
      </c>
      <c r="BB48" s="8">
        <v>95</v>
      </c>
      <c r="BC48" s="8">
        <v>690</v>
      </c>
      <c r="BD48" s="8">
        <v>0</v>
      </c>
      <c r="BE48" s="8">
        <v>2614</v>
      </c>
      <c r="BF48" s="202">
        <v>4062</v>
      </c>
    </row>
    <row r="49" spans="1:58" ht="14.25" x14ac:dyDescent="0.45">
      <c r="A49" t="s">
        <v>341</v>
      </c>
      <c r="B49" t="s">
        <v>342</v>
      </c>
      <c r="C49" t="s">
        <v>254</v>
      </c>
      <c r="D49" t="s">
        <v>196</v>
      </c>
      <c r="E49" t="s">
        <v>344</v>
      </c>
      <c r="F49" s="10">
        <v>704</v>
      </c>
      <c r="G49" s="8">
        <v>5332.4750933325968</v>
      </c>
      <c r="H49" s="8">
        <v>6036.4750933325968</v>
      </c>
      <c r="I49" s="126">
        <v>110</v>
      </c>
      <c r="J49" s="8">
        <v>59</v>
      </c>
      <c r="K49" s="8">
        <v>546</v>
      </c>
      <c r="L49" s="8">
        <v>634</v>
      </c>
      <c r="M49" s="8">
        <v>521</v>
      </c>
      <c r="N49" s="8">
        <v>503</v>
      </c>
      <c r="O49" s="8">
        <v>634</v>
      </c>
      <c r="P49" s="8">
        <v>302</v>
      </c>
      <c r="Q49" s="8">
        <v>197</v>
      </c>
      <c r="R49" s="8">
        <v>59</v>
      </c>
      <c r="S49" s="8"/>
      <c r="T49" s="8">
        <v>634</v>
      </c>
      <c r="U49" s="124">
        <v>4</v>
      </c>
      <c r="V49" s="52">
        <v>3</v>
      </c>
      <c r="W49" s="52">
        <v>4</v>
      </c>
      <c r="X49" s="52">
        <v>4</v>
      </c>
      <c r="Y49" s="52">
        <v>3</v>
      </c>
      <c r="Z49" s="52">
        <v>3</v>
      </c>
      <c r="AA49" s="52">
        <v>4</v>
      </c>
      <c r="AB49" s="52">
        <v>4</v>
      </c>
      <c r="AC49" s="52">
        <v>3</v>
      </c>
      <c r="AD49" s="52">
        <v>3</v>
      </c>
      <c r="AE49" s="52">
        <v>3</v>
      </c>
      <c r="AF49" s="8">
        <v>3</v>
      </c>
      <c r="AG49" s="54">
        <v>99</v>
      </c>
      <c r="AH49" s="8">
        <v>59</v>
      </c>
      <c r="AI49" s="8">
        <v>437</v>
      </c>
      <c r="AJ49" s="8">
        <v>476</v>
      </c>
      <c r="AK49" s="8">
        <v>209</v>
      </c>
      <c r="AL49" s="8">
        <v>251</v>
      </c>
      <c r="AM49" s="8">
        <v>476</v>
      </c>
      <c r="AN49" s="8">
        <v>200</v>
      </c>
      <c r="AO49" s="8">
        <v>59</v>
      </c>
      <c r="AP49" s="8">
        <v>59</v>
      </c>
      <c r="AQ49" s="8">
        <v>0</v>
      </c>
      <c r="AR49" s="8">
        <v>317</v>
      </c>
      <c r="AS49" s="202">
        <v>476</v>
      </c>
      <c r="AT49" s="54">
        <v>99</v>
      </c>
      <c r="AU49" s="8">
        <v>12</v>
      </c>
      <c r="AV49" s="8">
        <v>437</v>
      </c>
      <c r="AW49" s="8">
        <v>476</v>
      </c>
      <c r="AX49" s="8">
        <v>42</v>
      </c>
      <c r="AY49" s="8">
        <v>50</v>
      </c>
      <c r="AZ49" s="8">
        <v>476</v>
      </c>
      <c r="BA49" s="8">
        <v>200</v>
      </c>
      <c r="BB49" s="8">
        <v>12</v>
      </c>
      <c r="BC49" s="8">
        <v>12</v>
      </c>
      <c r="BD49" s="8">
        <v>0</v>
      </c>
      <c r="BE49" s="8">
        <v>63</v>
      </c>
      <c r="BF49" s="202">
        <v>476</v>
      </c>
    </row>
    <row r="50" spans="1:58" ht="14.25" x14ac:dyDescent="0.45">
      <c r="A50" t="s">
        <v>341</v>
      </c>
      <c r="B50" t="s">
        <v>342</v>
      </c>
      <c r="C50" t="s">
        <v>256</v>
      </c>
      <c r="D50" t="s">
        <v>199</v>
      </c>
      <c r="E50" t="s">
        <v>345</v>
      </c>
      <c r="F50" s="55">
        <v>0</v>
      </c>
      <c r="G50" s="51">
        <v>0</v>
      </c>
      <c r="H50" s="51"/>
      <c r="I50" s="125">
        <v>0</v>
      </c>
      <c r="J50" s="51">
        <v>0</v>
      </c>
      <c r="K50" s="51">
        <v>0</v>
      </c>
      <c r="L50" s="51">
        <v>0</v>
      </c>
      <c r="M50" s="51">
        <v>0</v>
      </c>
      <c r="N50" s="51">
        <v>0</v>
      </c>
      <c r="O50" s="51">
        <v>0</v>
      </c>
      <c r="P50" s="51">
        <v>0</v>
      </c>
      <c r="Q50" s="51">
        <v>0</v>
      </c>
      <c r="R50" s="51">
        <v>0</v>
      </c>
      <c r="S50" s="51"/>
      <c r="T50" s="51">
        <v>0</v>
      </c>
      <c r="U50" s="125"/>
      <c r="V50" s="51"/>
      <c r="W50" s="51"/>
      <c r="X50" s="51"/>
      <c r="Y50" s="51">
        <v>0</v>
      </c>
      <c r="Z50" s="51"/>
      <c r="AA50" s="51"/>
      <c r="AB50" s="51"/>
      <c r="AC50" s="51"/>
      <c r="AD50" s="51"/>
      <c r="AE50" s="51"/>
      <c r="AF50" s="51"/>
      <c r="AG50" s="57">
        <v>0</v>
      </c>
      <c r="AH50" s="51">
        <v>0</v>
      </c>
      <c r="AI50" s="51">
        <v>0</v>
      </c>
      <c r="AJ50" s="51">
        <v>0</v>
      </c>
      <c r="AK50" s="51">
        <v>0</v>
      </c>
      <c r="AL50" s="51">
        <v>0</v>
      </c>
      <c r="AM50" s="51">
        <v>0</v>
      </c>
      <c r="AN50" s="51">
        <v>0</v>
      </c>
      <c r="AO50" s="51">
        <v>0</v>
      </c>
      <c r="AP50" s="51">
        <v>0</v>
      </c>
      <c r="AQ50" s="51">
        <v>0</v>
      </c>
      <c r="AR50" s="51">
        <v>0</v>
      </c>
      <c r="AS50" s="201">
        <v>0</v>
      </c>
      <c r="AT50" s="57">
        <v>0</v>
      </c>
      <c r="AU50" s="51">
        <v>0</v>
      </c>
      <c r="AV50" s="51">
        <v>0</v>
      </c>
      <c r="AW50" s="51">
        <v>0</v>
      </c>
      <c r="AX50" s="51">
        <v>0</v>
      </c>
      <c r="AY50" s="51">
        <v>0</v>
      </c>
      <c r="AZ50" s="51">
        <v>0</v>
      </c>
      <c r="BA50" s="51">
        <v>0</v>
      </c>
      <c r="BB50" s="51">
        <v>0</v>
      </c>
      <c r="BC50" s="51">
        <v>0</v>
      </c>
      <c r="BD50" s="51">
        <v>0</v>
      </c>
      <c r="BE50" s="51">
        <v>0</v>
      </c>
      <c r="BF50" s="201">
        <v>0</v>
      </c>
    </row>
    <row r="51" spans="1:58" ht="14.25" x14ac:dyDescent="0.45">
      <c r="A51" t="s">
        <v>346</v>
      </c>
      <c r="B51" t="s">
        <v>347</v>
      </c>
      <c r="C51" t="s">
        <v>245</v>
      </c>
      <c r="D51" t="s">
        <v>199</v>
      </c>
      <c r="E51" t="s">
        <v>348</v>
      </c>
      <c r="F51" s="55">
        <v>0</v>
      </c>
      <c r="G51" s="51">
        <v>0</v>
      </c>
      <c r="H51" s="51"/>
      <c r="I51" s="125">
        <v>0</v>
      </c>
      <c r="J51" s="51">
        <v>0</v>
      </c>
      <c r="K51" s="51">
        <v>0</v>
      </c>
      <c r="L51" s="51">
        <v>0</v>
      </c>
      <c r="M51" s="51">
        <v>0</v>
      </c>
      <c r="N51" s="51">
        <v>0</v>
      </c>
      <c r="O51" s="51">
        <v>0</v>
      </c>
      <c r="P51" s="51">
        <v>0</v>
      </c>
      <c r="Q51" s="51">
        <v>0</v>
      </c>
      <c r="R51" s="51">
        <v>0</v>
      </c>
      <c r="S51" s="51"/>
      <c r="T51" s="51">
        <v>0</v>
      </c>
      <c r="U51" s="125"/>
      <c r="V51" s="51"/>
      <c r="W51" s="51"/>
      <c r="X51" s="51"/>
      <c r="Y51" s="51">
        <v>0</v>
      </c>
      <c r="Z51" s="51"/>
      <c r="AA51" s="51"/>
      <c r="AB51" s="51"/>
      <c r="AC51" s="51"/>
      <c r="AD51" s="51"/>
      <c r="AE51" s="51"/>
      <c r="AF51" s="51"/>
      <c r="AG51" s="57">
        <v>0</v>
      </c>
      <c r="AH51" s="51">
        <v>0</v>
      </c>
      <c r="AI51" s="51">
        <v>0</v>
      </c>
      <c r="AJ51" s="51">
        <v>0</v>
      </c>
      <c r="AK51" s="51">
        <v>0</v>
      </c>
      <c r="AL51" s="51">
        <v>0</v>
      </c>
      <c r="AM51" s="51">
        <v>0</v>
      </c>
      <c r="AN51" s="51">
        <v>0</v>
      </c>
      <c r="AO51" s="51">
        <v>0</v>
      </c>
      <c r="AP51" s="51">
        <v>0</v>
      </c>
      <c r="AQ51" s="51">
        <v>0</v>
      </c>
      <c r="AR51" s="51">
        <v>0</v>
      </c>
      <c r="AS51" s="201">
        <v>0</v>
      </c>
      <c r="AT51" s="57">
        <v>0</v>
      </c>
      <c r="AU51" s="51">
        <v>0</v>
      </c>
      <c r="AV51" s="51">
        <v>0</v>
      </c>
      <c r="AW51" s="51">
        <v>0</v>
      </c>
      <c r="AX51" s="51">
        <v>0</v>
      </c>
      <c r="AY51" s="51">
        <v>0</v>
      </c>
      <c r="AZ51" s="51">
        <v>0</v>
      </c>
      <c r="BA51" s="51">
        <v>0</v>
      </c>
      <c r="BB51" s="51">
        <v>0</v>
      </c>
      <c r="BC51" s="51">
        <v>0</v>
      </c>
      <c r="BD51" s="51">
        <v>0</v>
      </c>
      <c r="BE51" s="51">
        <v>0</v>
      </c>
      <c r="BF51" s="201">
        <v>0</v>
      </c>
    </row>
    <row r="52" spans="1:58" ht="14.25" x14ac:dyDescent="0.45">
      <c r="A52" t="s">
        <v>33</v>
      </c>
      <c r="B52" t="s">
        <v>191</v>
      </c>
      <c r="C52" t="s">
        <v>192</v>
      </c>
      <c r="D52" t="s">
        <v>193</v>
      </c>
      <c r="E52" t="s">
        <v>194</v>
      </c>
      <c r="F52" s="10">
        <v>7414</v>
      </c>
      <c r="G52" s="8">
        <v>224914</v>
      </c>
      <c r="H52" s="8">
        <v>232328</v>
      </c>
      <c r="I52" s="126"/>
      <c r="J52" s="8"/>
      <c r="K52" s="8"/>
      <c r="L52" s="8"/>
      <c r="M52" s="8"/>
      <c r="N52" s="8"/>
      <c r="O52" s="8"/>
      <c r="P52" s="8"/>
      <c r="Q52" s="8"/>
      <c r="R52" s="8"/>
      <c r="S52" s="8"/>
      <c r="T52" s="8">
        <v>7414</v>
      </c>
      <c r="U52" s="124"/>
      <c r="V52" s="52"/>
      <c r="W52" s="52"/>
      <c r="X52" s="52"/>
      <c r="Y52" s="52"/>
      <c r="Z52" s="52"/>
      <c r="AA52" s="52"/>
      <c r="AB52" s="52"/>
      <c r="AC52" s="52"/>
      <c r="AD52" s="52"/>
      <c r="AE52" s="52"/>
      <c r="AF52" s="8">
        <v>5</v>
      </c>
      <c r="AG52" s="54"/>
      <c r="AH52" s="8"/>
      <c r="AI52" s="8"/>
      <c r="AJ52" s="8"/>
      <c r="AK52" s="8"/>
      <c r="AL52" s="8"/>
      <c r="AM52" s="8"/>
      <c r="AN52" s="8"/>
      <c r="AO52" s="8"/>
      <c r="AP52" s="8"/>
      <c r="AQ52" s="8"/>
      <c r="AR52" s="8"/>
      <c r="AS52" s="202">
        <v>4236</v>
      </c>
      <c r="AT52" s="54"/>
      <c r="AU52" s="8"/>
      <c r="AV52" s="8"/>
      <c r="AW52" s="8"/>
      <c r="AX52" s="8"/>
      <c r="AY52" s="8"/>
      <c r="AZ52" s="8"/>
      <c r="BA52" s="8"/>
      <c r="BB52" s="8"/>
      <c r="BC52" s="8"/>
      <c r="BD52" s="8"/>
      <c r="BE52" s="8"/>
      <c r="BF52" s="202">
        <v>4236</v>
      </c>
    </row>
    <row r="53" spans="1:58" ht="15" customHeight="1" x14ac:dyDescent="0.45">
      <c r="A53" t="s">
        <v>33</v>
      </c>
      <c r="B53" t="s">
        <v>191</v>
      </c>
      <c r="C53" t="s">
        <v>195</v>
      </c>
      <c r="D53" t="s">
        <v>196</v>
      </c>
      <c r="E53" t="s">
        <v>197</v>
      </c>
      <c r="F53" s="10">
        <v>10647</v>
      </c>
      <c r="G53" s="8">
        <v>225310</v>
      </c>
      <c r="H53" s="8">
        <v>235957</v>
      </c>
      <c r="I53" s="126"/>
      <c r="J53" s="8"/>
      <c r="K53" s="8"/>
      <c r="L53" s="8"/>
      <c r="M53" s="8"/>
      <c r="N53" s="8"/>
      <c r="O53" s="8"/>
      <c r="P53" s="8"/>
      <c r="Q53" s="8"/>
      <c r="R53" s="8"/>
      <c r="S53" s="8"/>
      <c r="T53" s="8">
        <v>10647</v>
      </c>
      <c r="U53" s="124"/>
      <c r="V53" s="52"/>
      <c r="W53" s="52"/>
      <c r="X53" s="52"/>
      <c r="Y53" s="52"/>
      <c r="Z53" s="52"/>
      <c r="AA53" s="52"/>
      <c r="AB53" s="52"/>
      <c r="AC53" s="52"/>
      <c r="AD53" s="52"/>
      <c r="AE53" s="52"/>
      <c r="AF53" s="8">
        <v>4</v>
      </c>
      <c r="AG53" s="54"/>
      <c r="AH53" s="8"/>
      <c r="AI53" s="8"/>
      <c r="AJ53" s="8"/>
      <c r="AK53" s="8"/>
      <c r="AL53" s="8"/>
      <c r="AM53" s="8"/>
      <c r="AN53" s="8"/>
      <c r="AO53" s="8"/>
      <c r="AP53" s="8"/>
      <c r="AQ53" s="8"/>
      <c r="AR53" s="8"/>
      <c r="AS53" s="202">
        <v>5182</v>
      </c>
      <c r="AT53" s="54"/>
      <c r="AU53" s="8"/>
      <c r="AV53" s="8"/>
      <c r="AW53" s="8"/>
      <c r="AX53" s="8"/>
      <c r="AY53" s="8"/>
      <c r="AZ53" s="8"/>
      <c r="BA53" s="8"/>
      <c r="BB53" s="8"/>
      <c r="BC53" s="8"/>
      <c r="BD53" s="8"/>
      <c r="BE53" s="8"/>
      <c r="BF53" s="202">
        <v>5182</v>
      </c>
    </row>
    <row r="54" spans="1:58" ht="15" customHeight="1" x14ac:dyDescent="0.45">
      <c r="A54" t="s">
        <v>33</v>
      </c>
      <c r="B54" t="s">
        <v>191</v>
      </c>
      <c r="C54" t="s">
        <v>198</v>
      </c>
      <c r="D54" t="s">
        <v>199</v>
      </c>
      <c r="E54" t="s">
        <v>200</v>
      </c>
      <c r="F54" s="55">
        <v>0</v>
      </c>
      <c r="G54" s="51">
        <v>0</v>
      </c>
      <c r="H54" s="51"/>
      <c r="I54" s="125"/>
      <c r="J54" s="51"/>
      <c r="K54" s="51"/>
      <c r="L54" s="51"/>
      <c r="M54" s="51"/>
      <c r="N54" s="51"/>
      <c r="O54" s="51"/>
      <c r="P54" s="51"/>
      <c r="Q54" s="51"/>
      <c r="R54" s="51"/>
      <c r="S54" s="51"/>
      <c r="T54" s="51">
        <v>0</v>
      </c>
      <c r="U54" s="125"/>
      <c r="V54" s="51"/>
      <c r="W54" s="51"/>
      <c r="X54" s="51"/>
      <c r="Y54" s="51"/>
      <c r="Z54" s="51"/>
      <c r="AA54" s="51"/>
      <c r="AB54" s="51"/>
      <c r="AC54" s="51"/>
      <c r="AD54" s="51"/>
      <c r="AE54" s="51"/>
      <c r="AF54" s="51"/>
      <c r="AG54" s="57"/>
      <c r="AH54" s="51"/>
      <c r="AI54" s="51"/>
      <c r="AJ54" s="51"/>
      <c r="AK54" s="51"/>
      <c r="AL54" s="51"/>
      <c r="AM54" s="51"/>
      <c r="AN54" s="51"/>
      <c r="AO54" s="51"/>
      <c r="AP54" s="51"/>
      <c r="AQ54" s="51"/>
      <c r="AR54" s="51"/>
      <c r="AS54" s="201">
        <v>0</v>
      </c>
      <c r="AT54" s="57"/>
      <c r="AU54" s="51"/>
      <c r="AV54" s="51"/>
      <c r="AW54" s="51"/>
      <c r="AX54" s="51"/>
      <c r="AY54" s="51"/>
      <c r="AZ54" s="51"/>
      <c r="BA54" s="51"/>
      <c r="BB54" s="51"/>
      <c r="BC54" s="51"/>
      <c r="BD54" s="51"/>
      <c r="BE54" s="51"/>
      <c r="BF54" s="201">
        <v>0</v>
      </c>
    </row>
    <row r="55" spans="1:58" ht="15" customHeight="1" x14ac:dyDescent="0.45">
      <c r="A55" t="s">
        <v>33</v>
      </c>
      <c r="B55" t="s">
        <v>191</v>
      </c>
      <c r="C55" t="s">
        <v>201</v>
      </c>
      <c r="D55" t="s">
        <v>199</v>
      </c>
      <c r="E55" t="s">
        <v>202</v>
      </c>
      <c r="F55" s="55">
        <v>0</v>
      </c>
      <c r="G55" s="51">
        <v>0</v>
      </c>
      <c r="H55" s="51"/>
      <c r="I55" s="125"/>
      <c r="J55" s="51"/>
      <c r="K55" s="51"/>
      <c r="L55" s="51"/>
      <c r="M55" s="51"/>
      <c r="N55" s="51"/>
      <c r="O55" s="51"/>
      <c r="P55" s="51"/>
      <c r="Q55" s="51"/>
      <c r="R55" s="51"/>
      <c r="S55" s="51"/>
      <c r="T55" s="51">
        <v>0</v>
      </c>
      <c r="U55" s="125"/>
      <c r="V55" s="51"/>
      <c r="W55" s="51"/>
      <c r="X55" s="51"/>
      <c r="Y55" s="51"/>
      <c r="Z55" s="51"/>
      <c r="AA55" s="51"/>
      <c r="AB55" s="51"/>
      <c r="AC55" s="51"/>
      <c r="AD55" s="51"/>
      <c r="AE55" s="51"/>
      <c r="AF55" s="51"/>
      <c r="AG55" s="203"/>
      <c r="AH55" s="204"/>
      <c r="AI55" s="204"/>
      <c r="AJ55" s="204"/>
      <c r="AK55" s="204"/>
      <c r="AL55" s="204"/>
      <c r="AM55" s="204"/>
      <c r="AN55" s="204"/>
      <c r="AO55" s="204"/>
      <c r="AP55" s="204"/>
      <c r="AQ55" s="204"/>
      <c r="AR55" s="204"/>
      <c r="AS55" s="205">
        <v>0</v>
      </c>
      <c r="AT55" s="203"/>
      <c r="AU55" s="204"/>
      <c r="AV55" s="204"/>
      <c r="AW55" s="204"/>
      <c r="AX55" s="204"/>
      <c r="AY55" s="204"/>
      <c r="AZ55" s="204"/>
      <c r="BA55" s="204"/>
      <c r="BB55" s="204"/>
      <c r="BC55" s="204"/>
      <c r="BD55" s="204"/>
      <c r="BE55" s="204"/>
      <c r="BF55" s="205">
        <v>0</v>
      </c>
    </row>
    <row r="56" spans="1:58" ht="15" customHeight="1" x14ac:dyDescent="0.45">
      <c r="A56" t="s">
        <v>141</v>
      </c>
      <c r="F56" s="20">
        <f>SUBTOTAL(109,idp_SP1[idp_aff_sp1])</f>
        <v>666479</v>
      </c>
      <c r="G56" s="13">
        <f>SUBTOTAL(109,idp_SP1[ndp_aff_sp1])</f>
        <v>2783027.1812926992</v>
      </c>
      <c r="H56" s="13">
        <f>SUBTOTAL(109,idp_SP1[overall_aff_sp1])</f>
        <v>3449506.1812926992</v>
      </c>
      <c r="I56" s="127"/>
      <c r="J56" s="14"/>
      <c r="K56" s="14"/>
      <c r="L56" s="14"/>
      <c r="M56" s="14"/>
      <c r="N56" s="14"/>
      <c r="O56" s="14"/>
      <c r="P56" s="14"/>
      <c r="Q56" s="14"/>
      <c r="R56" s="14"/>
      <c r="S56" s="14"/>
      <c r="T56" s="13">
        <f>SUBTOTAL(109,idp_SP1[sp1_idp_pin_adopted])</f>
        <v>576635</v>
      </c>
      <c r="U56" s="123"/>
      <c r="V56" s="12"/>
      <c r="W56" s="12"/>
      <c r="X56" s="12"/>
      <c r="Y56" s="12"/>
      <c r="Z56" s="12"/>
      <c r="AA56" s="12"/>
      <c r="AB56" s="12"/>
      <c r="AC56" s="12"/>
      <c r="AD56" s="12"/>
      <c r="AE56" s="12"/>
      <c r="AF56" s="11"/>
      <c r="AG56" s="209"/>
      <c r="AH56" s="210"/>
      <c r="AI56" s="210"/>
      <c r="AJ56" s="210"/>
      <c r="AK56" s="210"/>
      <c r="AL56" s="210"/>
      <c r="AM56" s="210"/>
      <c r="AN56" s="210"/>
      <c r="AO56" s="210"/>
      <c r="AP56" s="210"/>
      <c r="AQ56" s="210"/>
      <c r="AR56" s="210"/>
      <c r="AS56" s="211">
        <f>SUBTOTAL(109,idp_SP1[sp1_idp_target_joint])</f>
        <v>513901</v>
      </c>
      <c r="AT56" s="209"/>
      <c r="AU56" s="210"/>
      <c r="AV56" s="210"/>
      <c r="AW56" s="210"/>
      <c r="AX56" s="210"/>
      <c r="AY56" s="210"/>
      <c r="AZ56" s="210"/>
      <c r="BA56" s="210"/>
      <c r="BB56" s="210"/>
      <c r="BC56" s="210"/>
      <c r="BD56" s="210"/>
      <c r="BE56" s="210"/>
      <c r="BF56" s="211">
        <f>SUBTOTAL(109,idp_SP1[sp1_idp_targetPr_joint])</f>
        <v>513901</v>
      </c>
    </row>
  </sheetData>
  <mergeCells count="1">
    <mergeCell ref="T5:T6"/>
  </mergeCell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A7D8C-844E-4E4E-A626-7DB13AD55B34}">
  <sheetPr codeName="Sheet16"/>
  <dimension ref="A1:BF62"/>
  <sheetViews>
    <sheetView showGridLines="0" zoomScaleNormal="100" workbookViewId="0">
      <pane xSplit="5" ySplit="7" topLeftCell="F8" activePane="bottomRight" state="frozenSplit"/>
      <selection pane="topRight" activeCell="L4" sqref="L4:AX5"/>
      <selection pane="bottomLeft" activeCell="L4" sqref="L4:AX5"/>
      <selection pane="bottomRight"/>
    </sheetView>
  </sheetViews>
  <sheetFormatPr defaultRowHeight="15" customHeight="1" x14ac:dyDescent="0.45"/>
  <cols>
    <col min="1" max="1" width="19.53125" customWidth="1"/>
    <col min="2" max="2" width="12.1328125" customWidth="1"/>
    <col min="3" max="3" width="17.06640625" customWidth="1"/>
    <col min="4" max="4" width="11.1328125" customWidth="1"/>
    <col min="5" max="5" width="14.1328125" customWidth="1"/>
    <col min="6" max="8" width="10.6640625" customWidth="1"/>
    <col min="9" max="9" width="8.1328125" customWidth="1"/>
    <col min="10" max="10" width="10.53125" customWidth="1"/>
    <col min="11" max="11" width="9.3984375" customWidth="1"/>
    <col min="12" max="12" width="11.53125" customWidth="1"/>
    <col min="13" max="13" width="8.86328125" customWidth="1"/>
    <col min="14" max="14" width="9.6640625" customWidth="1"/>
    <col min="15" max="15" width="9.86328125" customWidth="1"/>
    <col min="16" max="17" width="8.1328125" customWidth="1"/>
    <col min="18" max="18" width="12.1328125" customWidth="1"/>
    <col min="19" max="19" width="9.3984375" customWidth="1"/>
    <col min="20" max="20" width="11.53125" customWidth="1"/>
    <col min="21" max="31" width="6.6640625" customWidth="1"/>
    <col min="32" max="32" width="10.6640625" customWidth="1"/>
    <col min="34" max="34" width="8.86328125" customWidth="1"/>
  </cols>
  <sheetData>
    <row r="1" spans="1:58" ht="15" customHeight="1" x14ac:dyDescent="0.45">
      <c r="A1" s="296" t="s">
        <v>730</v>
      </c>
    </row>
    <row r="2" spans="1:58" ht="19.899999999999999" x14ac:dyDescent="0.45">
      <c r="A2" s="297" t="s">
        <v>4283</v>
      </c>
      <c r="I2" s="50"/>
      <c r="J2" s="50"/>
      <c r="K2" s="50"/>
      <c r="L2" s="50"/>
      <c r="M2" s="50"/>
      <c r="N2" s="50"/>
      <c r="O2" s="50"/>
      <c r="P2" s="50"/>
      <c r="Q2" s="50"/>
      <c r="R2" s="50"/>
      <c r="S2" s="50"/>
    </row>
    <row r="3" spans="1:58" ht="14.25" x14ac:dyDescent="0.45">
      <c r="A3" s="5" t="str">
        <f>ActivityList!A3</f>
        <v>Release Date: 13 January 2026</v>
      </c>
      <c r="I3" s="48" t="str">
        <f>"sp1_overall_pin_"&amp;I4</f>
        <v>sp1_overall_pin_ed</v>
      </c>
      <c r="J3" s="48" t="str">
        <f t="shared" ref="J3:Q3" si="0">"sp1_overall_pin_"&amp;J4</f>
        <v>sp1_overall_pin_fs</v>
      </c>
      <c r="K3" s="48" t="str">
        <f t="shared" si="0"/>
        <v>sp1_overall_pin_he</v>
      </c>
      <c r="L3" s="48" t="str">
        <f t="shared" si="0"/>
        <v>sp1_overall_pin_pr</v>
      </c>
      <c r="M3" s="48" t="str">
        <f t="shared" si="0"/>
        <v>sp1_overall_pin_sn</v>
      </c>
      <c r="N3" s="48" t="str">
        <f t="shared" si="0"/>
        <v>sp1_overall_pin_wa</v>
      </c>
      <c r="O3" s="48" t="str">
        <f t="shared" si="0"/>
        <v>sp1_overall_pin_gp</v>
      </c>
      <c r="P3" s="48" t="str">
        <f t="shared" si="0"/>
        <v>sp1_overall_pin_cp</v>
      </c>
      <c r="Q3" s="48" t="str">
        <f t="shared" si="0"/>
        <v>sp1_overall_pin_gb</v>
      </c>
      <c r="R3" s="48"/>
      <c r="S3" s="48"/>
    </row>
    <row r="4" spans="1:58" ht="15.75" x14ac:dyDescent="0.5">
      <c r="F4" s="34"/>
      <c r="G4" s="34"/>
      <c r="H4" s="34"/>
      <c r="I4" s="49" t="s">
        <v>154</v>
      </c>
      <c r="J4" s="49" t="s">
        <v>155</v>
      </c>
      <c r="K4" s="49" t="s">
        <v>156</v>
      </c>
      <c r="L4" s="49" t="s">
        <v>157</v>
      </c>
      <c r="M4" s="49" t="s">
        <v>382</v>
      </c>
      <c r="N4" s="49" t="s">
        <v>158</v>
      </c>
      <c r="O4" s="49" t="s">
        <v>478</v>
      </c>
      <c r="P4" s="49" t="s">
        <v>479</v>
      </c>
      <c r="Q4" s="49" t="s">
        <v>480</v>
      </c>
      <c r="R4" s="49"/>
      <c r="S4" s="49"/>
      <c r="T4" s="34"/>
    </row>
    <row r="5" spans="1:58" ht="16.25" customHeight="1" x14ac:dyDescent="0.45">
      <c r="A5" s="2" t="s">
        <v>159</v>
      </c>
      <c r="B5" s="2"/>
      <c r="C5" s="2" t="s">
        <v>160</v>
      </c>
      <c r="D5" s="2"/>
      <c r="E5" s="2"/>
      <c r="F5" s="37" t="s">
        <v>481</v>
      </c>
      <c r="G5" s="38"/>
      <c r="H5" s="39"/>
      <c r="I5" s="43" t="s">
        <v>224</v>
      </c>
      <c r="J5" s="43"/>
      <c r="K5" s="43"/>
      <c r="L5" s="43"/>
      <c r="M5" s="43"/>
      <c r="N5" s="43"/>
      <c r="O5" s="102" t="s">
        <v>351</v>
      </c>
      <c r="P5" s="43"/>
      <c r="Q5" s="43"/>
      <c r="R5" s="102" t="s">
        <v>352</v>
      </c>
      <c r="S5" s="43"/>
      <c r="T5" s="379" t="s">
        <v>485</v>
      </c>
      <c r="U5" s="35" t="s">
        <v>350</v>
      </c>
      <c r="V5" s="35"/>
      <c r="W5" s="35"/>
      <c r="X5" s="35"/>
      <c r="Y5" s="35"/>
      <c r="Z5" s="35"/>
      <c r="AA5" s="119" t="s">
        <v>351</v>
      </c>
      <c r="AB5" s="35"/>
      <c r="AC5" s="35"/>
      <c r="AD5" s="94" t="s">
        <v>352</v>
      </c>
      <c r="AE5" s="35"/>
      <c r="AF5" s="103"/>
      <c r="AG5" s="67" t="s">
        <v>226</v>
      </c>
      <c r="AH5" s="67"/>
      <c r="AI5" s="67"/>
      <c r="AJ5" s="67"/>
      <c r="AK5" s="67"/>
      <c r="AL5" s="67"/>
      <c r="AM5" s="74" t="s">
        <v>351</v>
      </c>
      <c r="AN5" s="67"/>
      <c r="AO5" s="76"/>
      <c r="AP5" s="74" t="s">
        <v>352</v>
      </c>
      <c r="AQ5" s="67"/>
      <c r="AR5" s="78"/>
      <c r="AS5" s="93" t="s">
        <v>141</v>
      </c>
      <c r="AT5" s="189" t="s">
        <v>4035</v>
      </c>
      <c r="AU5" s="189"/>
      <c r="AV5" s="189"/>
      <c r="AW5" s="189"/>
      <c r="AX5" s="189"/>
      <c r="AY5" s="189"/>
      <c r="AZ5" s="190" t="s">
        <v>351</v>
      </c>
      <c r="BA5" s="189"/>
      <c r="BB5" s="191"/>
      <c r="BC5" s="190" t="s">
        <v>352</v>
      </c>
      <c r="BD5" s="189"/>
      <c r="BE5" s="192"/>
      <c r="BF5" s="193" t="s">
        <v>141</v>
      </c>
    </row>
    <row r="6" spans="1:58" ht="14.25" x14ac:dyDescent="0.45">
      <c r="A6" s="1" t="s">
        <v>161</v>
      </c>
      <c r="B6" s="1" t="s">
        <v>162</v>
      </c>
      <c r="C6" s="1" t="s">
        <v>211</v>
      </c>
      <c r="D6" s="1" t="s">
        <v>4252</v>
      </c>
      <c r="E6" s="1" t="s">
        <v>138</v>
      </c>
      <c r="F6" s="62" t="s">
        <v>153</v>
      </c>
      <c r="G6" s="63" t="s">
        <v>482</v>
      </c>
      <c r="H6" s="64" t="s">
        <v>11</v>
      </c>
      <c r="I6" s="44" t="s">
        <v>140</v>
      </c>
      <c r="J6" s="44" t="s">
        <v>368</v>
      </c>
      <c r="K6" s="44" t="s">
        <v>145</v>
      </c>
      <c r="L6" s="44" t="s">
        <v>146</v>
      </c>
      <c r="M6" s="44" t="s">
        <v>150</v>
      </c>
      <c r="N6" s="44" t="s">
        <v>148</v>
      </c>
      <c r="O6" s="109" t="s">
        <v>354</v>
      </c>
      <c r="P6" s="46" t="s">
        <v>143</v>
      </c>
      <c r="Q6" s="110" t="s">
        <v>149</v>
      </c>
      <c r="R6" s="46" t="s">
        <v>142</v>
      </c>
      <c r="S6" s="46" t="s">
        <v>144</v>
      </c>
      <c r="T6" s="380"/>
      <c r="U6" s="36" t="s">
        <v>140</v>
      </c>
      <c r="V6" s="36" t="s">
        <v>368</v>
      </c>
      <c r="W6" s="36" t="s">
        <v>145</v>
      </c>
      <c r="X6" s="36" t="s">
        <v>146</v>
      </c>
      <c r="Y6" s="36" t="s">
        <v>150</v>
      </c>
      <c r="Z6" s="36" t="s">
        <v>148</v>
      </c>
      <c r="AA6" s="107" t="s">
        <v>354</v>
      </c>
      <c r="AB6" s="46" t="s">
        <v>143</v>
      </c>
      <c r="AC6" s="46" t="s">
        <v>149</v>
      </c>
      <c r="AD6" s="75" t="s">
        <v>142</v>
      </c>
      <c r="AE6" s="46" t="s">
        <v>144</v>
      </c>
      <c r="AF6" s="103" t="s">
        <v>353</v>
      </c>
      <c r="AG6" s="68" t="s">
        <v>140</v>
      </c>
      <c r="AH6" s="68" t="s">
        <v>368</v>
      </c>
      <c r="AI6" s="68" t="s">
        <v>145</v>
      </c>
      <c r="AJ6" s="68" t="s">
        <v>146</v>
      </c>
      <c r="AK6" s="68" t="s">
        <v>150</v>
      </c>
      <c r="AL6" s="68" t="s">
        <v>148</v>
      </c>
      <c r="AM6" s="75" t="s">
        <v>354</v>
      </c>
      <c r="AN6" s="46" t="s">
        <v>143</v>
      </c>
      <c r="AO6" s="77" t="s">
        <v>149</v>
      </c>
      <c r="AP6" s="77" t="s">
        <v>142</v>
      </c>
      <c r="AQ6" s="77" t="s">
        <v>144</v>
      </c>
      <c r="AR6" s="78" t="s">
        <v>147</v>
      </c>
      <c r="AS6" s="111"/>
      <c r="AT6" s="194" t="s">
        <v>140</v>
      </c>
      <c r="AU6" s="194" t="s">
        <v>368</v>
      </c>
      <c r="AV6" s="194" t="s">
        <v>145</v>
      </c>
      <c r="AW6" s="194" t="s">
        <v>146</v>
      </c>
      <c r="AX6" s="194" t="s">
        <v>150</v>
      </c>
      <c r="AY6" s="194" t="s">
        <v>148</v>
      </c>
      <c r="AZ6" s="75" t="s">
        <v>354</v>
      </c>
      <c r="BA6" s="46" t="s">
        <v>143</v>
      </c>
      <c r="BB6" s="77" t="s">
        <v>149</v>
      </c>
      <c r="BC6" s="77" t="s">
        <v>142</v>
      </c>
      <c r="BD6" s="77" t="s">
        <v>144</v>
      </c>
      <c r="BE6" s="196" t="s">
        <v>147</v>
      </c>
      <c r="BF6" s="197"/>
    </row>
    <row r="7" spans="1:58" ht="14.25" x14ac:dyDescent="0.45">
      <c r="A7" s="3" t="s">
        <v>165</v>
      </c>
      <c r="B7" s="3" t="s">
        <v>166</v>
      </c>
      <c r="C7" s="3" t="s">
        <v>167</v>
      </c>
      <c r="D7" s="3" t="s">
        <v>168</v>
      </c>
      <c r="E7" s="3" t="s">
        <v>169</v>
      </c>
      <c r="F7" s="15" t="s">
        <v>486</v>
      </c>
      <c r="G7" s="16" t="s">
        <v>487</v>
      </c>
      <c r="H7" s="17" t="s">
        <v>488</v>
      </c>
      <c r="I7" s="45" t="s">
        <v>522</v>
      </c>
      <c r="J7" s="45" t="s">
        <v>4199</v>
      </c>
      <c r="K7" s="45" t="s">
        <v>524</v>
      </c>
      <c r="L7" s="45" t="s">
        <v>525</v>
      </c>
      <c r="M7" s="45" t="s">
        <v>526</v>
      </c>
      <c r="N7" s="45" t="s">
        <v>527</v>
      </c>
      <c r="O7" s="45" t="s">
        <v>528</v>
      </c>
      <c r="P7" s="45" t="s">
        <v>529</v>
      </c>
      <c r="Q7" s="45" t="s">
        <v>530</v>
      </c>
      <c r="R7" s="45" t="s">
        <v>523</v>
      </c>
      <c r="S7" s="45" t="s">
        <v>531</v>
      </c>
      <c r="T7" s="21" t="s">
        <v>532</v>
      </c>
      <c r="U7" s="47" t="s">
        <v>533</v>
      </c>
      <c r="V7" s="4" t="s">
        <v>4200</v>
      </c>
      <c r="W7" s="4" t="s">
        <v>535</v>
      </c>
      <c r="X7" s="4" t="s">
        <v>536</v>
      </c>
      <c r="Y7" s="4" t="s">
        <v>537</v>
      </c>
      <c r="Z7" s="4" t="s">
        <v>538</v>
      </c>
      <c r="AA7" s="4" t="s">
        <v>539</v>
      </c>
      <c r="AB7" s="4" t="s">
        <v>540</v>
      </c>
      <c r="AC7" s="4" t="s">
        <v>541</v>
      </c>
      <c r="AD7" s="7" t="s">
        <v>534</v>
      </c>
      <c r="AE7" s="7" t="s">
        <v>542</v>
      </c>
      <c r="AF7" s="7" t="s">
        <v>543</v>
      </c>
      <c r="AG7" s="206" t="s">
        <v>544</v>
      </c>
      <c r="AH7" s="207" t="s">
        <v>4201</v>
      </c>
      <c r="AI7" s="207" t="s">
        <v>546</v>
      </c>
      <c r="AJ7" s="207" t="s">
        <v>547</v>
      </c>
      <c r="AK7" s="207" t="s">
        <v>548</v>
      </c>
      <c r="AL7" s="207" t="s">
        <v>549</v>
      </c>
      <c r="AM7" s="207" t="s">
        <v>550</v>
      </c>
      <c r="AN7" s="207" t="s">
        <v>551</v>
      </c>
      <c r="AO7" s="207" t="s">
        <v>552</v>
      </c>
      <c r="AP7" s="207" t="s">
        <v>545</v>
      </c>
      <c r="AQ7" s="207" t="s">
        <v>553</v>
      </c>
      <c r="AR7" s="207" t="s">
        <v>4230</v>
      </c>
      <c r="AS7" s="208" t="s">
        <v>554</v>
      </c>
      <c r="AT7" s="53" t="s">
        <v>4104</v>
      </c>
      <c r="AU7" s="53" t="s">
        <v>4202</v>
      </c>
      <c r="AV7" s="53" t="s">
        <v>4106</v>
      </c>
      <c r="AW7" s="53" t="s">
        <v>4107</v>
      </c>
      <c r="AX7" s="53" t="s">
        <v>4108</v>
      </c>
      <c r="AY7" s="53" t="s">
        <v>4109</v>
      </c>
      <c r="AZ7" s="53" t="s">
        <v>4110</v>
      </c>
      <c r="BA7" s="53" t="s">
        <v>4111</v>
      </c>
      <c r="BB7" s="53" t="s">
        <v>4112</v>
      </c>
      <c r="BC7" s="53" t="s">
        <v>4105</v>
      </c>
      <c r="BD7" s="53" t="s">
        <v>4113</v>
      </c>
      <c r="BE7" s="53" t="s">
        <v>4231</v>
      </c>
      <c r="BF7" s="25" t="s">
        <v>4114</v>
      </c>
    </row>
    <row r="8" spans="1:58" ht="14.25" x14ac:dyDescent="0.45">
      <c r="A8" t="s">
        <v>243</v>
      </c>
      <c r="B8" t="s">
        <v>244</v>
      </c>
      <c r="C8" t="s">
        <v>245</v>
      </c>
      <c r="D8" t="s">
        <v>199</v>
      </c>
      <c r="E8" t="s">
        <v>246</v>
      </c>
      <c r="F8" s="55">
        <v>0</v>
      </c>
      <c r="G8" s="51">
        <v>0</v>
      </c>
      <c r="H8" s="56"/>
      <c r="I8" s="51">
        <v>0</v>
      </c>
      <c r="J8" s="51">
        <v>0</v>
      </c>
      <c r="K8" s="51">
        <v>0</v>
      </c>
      <c r="L8" s="51">
        <v>0</v>
      </c>
      <c r="M8" s="51">
        <v>0</v>
      </c>
      <c r="N8" s="51">
        <v>0</v>
      </c>
      <c r="O8" s="51">
        <v>0</v>
      </c>
      <c r="P8" s="51">
        <v>0</v>
      </c>
      <c r="Q8" s="51">
        <v>0</v>
      </c>
      <c r="R8" s="51">
        <v>0</v>
      </c>
      <c r="S8" s="51"/>
      <c r="T8" s="51">
        <v>0</v>
      </c>
      <c r="U8" s="57"/>
      <c r="V8" s="51"/>
      <c r="W8" s="51"/>
      <c r="X8" s="51"/>
      <c r="Y8" s="51"/>
      <c r="Z8" s="51"/>
      <c r="AA8" s="51"/>
      <c r="AB8" s="51"/>
      <c r="AC8" s="51"/>
      <c r="AD8" s="51"/>
      <c r="AE8" s="51"/>
      <c r="AF8" s="51"/>
      <c r="AG8" s="57">
        <v>0</v>
      </c>
      <c r="AH8" s="51">
        <v>0</v>
      </c>
      <c r="AI8" s="51">
        <v>0</v>
      </c>
      <c r="AJ8" s="51">
        <v>0</v>
      </c>
      <c r="AK8" s="51">
        <v>0</v>
      </c>
      <c r="AL8" s="51">
        <v>0</v>
      </c>
      <c r="AM8" s="51">
        <v>0</v>
      </c>
      <c r="AN8" s="51">
        <v>0</v>
      </c>
      <c r="AO8" s="51">
        <v>0</v>
      </c>
      <c r="AP8" s="51">
        <v>0</v>
      </c>
      <c r="AQ8" s="51">
        <v>0</v>
      </c>
      <c r="AR8" s="51">
        <v>0</v>
      </c>
      <c r="AS8" s="201">
        <v>0</v>
      </c>
      <c r="AT8" s="57">
        <v>0</v>
      </c>
      <c r="AU8" s="51">
        <v>0</v>
      </c>
      <c r="AV8" s="51">
        <v>0</v>
      </c>
      <c r="AW8" s="51">
        <v>0</v>
      </c>
      <c r="AX8" s="51">
        <v>0</v>
      </c>
      <c r="AY8" s="51">
        <v>0</v>
      </c>
      <c r="AZ8" s="51">
        <v>0</v>
      </c>
      <c r="BA8" s="51">
        <v>0</v>
      </c>
      <c r="BB8" s="51">
        <v>0</v>
      </c>
      <c r="BC8" s="51">
        <v>0</v>
      </c>
      <c r="BD8" s="51">
        <v>0</v>
      </c>
      <c r="BE8" s="51">
        <v>0</v>
      </c>
      <c r="BF8" s="201">
        <v>0</v>
      </c>
    </row>
    <row r="9" spans="1:58" ht="14.25" x14ac:dyDescent="0.45">
      <c r="A9" t="s">
        <v>247</v>
      </c>
      <c r="B9" t="s">
        <v>248</v>
      </c>
      <c r="C9" t="s">
        <v>245</v>
      </c>
      <c r="D9" t="s">
        <v>199</v>
      </c>
      <c r="E9" t="s">
        <v>249</v>
      </c>
      <c r="F9" s="55">
        <v>0</v>
      </c>
      <c r="G9" s="51">
        <v>0</v>
      </c>
      <c r="H9" s="56"/>
      <c r="I9" s="51">
        <v>0</v>
      </c>
      <c r="J9" s="51">
        <v>0</v>
      </c>
      <c r="K9" s="51">
        <v>0</v>
      </c>
      <c r="L9" s="51">
        <v>0</v>
      </c>
      <c r="M9" s="51">
        <v>0</v>
      </c>
      <c r="N9" s="51">
        <v>0</v>
      </c>
      <c r="O9" s="51">
        <v>0</v>
      </c>
      <c r="P9" s="51">
        <v>0</v>
      </c>
      <c r="Q9" s="51">
        <v>0</v>
      </c>
      <c r="R9" s="51">
        <v>0</v>
      </c>
      <c r="S9" s="51"/>
      <c r="T9" s="51">
        <v>0</v>
      </c>
      <c r="U9" s="57"/>
      <c r="V9" s="51"/>
      <c r="W9" s="51"/>
      <c r="X9" s="51"/>
      <c r="Y9" s="51"/>
      <c r="Z9" s="51"/>
      <c r="AA9" s="51"/>
      <c r="AB9" s="51"/>
      <c r="AC9" s="51"/>
      <c r="AD9" s="51"/>
      <c r="AE9" s="51"/>
      <c r="AF9" s="51"/>
      <c r="AG9" s="57">
        <v>0</v>
      </c>
      <c r="AH9" s="51">
        <v>0</v>
      </c>
      <c r="AI9" s="51">
        <v>0</v>
      </c>
      <c r="AJ9" s="51">
        <v>0</v>
      </c>
      <c r="AK9" s="51">
        <v>0</v>
      </c>
      <c r="AL9" s="51">
        <v>0</v>
      </c>
      <c r="AM9" s="51">
        <v>0</v>
      </c>
      <c r="AN9" s="51">
        <v>0</v>
      </c>
      <c r="AO9" s="51">
        <v>0</v>
      </c>
      <c r="AP9" s="51">
        <v>0</v>
      </c>
      <c r="AQ9" s="51">
        <v>0</v>
      </c>
      <c r="AR9" s="51">
        <v>0</v>
      </c>
      <c r="AS9" s="201">
        <v>0</v>
      </c>
      <c r="AT9" s="57">
        <v>0</v>
      </c>
      <c r="AU9" s="51">
        <v>0</v>
      </c>
      <c r="AV9" s="51">
        <v>0</v>
      </c>
      <c r="AW9" s="51">
        <v>0</v>
      </c>
      <c r="AX9" s="51">
        <v>0</v>
      </c>
      <c r="AY9" s="51">
        <v>0</v>
      </c>
      <c r="AZ9" s="51">
        <v>0</v>
      </c>
      <c r="BA9" s="51">
        <v>0</v>
      </c>
      <c r="BB9" s="51">
        <v>0</v>
      </c>
      <c r="BC9" s="51">
        <v>0</v>
      </c>
      <c r="BD9" s="51">
        <v>0</v>
      </c>
      <c r="BE9" s="51">
        <v>0</v>
      </c>
      <c r="BF9" s="201">
        <v>0</v>
      </c>
    </row>
    <row r="10" spans="1:58" ht="14.25" x14ac:dyDescent="0.45">
      <c r="A10" t="s">
        <v>250</v>
      </c>
      <c r="B10" t="s">
        <v>251</v>
      </c>
      <c r="C10" t="s">
        <v>252</v>
      </c>
      <c r="D10" t="s">
        <v>193</v>
      </c>
      <c r="E10" t="s">
        <v>253</v>
      </c>
      <c r="F10" s="10">
        <v>23346</v>
      </c>
      <c r="G10" s="8">
        <v>204922</v>
      </c>
      <c r="H10" s="9">
        <v>228268</v>
      </c>
      <c r="I10" s="8">
        <v>11224</v>
      </c>
      <c r="J10" s="8">
        <v>80411</v>
      </c>
      <c r="K10" s="8">
        <v>158974</v>
      </c>
      <c r="L10" s="8">
        <v>140518</v>
      </c>
      <c r="M10" s="8">
        <v>170768</v>
      </c>
      <c r="N10" s="8">
        <v>189159</v>
      </c>
      <c r="O10" s="8">
        <v>140518</v>
      </c>
      <c r="P10" s="8">
        <v>51436</v>
      </c>
      <c r="Q10" s="8">
        <v>103281</v>
      </c>
      <c r="R10" s="8">
        <v>80411</v>
      </c>
      <c r="S10" s="8"/>
      <c r="T10" s="8">
        <v>189159</v>
      </c>
      <c r="U10" s="167">
        <v>5</v>
      </c>
      <c r="V10" s="52">
        <v>4</v>
      </c>
      <c r="W10" s="52">
        <v>4</v>
      </c>
      <c r="X10" s="52">
        <v>5</v>
      </c>
      <c r="Y10" s="52">
        <v>5</v>
      </c>
      <c r="Z10" s="52">
        <v>5</v>
      </c>
      <c r="AA10" s="52">
        <v>5</v>
      </c>
      <c r="AB10" s="52">
        <v>5</v>
      </c>
      <c r="AC10" s="52">
        <v>5</v>
      </c>
      <c r="AD10" s="52">
        <v>4</v>
      </c>
      <c r="AE10" s="52">
        <v>4</v>
      </c>
      <c r="AF10" s="8">
        <v>5</v>
      </c>
      <c r="AG10" s="54">
        <v>10102</v>
      </c>
      <c r="AH10" s="8">
        <v>80411</v>
      </c>
      <c r="AI10" s="8">
        <v>87113</v>
      </c>
      <c r="AJ10" s="8">
        <v>49181</v>
      </c>
      <c r="AK10" s="8">
        <v>112741</v>
      </c>
      <c r="AL10" s="8">
        <v>189159</v>
      </c>
      <c r="AM10" s="8">
        <v>49181</v>
      </c>
      <c r="AN10" s="8">
        <v>46090</v>
      </c>
      <c r="AO10" s="8">
        <v>5164</v>
      </c>
      <c r="AP10" s="8">
        <v>80411</v>
      </c>
      <c r="AQ10" s="8">
        <v>0</v>
      </c>
      <c r="AR10" s="8">
        <v>131693</v>
      </c>
      <c r="AS10" s="202">
        <v>189159</v>
      </c>
      <c r="AT10" s="54">
        <v>10102</v>
      </c>
      <c r="AU10" s="8">
        <v>80411</v>
      </c>
      <c r="AV10" s="8">
        <v>87113</v>
      </c>
      <c r="AW10" s="8">
        <v>49181</v>
      </c>
      <c r="AX10" s="8">
        <v>112741</v>
      </c>
      <c r="AY10" s="8">
        <v>189159</v>
      </c>
      <c r="AZ10" s="8">
        <v>49181</v>
      </c>
      <c r="BA10" s="8">
        <v>46090</v>
      </c>
      <c r="BB10" s="8">
        <v>5164</v>
      </c>
      <c r="BC10" s="8">
        <v>80411</v>
      </c>
      <c r="BD10" s="8">
        <v>0</v>
      </c>
      <c r="BE10" s="8">
        <v>131693</v>
      </c>
      <c r="BF10" s="202">
        <v>189159</v>
      </c>
    </row>
    <row r="11" spans="1:58" ht="14.25" x14ac:dyDescent="0.45">
      <c r="A11" t="s">
        <v>250</v>
      </c>
      <c r="B11" t="s">
        <v>251</v>
      </c>
      <c r="C11" t="s">
        <v>254</v>
      </c>
      <c r="D11" t="s">
        <v>196</v>
      </c>
      <c r="E11" t="s">
        <v>255</v>
      </c>
      <c r="F11" s="10">
        <v>37607</v>
      </c>
      <c r="G11" s="8">
        <v>61335.748157433001</v>
      </c>
      <c r="H11" s="9">
        <v>98942.748157433001</v>
      </c>
      <c r="I11" s="8">
        <v>6299</v>
      </c>
      <c r="J11" s="8">
        <v>22556</v>
      </c>
      <c r="K11" s="8">
        <v>47583</v>
      </c>
      <c r="L11" s="8">
        <v>38666</v>
      </c>
      <c r="M11" s="8">
        <v>43145</v>
      </c>
      <c r="N11" s="8">
        <v>49977</v>
      </c>
      <c r="O11" s="8">
        <v>38666</v>
      </c>
      <c r="P11" s="8">
        <v>12886</v>
      </c>
      <c r="Q11" s="8">
        <v>24044</v>
      </c>
      <c r="R11" s="8">
        <v>22556</v>
      </c>
      <c r="S11" s="8"/>
      <c r="T11" s="8">
        <v>49977</v>
      </c>
      <c r="U11" s="167">
        <v>4</v>
      </c>
      <c r="V11" s="52">
        <v>4</v>
      </c>
      <c r="W11" s="52">
        <v>4</v>
      </c>
      <c r="X11" s="52">
        <v>4</v>
      </c>
      <c r="Y11" s="52">
        <v>4</v>
      </c>
      <c r="Z11" s="52">
        <v>4</v>
      </c>
      <c r="AA11" s="52">
        <v>4</v>
      </c>
      <c r="AB11" s="52">
        <v>4</v>
      </c>
      <c r="AC11" s="52">
        <v>4</v>
      </c>
      <c r="AD11" s="52">
        <v>4</v>
      </c>
      <c r="AE11" s="52">
        <v>4</v>
      </c>
      <c r="AF11" s="8">
        <v>4</v>
      </c>
      <c r="AG11" s="54">
        <v>5669</v>
      </c>
      <c r="AH11" s="8">
        <v>22556</v>
      </c>
      <c r="AI11" s="8">
        <v>30056</v>
      </c>
      <c r="AJ11" s="8">
        <v>13533</v>
      </c>
      <c r="AK11" s="8">
        <v>19309</v>
      </c>
      <c r="AL11" s="8">
        <v>49977</v>
      </c>
      <c r="AM11" s="8">
        <v>13533</v>
      </c>
      <c r="AN11" s="8">
        <v>11540</v>
      </c>
      <c r="AO11" s="8">
        <v>7213</v>
      </c>
      <c r="AP11" s="8">
        <v>22556</v>
      </c>
      <c r="AQ11" s="8">
        <v>0</v>
      </c>
      <c r="AR11" s="8">
        <v>14470</v>
      </c>
      <c r="AS11" s="202">
        <v>49977</v>
      </c>
      <c r="AT11" s="54">
        <v>5669</v>
      </c>
      <c r="AU11" s="8">
        <v>22556</v>
      </c>
      <c r="AV11" s="8">
        <v>30056</v>
      </c>
      <c r="AW11" s="8">
        <v>13533</v>
      </c>
      <c r="AX11" s="8">
        <v>19309</v>
      </c>
      <c r="AY11" s="8">
        <v>49977</v>
      </c>
      <c r="AZ11" s="8">
        <v>13533</v>
      </c>
      <c r="BA11" s="8">
        <v>11540</v>
      </c>
      <c r="BB11" s="8">
        <v>7213</v>
      </c>
      <c r="BC11" s="8">
        <v>22556</v>
      </c>
      <c r="BD11" s="8">
        <v>0</v>
      </c>
      <c r="BE11" s="8">
        <v>14470</v>
      </c>
      <c r="BF11" s="202">
        <v>49977</v>
      </c>
    </row>
    <row r="12" spans="1:58" ht="14.25" x14ac:dyDescent="0.45">
      <c r="A12" t="s">
        <v>250</v>
      </c>
      <c r="B12" t="s">
        <v>251</v>
      </c>
      <c r="C12" t="s">
        <v>256</v>
      </c>
      <c r="D12" t="s">
        <v>199</v>
      </c>
      <c r="E12" t="s">
        <v>257</v>
      </c>
      <c r="F12" s="55">
        <v>0</v>
      </c>
      <c r="G12" s="51">
        <v>0</v>
      </c>
      <c r="H12" s="56"/>
      <c r="I12" s="51">
        <v>0</v>
      </c>
      <c r="J12" s="51">
        <v>0</v>
      </c>
      <c r="K12" s="51">
        <v>0</v>
      </c>
      <c r="L12" s="51">
        <v>0</v>
      </c>
      <c r="M12" s="51">
        <v>0</v>
      </c>
      <c r="N12" s="51">
        <v>0</v>
      </c>
      <c r="O12" s="51">
        <v>0</v>
      </c>
      <c r="P12" s="51">
        <v>0</v>
      </c>
      <c r="Q12" s="51">
        <v>0</v>
      </c>
      <c r="R12" s="51">
        <v>0</v>
      </c>
      <c r="S12" s="51"/>
      <c r="T12" s="51">
        <v>0</v>
      </c>
      <c r="U12" s="57"/>
      <c r="V12" s="51"/>
      <c r="W12" s="51"/>
      <c r="X12" s="51"/>
      <c r="Y12" s="51"/>
      <c r="Z12" s="51"/>
      <c r="AA12" s="51"/>
      <c r="AB12" s="51"/>
      <c r="AC12" s="51"/>
      <c r="AD12" s="51"/>
      <c r="AE12" s="51"/>
      <c r="AF12" s="51"/>
      <c r="AG12" s="57">
        <v>0</v>
      </c>
      <c r="AH12" s="51">
        <v>0</v>
      </c>
      <c r="AI12" s="51">
        <v>0</v>
      </c>
      <c r="AJ12" s="51">
        <v>0</v>
      </c>
      <c r="AK12" s="51">
        <v>0</v>
      </c>
      <c r="AL12" s="51">
        <v>0</v>
      </c>
      <c r="AM12" s="51">
        <v>0</v>
      </c>
      <c r="AN12" s="51">
        <v>0</v>
      </c>
      <c r="AO12" s="51">
        <v>0</v>
      </c>
      <c r="AP12" s="51">
        <v>0</v>
      </c>
      <c r="AQ12" s="51">
        <v>0</v>
      </c>
      <c r="AR12" s="51">
        <v>0</v>
      </c>
      <c r="AS12" s="201">
        <v>0</v>
      </c>
      <c r="AT12" s="57">
        <v>0</v>
      </c>
      <c r="AU12" s="51">
        <v>0</v>
      </c>
      <c r="AV12" s="51">
        <v>0</v>
      </c>
      <c r="AW12" s="51">
        <v>0</v>
      </c>
      <c r="AX12" s="51">
        <v>0</v>
      </c>
      <c r="AY12" s="51">
        <v>0</v>
      </c>
      <c r="AZ12" s="51">
        <v>0</v>
      </c>
      <c r="BA12" s="51">
        <v>0</v>
      </c>
      <c r="BB12" s="51">
        <v>0</v>
      </c>
      <c r="BC12" s="51">
        <v>0</v>
      </c>
      <c r="BD12" s="51">
        <v>0</v>
      </c>
      <c r="BE12" s="51">
        <v>0</v>
      </c>
      <c r="BF12" s="201">
        <v>0</v>
      </c>
    </row>
    <row r="13" spans="1:58" ht="14.25" x14ac:dyDescent="0.45">
      <c r="A13" t="s">
        <v>258</v>
      </c>
      <c r="B13" t="s">
        <v>259</v>
      </c>
      <c r="C13" t="s">
        <v>252</v>
      </c>
      <c r="D13" t="s">
        <v>193</v>
      </c>
      <c r="E13" t="s">
        <v>260</v>
      </c>
      <c r="F13" s="10">
        <v>28205</v>
      </c>
      <c r="G13" s="8">
        <v>152005</v>
      </c>
      <c r="H13" s="9">
        <v>180210</v>
      </c>
      <c r="I13" s="8">
        <v>9757</v>
      </c>
      <c r="J13" s="8">
        <v>66756</v>
      </c>
      <c r="K13" s="8">
        <v>117922</v>
      </c>
      <c r="L13" s="8">
        <v>123798</v>
      </c>
      <c r="M13" s="8">
        <v>134330</v>
      </c>
      <c r="N13" s="8">
        <v>141400</v>
      </c>
      <c r="O13" s="8">
        <v>123798</v>
      </c>
      <c r="P13" s="8">
        <v>40122</v>
      </c>
      <c r="Q13" s="8">
        <v>76611</v>
      </c>
      <c r="R13" s="8">
        <v>66756</v>
      </c>
      <c r="S13" s="8"/>
      <c r="T13" s="8">
        <v>141400</v>
      </c>
      <c r="U13" s="167">
        <v>5</v>
      </c>
      <c r="V13" s="52">
        <v>4</v>
      </c>
      <c r="W13" s="52">
        <v>4</v>
      </c>
      <c r="X13" s="52">
        <v>5</v>
      </c>
      <c r="Y13" s="52">
        <v>5</v>
      </c>
      <c r="Z13" s="52">
        <v>5</v>
      </c>
      <c r="AA13" s="52">
        <v>5</v>
      </c>
      <c r="AB13" s="52">
        <v>5</v>
      </c>
      <c r="AC13" s="52">
        <v>5</v>
      </c>
      <c r="AD13" s="52">
        <v>4</v>
      </c>
      <c r="AE13" s="52">
        <v>4</v>
      </c>
      <c r="AF13" s="8">
        <v>5</v>
      </c>
      <c r="AG13" s="54">
        <v>8781</v>
      </c>
      <c r="AH13" s="8">
        <v>66756</v>
      </c>
      <c r="AI13" s="8">
        <v>64618</v>
      </c>
      <c r="AJ13" s="8">
        <v>43329</v>
      </c>
      <c r="AK13" s="8">
        <v>57944</v>
      </c>
      <c r="AL13" s="8">
        <v>141400</v>
      </c>
      <c r="AM13" s="8">
        <v>43329</v>
      </c>
      <c r="AN13" s="8">
        <v>36060</v>
      </c>
      <c r="AO13" s="8">
        <v>3831</v>
      </c>
      <c r="AP13" s="8">
        <v>66756</v>
      </c>
      <c r="AQ13" s="8">
        <v>0</v>
      </c>
      <c r="AR13" s="8">
        <v>104773</v>
      </c>
      <c r="AS13" s="202">
        <v>141400</v>
      </c>
      <c r="AT13" s="54">
        <v>8781</v>
      </c>
      <c r="AU13" s="8">
        <v>66756</v>
      </c>
      <c r="AV13" s="8">
        <v>64618</v>
      </c>
      <c r="AW13" s="8">
        <v>43329</v>
      </c>
      <c r="AX13" s="8">
        <v>57944</v>
      </c>
      <c r="AY13" s="8">
        <v>141400</v>
      </c>
      <c r="AZ13" s="8">
        <v>43329</v>
      </c>
      <c r="BA13" s="8">
        <v>36060</v>
      </c>
      <c r="BB13" s="8">
        <v>3831</v>
      </c>
      <c r="BC13" s="8">
        <v>66756</v>
      </c>
      <c r="BD13" s="8">
        <v>0</v>
      </c>
      <c r="BE13" s="8">
        <v>104773</v>
      </c>
      <c r="BF13" s="202">
        <v>141400</v>
      </c>
    </row>
    <row r="14" spans="1:58" ht="14.25" x14ac:dyDescent="0.45">
      <c r="A14" t="s">
        <v>258</v>
      </c>
      <c r="B14" t="s">
        <v>259</v>
      </c>
      <c r="C14" t="s">
        <v>254</v>
      </c>
      <c r="D14" t="s">
        <v>196</v>
      </c>
      <c r="E14" t="s">
        <v>261</v>
      </c>
      <c r="F14" s="10">
        <v>10472</v>
      </c>
      <c r="G14" s="8">
        <v>35228.320498224006</v>
      </c>
      <c r="H14" s="9">
        <v>45700.320498224006</v>
      </c>
      <c r="I14" s="8">
        <v>1809</v>
      </c>
      <c r="J14" s="8">
        <v>10783</v>
      </c>
      <c r="K14" s="8">
        <v>27329</v>
      </c>
      <c r="L14" s="8">
        <v>23119</v>
      </c>
      <c r="M14" s="8">
        <v>28167</v>
      </c>
      <c r="N14" s="8">
        <v>28591</v>
      </c>
      <c r="O14" s="8">
        <v>23119</v>
      </c>
      <c r="P14" s="8">
        <v>9268</v>
      </c>
      <c r="Q14" s="8">
        <v>17755</v>
      </c>
      <c r="R14" s="8">
        <v>10783</v>
      </c>
      <c r="S14" s="8"/>
      <c r="T14" s="8">
        <v>28591</v>
      </c>
      <c r="U14" s="167">
        <v>5</v>
      </c>
      <c r="V14" s="52">
        <v>4</v>
      </c>
      <c r="W14" s="52">
        <v>4</v>
      </c>
      <c r="X14" s="52">
        <v>5</v>
      </c>
      <c r="Y14" s="52">
        <v>5</v>
      </c>
      <c r="Z14" s="52">
        <v>4</v>
      </c>
      <c r="AA14" s="52">
        <v>5</v>
      </c>
      <c r="AB14" s="52">
        <v>4</v>
      </c>
      <c r="AC14" s="52">
        <v>5</v>
      </c>
      <c r="AD14" s="52">
        <v>4</v>
      </c>
      <c r="AE14" s="52">
        <v>4</v>
      </c>
      <c r="AF14" s="8">
        <v>5</v>
      </c>
      <c r="AG14" s="54">
        <v>1628</v>
      </c>
      <c r="AH14" s="8">
        <v>10783</v>
      </c>
      <c r="AI14" s="8">
        <v>18003</v>
      </c>
      <c r="AJ14" s="8">
        <v>10653</v>
      </c>
      <c r="AK14" s="8">
        <v>10968</v>
      </c>
      <c r="AL14" s="8">
        <v>28591</v>
      </c>
      <c r="AM14" s="8">
        <v>8092</v>
      </c>
      <c r="AN14" s="8">
        <v>8344</v>
      </c>
      <c r="AO14" s="8">
        <v>10653</v>
      </c>
      <c r="AP14" s="8">
        <v>10783</v>
      </c>
      <c r="AQ14" s="8">
        <v>0</v>
      </c>
      <c r="AR14" s="8">
        <v>5238</v>
      </c>
      <c r="AS14" s="202">
        <v>28591</v>
      </c>
      <c r="AT14" s="54">
        <v>1628</v>
      </c>
      <c r="AU14" s="8">
        <v>10783</v>
      </c>
      <c r="AV14" s="8">
        <v>18003</v>
      </c>
      <c r="AW14" s="8">
        <v>10653</v>
      </c>
      <c r="AX14" s="8">
        <v>10968</v>
      </c>
      <c r="AY14" s="8">
        <v>28591</v>
      </c>
      <c r="AZ14" s="8">
        <v>8092</v>
      </c>
      <c r="BA14" s="8">
        <v>8344</v>
      </c>
      <c r="BB14" s="8">
        <v>10653</v>
      </c>
      <c r="BC14" s="8">
        <v>10783</v>
      </c>
      <c r="BD14" s="8">
        <v>0</v>
      </c>
      <c r="BE14" s="8">
        <v>5238</v>
      </c>
      <c r="BF14" s="202">
        <v>28591</v>
      </c>
    </row>
    <row r="15" spans="1:58" ht="14.25" x14ac:dyDescent="0.45">
      <c r="A15" t="s">
        <v>262</v>
      </c>
      <c r="B15" t="s">
        <v>263</v>
      </c>
      <c r="C15" t="s">
        <v>245</v>
      </c>
      <c r="D15" t="s">
        <v>199</v>
      </c>
      <c r="E15" t="s">
        <v>264</v>
      </c>
      <c r="F15" s="55">
        <v>0</v>
      </c>
      <c r="G15" s="51">
        <v>0</v>
      </c>
      <c r="H15" s="56"/>
      <c r="I15" s="51">
        <v>0</v>
      </c>
      <c r="J15" s="51">
        <v>0</v>
      </c>
      <c r="K15" s="51">
        <v>0</v>
      </c>
      <c r="L15" s="51">
        <v>0</v>
      </c>
      <c r="M15" s="51">
        <v>0</v>
      </c>
      <c r="N15" s="51">
        <v>0</v>
      </c>
      <c r="O15" s="51">
        <v>0</v>
      </c>
      <c r="P15" s="51">
        <v>0</v>
      </c>
      <c r="Q15" s="51">
        <v>0</v>
      </c>
      <c r="R15" s="51">
        <v>0</v>
      </c>
      <c r="S15" s="51"/>
      <c r="T15" s="51">
        <v>0</v>
      </c>
      <c r="U15" s="57"/>
      <c r="V15" s="51"/>
      <c r="W15" s="51"/>
      <c r="X15" s="51"/>
      <c r="Y15" s="51"/>
      <c r="Z15" s="51"/>
      <c r="AA15" s="51"/>
      <c r="AB15" s="51"/>
      <c r="AC15" s="51"/>
      <c r="AD15" s="51"/>
      <c r="AE15" s="51"/>
      <c r="AF15" s="51"/>
      <c r="AG15" s="57">
        <v>0</v>
      </c>
      <c r="AH15" s="51">
        <v>0</v>
      </c>
      <c r="AI15" s="51">
        <v>0</v>
      </c>
      <c r="AJ15" s="51">
        <v>0</v>
      </c>
      <c r="AK15" s="51">
        <v>0</v>
      </c>
      <c r="AL15" s="51">
        <v>0</v>
      </c>
      <c r="AM15" s="51">
        <v>0</v>
      </c>
      <c r="AN15" s="51">
        <v>0</v>
      </c>
      <c r="AO15" s="51">
        <v>0</v>
      </c>
      <c r="AP15" s="51">
        <v>0</v>
      </c>
      <c r="AQ15" s="51">
        <v>0</v>
      </c>
      <c r="AR15" s="51">
        <v>0</v>
      </c>
      <c r="AS15" s="201">
        <v>0</v>
      </c>
      <c r="AT15" s="57">
        <v>0</v>
      </c>
      <c r="AU15" s="51">
        <v>0</v>
      </c>
      <c r="AV15" s="51">
        <v>0</v>
      </c>
      <c r="AW15" s="51">
        <v>0</v>
      </c>
      <c r="AX15" s="51">
        <v>0</v>
      </c>
      <c r="AY15" s="51">
        <v>0</v>
      </c>
      <c r="AZ15" s="51">
        <v>0</v>
      </c>
      <c r="BA15" s="51">
        <v>0</v>
      </c>
      <c r="BB15" s="51">
        <v>0</v>
      </c>
      <c r="BC15" s="51">
        <v>0</v>
      </c>
      <c r="BD15" s="51">
        <v>0</v>
      </c>
      <c r="BE15" s="51">
        <v>0</v>
      </c>
      <c r="BF15" s="201">
        <v>0</v>
      </c>
    </row>
    <row r="16" spans="1:58" ht="14.25" x14ac:dyDescent="0.45">
      <c r="A16" t="s">
        <v>265</v>
      </c>
      <c r="B16" t="s">
        <v>266</v>
      </c>
      <c r="C16" t="s">
        <v>245</v>
      </c>
      <c r="D16" t="s">
        <v>199</v>
      </c>
      <c r="E16" t="s">
        <v>267</v>
      </c>
      <c r="F16" s="55">
        <v>0</v>
      </c>
      <c r="G16" s="51">
        <v>0</v>
      </c>
      <c r="H16" s="56"/>
      <c r="I16" s="51">
        <v>0</v>
      </c>
      <c r="J16" s="51">
        <v>0</v>
      </c>
      <c r="K16" s="51">
        <v>0</v>
      </c>
      <c r="L16" s="51">
        <v>0</v>
      </c>
      <c r="M16" s="51">
        <v>0</v>
      </c>
      <c r="N16" s="51">
        <v>0</v>
      </c>
      <c r="O16" s="51">
        <v>0</v>
      </c>
      <c r="P16" s="51">
        <v>0</v>
      </c>
      <c r="Q16" s="51">
        <v>0</v>
      </c>
      <c r="R16" s="51">
        <v>0</v>
      </c>
      <c r="S16" s="51"/>
      <c r="T16" s="51">
        <v>0</v>
      </c>
      <c r="U16" s="57"/>
      <c r="V16" s="51"/>
      <c r="W16" s="51"/>
      <c r="X16" s="51"/>
      <c r="Y16" s="51"/>
      <c r="Z16" s="51"/>
      <c r="AA16" s="51"/>
      <c r="AB16" s="51"/>
      <c r="AC16" s="51"/>
      <c r="AD16" s="51"/>
      <c r="AE16" s="51"/>
      <c r="AF16" s="51"/>
      <c r="AG16" s="57">
        <v>0</v>
      </c>
      <c r="AH16" s="51">
        <v>0</v>
      </c>
      <c r="AI16" s="51">
        <v>0</v>
      </c>
      <c r="AJ16" s="51">
        <v>0</v>
      </c>
      <c r="AK16" s="51">
        <v>0</v>
      </c>
      <c r="AL16" s="51">
        <v>0</v>
      </c>
      <c r="AM16" s="51">
        <v>0</v>
      </c>
      <c r="AN16" s="51">
        <v>0</v>
      </c>
      <c r="AO16" s="51">
        <v>0</v>
      </c>
      <c r="AP16" s="51">
        <v>0</v>
      </c>
      <c r="AQ16" s="51">
        <v>0</v>
      </c>
      <c r="AR16" s="51">
        <v>0</v>
      </c>
      <c r="AS16" s="201">
        <v>0</v>
      </c>
      <c r="AT16" s="57">
        <v>0</v>
      </c>
      <c r="AU16" s="51">
        <v>0</v>
      </c>
      <c r="AV16" s="51">
        <v>0</v>
      </c>
      <c r="AW16" s="51">
        <v>0</v>
      </c>
      <c r="AX16" s="51">
        <v>0</v>
      </c>
      <c r="AY16" s="51">
        <v>0</v>
      </c>
      <c r="AZ16" s="51">
        <v>0</v>
      </c>
      <c r="BA16" s="51">
        <v>0</v>
      </c>
      <c r="BB16" s="51">
        <v>0</v>
      </c>
      <c r="BC16" s="51">
        <v>0</v>
      </c>
      <c r="BD16" s="51">
        <v>0</v>
      </c>
      <c r="BE16" s="51">
        <v>0</v>
      </c>
      <c r="BF16" s="201">
        <v>0</v>
      </c>
    </row>
    <row r="17" spans="1:58" ht="14.25" x14ac:dyDescent="0.45">
      <c r="A17" t="s">
        <v>268</v>
      </c>
      <c r="B17" t="s">
        <v>269</v>
      </c>
      <c r="C17" t="s">
        <v>252</v>
      </c>
      <c r="D17" t="s">
        <v>193</v>
      </c>
      <c r="E17" t="s">
        <v>270</v>
      </c>
      <c r="F17" s="10">
        <v>7270</v>
      </c>
      <c r="G17" s="8">
        <v>50450</v>
      </c>
      <c r="H17" s="9">
        <v>57720</v>
      </c>
      <c r="I17" s="8">
        <v>2355</v>
      </c>
      <c r="J17" s="8">
        <v>21919</v>
      </c>
      <c r="K17" s="8">
        <v>39138</v>
      </c>
      <c r="L17" s="8">
        <v>45405</v>
      </c>
      <c r="M17" s="8">
        <v>39551</v>
      </c>
      <c r="N17" s="8">
        <v>50450</v>
      </c>
      <c r="O17" s="8">
        <v>45405</v>
      </c>
      <c r="P17" s="8">
        <v>14310</v>
      </c>
      <c r="Q17" s="8">
        <v>25427</v>
      </c>
      <c r="R17" s="8">
        <v>21919</v>
      </c>
      <c r="S17" s="8"/>
      <c r="T17" s="8">
        <v>50450</v>
      </c>
      <c r="U17" s="167">
        <v>5</v>
      </c>
      <c r="V17" s="52">
        <v>4</v>
      </c>
      <c r="W17" s="52">
        <v>4</v>
      </c>
      <c r="X17" s="52">
        <v>5</v>
      </c>
      <c r="Y17" s="52">
        <v>5</v>
      </c>
      <c r="Z17" s="52">
        <v>5</v>
      </c>
      <c r="AA17" s="52">
        <v>4</v>
      </c>
      <c r="AB17" s="52">
        <v>5</v>
      </c>
      <c r="AC17" s="52">
        <v>5</v>
      </c>
      <c r="AD17" s="52">
        <v>4</v>
      </c>
      <c r="AE17" s="52">
        <v>4</v>
      </c>
      <c r="AF17" s="8">
        <v>5</v>
      </c>
      <c r="AG17" s="54">
        <v>2120</v>
      </c>
      <c r="AH17" s="8">
        <v>21919</v>
      </c>
      <c r="AI17" s="8">
        <v>21424</v>
      </c>
      <c r="AJ17" s="8">
        <v>15892</v>
      </c>
      <c r="AK17" s="8">
        <v>23249</v>
      </c>
      <c r="AL17" s="8">
        <v>50450</v>
      </c>
      <c r="AM17" s="8">
        <v>15892</v>
      </c>
      <c r="AN17" s="8">
        <v>12880</v>
      </c>
      <c r="AO17" s="8">
        <v>1271</v>
      </c>
      <c r="AP17" s="8">
        <v>21919</v>
      </c>
      <c r="AQ17" s="8">
        <v>0</v>
      </c>
      <c r="AR17" s="8">
        <v>10759</v>
      </c>
      <c r="AS17" s="202">
        <v>50450</v>
      </c>
      <c r="AT17" s="54">
        <v>2120</v>
      </c>
      <c r="AU17" s="8">
        <v>21919</v>
      </c>
      <c r="AV17" s="8">
        <v>21424</v>
      </c>
      <c r="AW17" s="8">
        <v>15892</v>
      </c>
      <c r="AX17" s="8">
        <v>23249</v>
      </c>
      <c r="AY17" s="8">
        <v>50450</v>
      </c>
      <c r="AZ17" s="8">
        <v>15892</v>
      </c>
      <c r="BA17" s="8">
        <v>12880</v>
      </c>
      <c r="BB17" s="8">
        <v>1271</v>
      </c>
      <c r="BC17" s="8">
        <v>21919</v>
      </c>
      <c r="BD17" s="8">
        <v>0</v>
      </c>
      <c r="BE17" s="8">
        <v>10759</v>
      </c>
      <c r="BF17" s="202">
        <v>50450</v>
      </c>
    </row>
    <row r="18" spans="1:58" ht="14.25" x14ac:dyDescent="0.45">
      <c r="A18" t="s">
        <v>268</v>
      </c>
      <c r="B18" t="s">
        <v>269</v>
      </c>
      <c r="C18" t="s">
        <v>271</v>
      </c>
      <c r="D18" t="s">
        <v>196</v>
      </c>
      <c r="E18" t="s">
        <v>272</v>
      </c>
      <c r="F18" s="10">
        <v>22234</v>
      </c>
      <c r="G18" s="8">
        <v>20057.226344045768</v>
      </c>
      <c r="H18" s="9">
        <v>42291.226344045768</v>
      </c>
      <c r="I18" s="8">
        <v>475</v>
      </c>
      <c r="J18" s="8">
        <v>6238</v>
      </c>
      <c r="K18" s="8">
        <v>15560</v>
      </c>
      <c r="L18" s="8">
        <v>18052</v>
      </c>
      <c r="M18" s="8">
        <v>12437</v>
      </c>
      <c r="N18" s="8">
        <v>12034</v>
      </c>
      <c r="O18" s="8">
        <v>18052</v>
      </c>
      <c r="P18" s="8">
        <v>4832</v>
      </c>
      <c r="Q18" s="8">
        <v>7862</v>
      </c>
      <c r="R18" s="8">
        <v>6238</v>
      </c>
      <c r="S18" s="8"/>
      <c r="T18" s="8">
        <v>18052</v>
      </c>
      <c r="U18" s="167">
        <v>4</v>
      </c>
      <c r="V18" s="52">
        <v>4</v>
      </c>
      <c r="W18" s="52">
        <v>4</v>
      </c>
      <c r="X18" s="52">
        <v>4</v>
      </c>
      <c r="Y18" s="52">
        <v>4</v>
      </c>
      <c r="Z18" s="52">
        <v>4</v>
      </c>
      <c r="AA18" s="52">
        <v>4</v>
      </c>
      <c r="AB18" s="52">
        <v>4</v>
      </c>
      <c r="AC18" s="52">
        <v>4</v>
      </c>
      <c r="AD18" s="52">
        <v>4</v>
      </c>
      <c r="AE18" s="52">
        <v>4</v>
      </c>
      <c r="AF18" s="8">
        <v>4</v>
      </c>
      <c r="AG18" s="54">
        <v>428</v>
      </c>
      <c r="AH18" s="8">
        <v>6238</v>
      </c>
      <c r="AI18" s="8">
        <v>9168</v>
      </c>
      <c r="AJ18" s="8">
        <v>6318</v>
      </c>
      <c r="AK18" s="8">
        <v>6975</v>
      </c>
      <c r="AL18" s="8">
        <v>12034</v>
      </c>
      <c r="AM18" s="8">
        <v>6318</v>
      </c>
      <c r="AN18" s="8">
        <v>4353</v>
      </c>
      <c r="AO18" s="8">
        <v>3931</v>
      </c>
      <c r="AP18" s="8">
        <v>6238</v>
      </c>
      <c r="AQ18" s="8">
        <v>0</v>
      </c>
      <c r="AR18" s="8">
        <v>583</v>
      </c>
      <c r="AS18" s="202">
        <v>12034</v>
      </c>
      <c r="AT18" s="54">
        <v>428</v>
      </c>
      <c r="AU18" s="8">
        <v>6238</v>
      </c>
      <c r="AV18" s="8">
        <v>9168</v>
      </c>
      <c r="AW18" s="8">
        <v>6318</v>
      </c>
      <c r="AX18" s="8">
        <v>6975</v>
      </c>
      <c r="AY18" s="8">
        <v>12034</v>
      </c>
      <c r="AZ18" s="8">
        <v>6318</v>
      </c>
      <c r="BA18" s="8">
        <v>4353</v>
      </c>
      <c r="BB18" s="8">
        <v>3931</v>
      </c>
      <c r="BC18" s="8">
        <v>6238</v>
      </c>
      <c r="BD18" s="8">
        <v>0</v>
      </c>
      <c r="BE18" s="8">
        <v>583</v>
      </c>
      <c r="BF18" s="202">
        <v>12034</v>
      </c>
    </row>
    <row r="19" spans="1:58" ht="14.25" x14ac:dyDescent="0.45">
      <c r="A19" t="s">
        <v>268</v>
      </c>
      <c r="B19" t="s">
        <v>269</v>
      </c>
      <c r="C19" t="s">
        <v>256</v>
      </c>
      <c r="D19" t="s">
        <v>199</v>
      </c>
      <c r="E19" t="s">
        <v>273</v>
      </c>
      <c r="F19" s="55">
        <v>0</v>
      </c>
      <c r="G19" s="51">
        <v>0</v>
      </c>
      <c r="H19" s="56"/>
      <c r="I19" s="51">
        <v>0</v>
      </c>
      <c r="J19" s="51">
        <v>0</v>
      </c>
      <c r="K19" s="51">
        <v>0</v>
      </c>
      <c r="L19" s="51">
        <v>0</v>
      </c>
      <c r="M19" s="51">
        <v>0</v>
      </c>
      <c r="N19" s="51">
        <v>0</v>
      </c>
      <c r="O19" s="51">
        <v>0</v>
      </c>
      <c r="P19" s="51">
        <v>0</v>
      </c>
      <c r="Q19" s="51">
        <v>0</v>
      </c>
      <c r="R19" s="51">
        <v>0</v>
      </c>
      <c r="S19" s="51"/>
      <c r="T19" s="51">
        <v>0</v>
      </c>
      <c r="U19" s="57"/>
      <c r="V19" s="51"/>
      <c r="W19" s="51"/>
      <c r="X19" s="51"/>
      <c r="Y19" s="51"/>
      <c r="Z19" s="51"/>
      <c r="AA19" s="51"/>
      <c r="AB19" s="51"/>
      <c r="AC19" s="51"/>
      <c r="AD19" s="51"/>
      <c r="AE19" s="51"/>
      <c r="AF19" s="51"/>
      <c r="AG19" s="57">
        <v>0</v>
      </c>
      <c r="AH19" s="51">
        <v>0</v>
      </c>
      <c r="AI19" s="51">
        <v>0</v>
      </c>
      <c r="AJ19" s="51">
        <v>0</v>
      </c>
      <c r="AK19" s="51">
        <v>0</v>
      </c>
      <c r="AL19" s="51">
        <v>0</v>
      </c>
      <c r="AM19" s="51">
        <v>0</v>
      </c>
      <c r="AN19" s="51">
        <v>0</v>
      </c>
      <c r="AO19" s="51">
        <v>0</v>
      </c>
      <c r="AP19" s="51">
        <v>0</v>
      </c>
      <c r="AQ19" s="51">
        <v>0</v>
      </c>
      <c r="AR19" s="51">
        <v>0</v>
      </c>
      <c r="AS19" s="201">
        <v>0</v>
      </c>
      <c r="AT19" s="57">
        <v>0</v>
      </c>
      <c r="AU19" s="51">
        <v>0</v>
      </c>
      <c r="AV19" s="51">
        <v>0</v>
      </c>
      <c r="AW19" s="51">
        <v>0</v>
      </c>
      <c r="AX19" s="51">
        <v>0</v>
      </c>
      <c r="AY19" s="51">
        <v>0</v>
      </c>
      <c r="AZ19" s="51">
        <v>0</v>
      </c>
      <c r="BA19" s="51">
        <v>0</v>
      </c>
      <c r="BB19" s="51">
        <v>0</v>
      </c>
      <c r="BC19" s="51">
        <v>0</v>
      </c>
      <c r="BD19" s="51">
        <v>0</v>
      </c>
      <c r="BE19" s="51">
        <v>0</v>
      </c>
      <c r="BF19" s="201">
        <v>0</v>
      </c>
    </row>
    <row r="20" spans="1:58" ht="14.25" x14ac:dyDescent="0.45">
      <c r="A20" t="s">
        <v>268</v>
      </c>
      <c r="B20" t="s">
        <v>269</v>
      </c>
      <c r="C20" t="s">
        <v>274</v>
      </c>
      <c r="D20" t="s">
        <v>196</v>
      </c>
      <c r="E20" t="s">
        <v>275</v>
      </c>
      <c r="F20" s="10">
        <v>131221</v>
      </c>
      <c r="G20" s="8">
        <v>246952.55813953432</v>
      </c>
      <c r="H20" s="9">
        <v>378173.55813953432</v>
      </c>
      <c r="I20" s="8">
        <v>14090</v>
      </c>
      <c r="J20" s="8">
        <v>77417</v>
      </c>
      <c r="K20" s="8">
        <v>191580</v>
      </c>
      <c r="L20" s="8">
        <v>235466</v>
      </c>
      <c r="M20" s="8">
        <v>147406</v>
      </c>
      <c r="N20" s="8">
        <v>145702</v>
      </c>
      <c r="O20" s="8">
        <v>235466</v>
      </c>
      <c r="P20" s="8">
        <v>59672</v>
      </c>
      <c r="Q20" s="8">
        <v>96805</v>
      </c>
      <c r="R20" s="8">
        <v>77417</v>
      </c>
      <c r="S20" s="8"/>
      <c r="T20" s="8">
        <v>235466</v>
      </c>
      <c r="U20" s="167">
        <v>4</v>
      </c>
      <c r="V20" s="52">
        <v>4</v>
      </c>
      <c r="W20" s="52">
        <v>3</v>
      </c>
      <c r="X20" s="52">
        <v>4</v>
      </c>
      <c r="Y20" s="52">
        <v>4</v>
      </c>
      <c r="Z20" s="52">
        <v>4</v>
      </c>
      <c r="AA20" s="52">
        <v>4</v>
      </c>
      <c r="AB20" s="52">
        <v>4</v>
      </c>
      <c r="AC20" s="52">
        <v>4</v>
      </c>
      <c r="AD20" s="52">
        <v>4</v>
      </c>
      <c r="AE20" s="52">
        <v>4</v>
      </c>
      <c r="AF20" s="8">
        <v>4</v>
      </c>
      <c r="AG20" s="54">
        <v>12681</v>
      </c>
      <c r="AH20" s="8">
        <v>77417</v>
      </c>
      <c r="AI20" s="8">
        <v>69837</v>
      </c>
      <c r="AJ20" s="8">
        <v>82413</v>
      </c>
      <c r="AK20" s="8">
        <v>47815</v>
      </c>
      <c r="AL20" s="8">
        <v>145702</v>
      </c>
      <c r="AM20" s="8">
        <v>82413</v>
      </c>
      <c r="AN20" s="8">
        <v>53658</v>
      </c>
      <c r="AO20" s="8">
        <v>48403</v>
      </c>
      <c r="AP20" s="8">
        <v>77417</v>
      </c>
      <c r="AQ20" s="8">
        <v>0</v>
      </c>
      <c r="AR20" s="8">
        <v>5133</v>
      </c>
      <c r="AS20" s="202">
        <v>145702</v>
      </c>
      <c r="AT20" s="54">
        <v>12681</v>
      </c>
      <c r="AU20" s="8">
        <v>77417</v>
      </c>
      <c r="AV20" s="8">
        <v>13967</v>
      </c>
      <c r="AW20" s="8">
        <v>82413</v>
      </c>
      <c r="AX20" s="8">
        <v>47815</v>
      </c>
      <c r="AY20" s="8">
        <v>145702</v>
      </c>
      <c r="AZ20" s="8">
        <v>82413</v>
      </c>
      <c r="BA20" s="8">
        <v>53658</v>
      </c>
      <c r="BB20" s="8">
        <v>48403</v>
      </c>
      <c r="BC20" s="8">
        <v>77417</v>
      </c>
      <c r="BD20" s="8">
        <v>0</v>
      </c>
      <c r="BE20" s="8">
        <v>5133</v>
      </c>
      <c r="BF20" s="202">
        <v>145702</v>
      </c>
    </row>
    <row r="21" spans="1:58" ht="14.25" x14ac:dyDescent="0.45">
      <c r="A21" t="s">
        <v>276</v>
      </c>
      <c r="B21" t="s">
        <v>277</v>
      </c>
      <c r="C21" t="s">
        <v>245</v>
      </c>
      <c r="D21" t="s">
        <v>199</v>
      </c>
      <c r="E21" t="s">
        <v>278</v>
      </c>
      <c r="F21" s="55">
        <v>0</v>
      </c>
      <c r="G21" s="51">
        <v>0</v>
      </c>
      <c r="H21" s="56"/>
      <c r="I21" s="51">
        <v>0</v>
      </c>
      <c r="J21" s="51">
        <v>0</v>
      </c>
      <c r="K21" s="51">
        <v>0</v>
      </c>
      <c r="L21" s="51">
        <v>0</v>
      </c>
      <c r="M21" s="51">
        <v>0</v>
      </c>
      <c r="N21" s="51">
        <v>0</v>
      </c>
      <c r="O21" s="51">
        <v>0</v>
      </c>
      <c r="P21" s="51">
        <v>0</v>
      </c>
      <c r="Q21" s="51">
        <v>0</v>
      </c>
      <c r="R21" s="51">
        <v>0</v>
      </c>
      <c r="S21" s="51"/>
      <c r="T21" s="51">
        <v>0</v>
      </c>
      <c r="U21" s="57"/>
      <c r="V21" s="51"/>
      <c r="W21" s="51"/>
      <c r="X21" s="51"/>
      <c r="Y21" s="51"/>
      <c r="Z21" s="51"/>
      <c r="AA21" s="51"/>
      <c r="AB21" s="51"/>
      <c r="AC21" s="51"/>
      <c r="AD21" s="51"/>
      <c r="AE21" s="51"/>
      <c r="AF21" s="51"/>
      <c r="AG21" s="57">
        <v>0</v>
      </c>
      <c r="AH21" s="51">
        <v>0</v>
      </c>
      <c r="AI21" s="51">
        <v>0</v>
      </c>
      <c r="AJ21" s="51">
        <v>0</v>
      </c>
      <c r="AK21" s="51">
        <v>0</v>
      </c>
      <c r="AL21" s="51">
        <v>0</v>
      </c>
      <c r="AM21" s="51">
        <v>0</v>
      </c>
      <c r="AN21" s="51">
        <v>0</v>
      </c>
      <c r="AO21" s="51">
        <v>0</v>
      </c>
      <c r="AP21" s="51">
        <v>0</v>
      </c>
      <c r="AQ21" s="51">
        <v>0</v>
      </c>
      <c r="AR21" s="51">
        <v>0</v>
      </c>
      <c r="AS21" s="201">
        <v>0</v>
      </c>
      <c r="AT21" s="57">
        <v>0</v>
      </c>
      <c r="AU21" s="51">
        <v>0</v>
      </c>
      <c r="AV21" s="51">
        <v>0</v>
      </c>
      <c r="AW21" s="51">
        <v>0</v>
      </c>
      <c r="AX21" s="51">
        <v>0</v>
      </c>
      <c r="AY21" s="51">
        <v>0</v>
      </c>
      <c r="AZ21" s="51">
        <v>0</v>
      </c>
      <c r="BA21" s="51">
        <v>0</v>
      </c>
      <c r="BB21" s="51">
        <v>0</v>
      </c>
      <c r="BC21" s="51">
        <v>0</v>
      </c>
      <c r="BD21" s="51">
        <v>0</v>
      </c>
      <c r="BE21" s="51">
        <v>0</v>
      </c>
      <c r="BF21" s="201">
        <v>0</v>
      </c>
    </row>
    <row r="22" spans="1:58" ht="14.25" x14ac:dyDescent="0.45">
      <c r="A22" t="s">
        <v>279</v>
      </c>
      <c r="B22" t="s">
        <v>280</v>
      </c>
      <c r="C22" t="s">
        <v>245</v>
      </c>
      <c r="D22" t="s">
        <v>199</v>
      </c>
      <c r="E22" t="s">
        <v>281</v>
      </c>
      <c r="F22" s="55">
        <v>0</v>
      </c>
      <c r="G22" s="51">
        <v>0</v>
      </c>
      <c r="H22" s="56"/>
      <c r="I22" s="51">
        <v>0</v>
      </c>
      <c r="J22" s="51">
        <v>0</v>
      </c>
      <c r="K22" s="51">
        <v>0</v>
      </c>
      <c r="L22" s="51">
        <v>0</v>
      </c>
      <c r="M22" s="51">
        <v>0</v>
      </c>
      <c r="N22" s="51">
        <v>0</v>
      </c>
      <c r="O22" s="51">
        <v>0</v>
      </c>
      <c r="P22" s="51">
        <v>0</v>
      </c>
      <c r="Q22" s="51">
        <v>0</v>
      </c>
      <c r="R22" s="51">
        <v>0</v>
      </c>
      <c r="S22" s="51"/>
      <c r="T22" s="51">
        <v>0</v>
      </c>
      <c r="U22" s="57"/>
      <c r="V22" s="51"/>
      <c r="W22" s="51"/>
      <c r="X22" s="51"/>
      <c r="Y22" s="51"/>
      <c r="Z22" s="51"/>
      <c r="AA22" s="51"/>
      <c r="AB22" s="51"/>
      <c r="AC22" s="51"/>
      <c r="AD22" s="51"/>
      <c r="AE22" s="51"/>
      <c r="AF22" s="51"/>
      <c r="AG22" s="57">
        <v>0</v>
      </c>
      <c r="AH22" s="51">
        <v>0</v>
      </c>
      <c r="AI22" s="51">
        <v>0</v>
      </c>
      <c r="AJ22" s="51">
        <v>0</v>
      </c>
      <c r="AK22" s="51">
        <v>0</v>
      </c>
      <c r="AL22" s="51">
        <v>0</v>
      </c>
      <c r="AM22" s="51">
        <v>0</v>
      </c>
      <c r="AN22" s="51">
        <v>0</v>
      </c>
      <c r="AO22" s="51">
        <v>0</v>
      </c>
      <c r="AP22" s="51">
        <v>0</v>
      </c>
      <c r="AQ22" s="51">
        <v>0</v>
      </c>
      <c r="AR22" s="51">
        <v>0</v>
      </c>
      <c r="AS22" s="201">
        <v>0</v>
      </c>
      <c r="AT22" s="57">
        <v>0</v>
      </c>
      <c r="AU22" s="51">
        <v>0</v>
      </c>
      <c r="AV22" s="51">
        <v>0</v>
      </c>
      <c r="AW22" s="51">
        <v>0</v>
      </c>
      <c r="AX22" s="51">
        <v>0</v>
      </c>
      <c r="AY22" s="51">
        <v>0</v>
      </c>
      <c r="AZ22" s="51">
        <v>0</v>
      </c>
      <c r="BA22" s="51">
        <v>0</v>
      </c>
      <c r="BB22" s="51">
        <v>0</v>
      </c>
      <c r="BC22" s="51">
        <v>0</v>
      </c>
      <c r="BD22" s="51">
        <v>0</v>
      </c>
      <c r="BE22" s="51">
        <v>0</v>
      </c>
      <c r="BF22" s="201">
        <v>0</v>
      </c>
    </row>
    <row r="23" spans="1:58" ht="14.25" x14ac:dyDescent="0.45">
      <c r="A23" t="s">
        <v>282</v>
      </c>
      <c r="B23" t="s">
        <v>283</v>
      </c>
      <c r="C23" t="s">
        <v>245</v>
      </c>
      <c r="D23" t="s">
        <v>199</v>
      </c>
      <c r="E23" t="s">
        <v>284</v>
      </c>
      <c r="F23" s="55">
        <v>0</v>
      </c>
      <c r="G23" s="51">
        <v>0</v>
      </c>
      <c r="H23" s="56"/>
      <c r="I23" s="51">
        <v>0</v>
      </c>
      <c r="J23" s="51">
        <v>0</v>
      </c>
      <c r="K23" s="51">
        <v>0</v>
      </c>
      <c r="L23" s="51">
        <v>0</v>
      </c>
      <c r="M23" s="51">
        <v>0</v>
      </c>
      <c r="N23" s="51">
        <v>0</v>
      </c>
      <c r="O23" s="51">
        <v>0</v>
      </c>
      <c r="P23" s="51">
        <v>0</v>
      </c>
      <c r="Q23" s="51">
        <v>0</v>
      </c>
      <c r="R23" s="51">
        <v>0</v>
      </c>
      <c r="S23" s="51"/>
      <c r="T23" s="51">
        <v>0</v>
      </c>
      <c r="U23" s="57"/>
      <c r="V23" s="51"/>
      <c r="W23" s="51"/>
      <c r="X23" s="51"/>
      <c r="Y23" s="51"/>
      <c r="Z23" s="51"/>
      <c r="AA23" s="51"/>
      <c r="AB23" s="51"/>
      <c r="AC23" s="51"/>
      <c r="AD23" s="51"/>
      <c r="AE23" s="51"/>
      <c r="AF23" s="51"/>
      <c r="AG23" s="57">
        <v>0</v>
      </c>
      <c r="AH23" s="51">
        <v>0</v>
      </c>
      <c r="AI23" s="51">
        <v>0</v>
      </c>
      <c r="AJ23" s="51">
        <v>0</v>
      </c>
      <c r="AK23" s="51">
        <v>0</v>
      </c>
      <c r="AL23" s="51">
        <v>0</v>
      </c>
      <c r="AM23" s="51">
        <v>0</v>
      </c>
      <c r="AN23" s="51">
        <v>0</v>
      </c>
      <c r="AO23" s="51">
        <v>0</v>
      </c>
      <c r="AP23" s="51">
        <v>0</v>
      </c>
      <c r="AQ23" s="51">
        <v>0</v>
      </c>
      <c r="AR23" s="51">
        <v>0</v>
      </c>
      <c r="AS23" s="201">
        <v>0</v>
      </c>
      <c r="AT23" s="57">
        <v>0</v>
      </c>
      <c r="AU23" s="51">
        <v>0</v>
      </c>
      <c r="AV23" s="51">
        <v>0</v>
      </c>
      <c r="AW23" s="51">
        <v>0</v>
      </c>
      <c r="AX23" s="51">
        <v>0</v>
      </c>
      <c r="AY23" s="51">
        <v>0</v>
      </c>
      <c r="AZ23" s="51">
        <v>0</v>
      </c>
      <c r="BA23" s="51">
        <v>0</v>
      </c>
      <c r="BB23" s="51">
        <v>0</v>
      </c>
      <c r="BC23" s="51">
        <v>0</v>
      </c>
      <c r="BD23" s="51">
        <v>0</v>
      </c>
      <c r="BE23" s="51">
        <v>0</v>
      </c>
      <c r="BF23" s="201">
        <v>0</v>
      </c>
    </row>
    <row r="24" spans="1:58" ht="14.25" x14ac:dyDescent="0.45">
      <c r="A24" t="s">
        <v>285</v>
      </c>
      <c r="B24" t="s">
        <v>286</v>
      </c>
      <c r="C24" t="s">
        <v>245</v>
      </c>
      <c r="D24" t="s">
        <v>199</v>
      </c>
      <c r="E24" t="s">
        <v>287</v>
      </c>
      <c r="F24" s="55">
        <v>0</v>
      </c>
      <c r="G24" s="51">
        <v>0</v>
      </c>
      <c r="H24" s="56"/>
      <c r="I24" s="51">
        <v>0</v>
      </c>
      <c r="J24" s="51">
        <v>0</v>
      </c>
      <c r="K24" s="51">
        <v>0</v>
      </c>
      <c r="L24" s="51">
        <v>0</v>
      </c>
      <c r="M24" s="51">
        <v>0</v>
      </c>
      <c r="N24" s="51">
        <v>0</v>
      </c>
      <c r="O24" s="51">
        <v>0</v>
      </c>
      <c r="P24" s="51">
        <v>0</v>
      </c>
      <c r="Q24" s="51">
        <v>0</v>
      </c>
      <c r="R24" s="51">
        <v>0</v>
      </c>
      <c r="S24" s="51"/>
      <c r="T24" s="51">
        <v>0</v>
      </c>
      <c r="U24" s="57"/>
      <c r="V24" s="51"/>
      <c r="W24" s="51"/>
      <c r="X24" s="51"/>
      <c r="Y24" s="51"/>
      <c r="Z24" s="51"/>
      <c r="AA24" s="51"/>
      <c r="AB24" s="51"/>
      <c r="AC24" s="51"/>
      <c r="AD24" s="51"/>
      <c r="AE24" s="51"/>
      <c r="AF24" s="51"/>
      <c r="AG24" s="57">
        <v>0</v>
      </c>
      <c r="AH24" s="51">
        <v>0</v>
      </c>
      <c r="AI24" s="51">
        <v>0</v>
      </c>
      <c r="AJ24" s="51">
        <v>0</v>
      </c>
      <c r="AK24" s="51">
        <v>0</v>
      </c>
      <c r="AL24" s="51">
        <v>0</v>
      </c>
      <c r="AM24" s="51">
        <v>0</v>
      </c>
      <c r="AN24" s="51">
        <v>0</v>
      </c>
      <c r="AO24" s="51">
        <v>0</v>
      </c>
      <c r="AP24" s="51">
        <v>0</v>
      </c>
      <c r="AQ24" s="51">
        <v>0</v>
      </c>
      <c r="AR24" s="51">
        <v>0</v>
      </c>
      <c r="AS24" s="201">
        <v>0</v>
      </c>
      <c r="AT24" s="57">
        <v>0</v>
      </c>
      <c r="AU24" s="51">
        <v>0</v>
      </c>
      <c r="AV24" s="51">
        <v>0</v>
      </c>
      <c r="AW24" s="51">
        <v>0</v>
      </c>
      <c r="AX24" s="51">
        <v>0</v>
      </c>
      <c r="AY24" s="51">
        <v>0</v>
      </c>
      <c r="AZ24" s="51">
        <v>0</v>
      </c>
      <c r="BA24" s="51">
        <v>0</v>
      </c>
      <c r="BB24" s="51">
        <v>0</v>
      </c>
      <c r="BC24" s="51">
        <v>0</v>
      </c>
      <c r="BD24" s="51">
        <v>0</v>
      </c>
      <c r="BE24" s="51">
        <v>0</v>
      </c>
      <c r="BF24" s="201">
        <v>0</v>
      </c>
    </row>
    <row r="25" spans="1:58" ht="14.25" x14ac:dyDescent="0.45">
      <c r="A25" t="s">
        <v>288</v>
      </c>
      <c r="B25" t="s">
        <v>289</v>
      </c>
      <c r="C25" t="s">
        <v>252</v>
      </c>
      <c r="D25" t="s">
        <v>193</v>
      </c>
      <c r="E25" t="s">
        <v>290</v>
      </c>
      <c r="F25" s="10">
        <v>5384</v>
      </c>
      <c r="G25" s="8">
        <v>20407</v>
      </c>
      <c r="H25" s="9">
        <v>25791</v>
      </c>
      <c r="I25" s="8">
        <v>955</v>
      </c>
      <c r="J25" s="8">
        <v>7063</v>
      </c>
      <c r="K25" s="8">
        <v>15831</v>
      </c>
      <c r="L25" s="8">
        <v>16151</v>
      </c>
      <c r="M25" s="8">
        <v>14841</v>
      </c>
      <c r="N25" s="8">
        <v>12244</v>
      </c>
      <c r="O25" s="8">
        <v>16151</v>
      </c>
      <c r="P25" s="8">
        <v>4630</v>
      </c>
      <c r="Q25" s="8">
        <v>8000</v>
      </c>
      <c r="R25" s="8">
        <v>7063</v>
      </c>
      <c r="S25" s="8"/>
      <c r="T25" s="8">
        <v>16151</v>
      </c>
      <c r="U25" s="167">
        <v>4</v>
      </c>
      <c r="V25" s="52">
        <v>4</v>
      </c>
      <c r="W25" s="52">
        <v>4</v>
      </c>
      <c r="X25" s="52">
        <v>4</v>
      </c>
      <c r="Y25" s="52">
        <v>5</v>
      </c>
      <c r="Z25" s="52">
        <v>4</v>
      </c>
      <c r="AA25" s="52">
        <v>4</v>
      </c>
      <c r="AB25" s="52">
        <v>4</v>
      </c>
      <c r="AC25" s="52">
        <v>4</v>
      </c>
      <c r="AD25" s="52">
        <v>4</v>
      </c>
      <c r="AE25" s="52">
        <v>4</v>
      </c>
      <c r="AF25" s="8">
        <v>4</v>
      </c>
      <c r="AG25" s="54">
        <v>860</v>
      </c>
      <c r="AH25" s="8">
        <v>7063</v>
      </c>
      <c r="AI25" s="8">
        <v>8666</v>
      </c>
      <c r="AJ25" s="8">
        <v>5653</v>
      </c>
      <c r="AK25" s="8">
        <v>10910</v>
      </c>
      <c r="AL25" s="8">
        <v>12244</v>
      </c>
      <c r="AM25" s="8">
        <v>5653</v>
      </c>
      <c r="AN25" s="8">
        <v>4282</v>
      </c>
      <c r="AO25" s="8">
        <v>400</v>
      </c>
      <c r="AP25" s="8">
        <v>7063</v>
      </c>
      <c r="AQ25" s="8">
        <v>0</v>
      </c>
      <c r="AR25" s="8">
        <v>10963</v>
      </c>
      <c r="AS25" s="202">
        <v>12244</v>
      </c>
      <c r="AT25" s="54">
        <v>860</v>
      </c>
      <c r="AU25" s="8">
        <v>7063</v>
      </c>
      <c r="AV25" s="8">
        <v>8666</v>
      </c>
      <c r="AW25" s="8">
        <v>5653</v>
      </c>
      <c r="AX25" s="8">
        <v>10910</v>
      </c>
      <c r="AY25" s="8">
        <v>12244</v>
      </c>
      <c r="AZ25" s="8">
        <v>5653</v>
      </c>
      <c r="BA25" s="8">
        <v>4282</v>
      </c>
      <c r="BB25" s="8">
        <v>400</v>
      </c>
      <c r="BC25" s="8">
        <v>7063</v>
      </c>
      <c r="BD25" s="8">
        <v>0</v>
      </c>
      <c r="BE25" s="8">
        <v>10963</v>
      </c>
      <c r="BF25" s="202">
        <v>12244</v>
      </c>
    </row>
    <row r="26" spans="1:58" ht="14.25" x14ac:dyDescent="0.45">
      <c r="A26" t="s">
        <v>288</v>
      </c>
      <c r="B26" t="s">
        <v>289</v>
      </c>
      <c r="C26" t="s">
        <v>291</v>
      </c>
      <c r="D26" t="s">
        <v>196</v>
      </c>
      <c r="E26" t="s">
        <v>292</v>
      </c>
      <c r="F26" s="10">
        <v>8270</v>
      </c>
      <c r="G26" s="8">
        <v>24448.662456261645</v>
      </c>
      <c r="H26" s="9">
        <v>32718.662456261645</v>
      </c>
      <c r="I26" s="8">
        <v>1738</v>
      </c>
      <c r="J26" s="8">
        <v>4301</v>
      </c>
      <c r="K26" s="8">
        <v>18967</v>
      </c>
      <c r="L26" s="8">
        <v>13334</v>
      </c>
      <c r="M26" s="8">
        <v>13005</v>
      </c>
      <c r="N26" s="8">
        <v>16759</v>
      </c>
      <c r="O26" s="8">
        <v>13334</v>
      </c>
      <c r="P26" s="8">
        <v>4356</v>
      </c>
      <c r="Q26" s="8">
        <v>9584</v>
      </c>
      <c r="R26" s="8">
        <v>4301</v>
      </c>
      <c r="S26" s="8"/>
      <c r="T26" s="8">
        <v>18967</v>
      </c>
      <c r="U26" s="167">
        <v>4</v>
      </c>
      <c r="V26" s="52">
        <v>3</v>
      </c>
      <c r="W26" s="52">
        <v>3</v>
      </c>
      <c r="X26" s="52">
        <v>4</v>
      </c>
      <c r="Y26" s="52">
        <v>3</v>
      </c>
      <c r="Z26" s="52">
        <v>3</v>
      </c>
      <c r="AA26" s="52">
        <v>4</v>
      </c>
      <c r="AB26" s="52">
        <v>4</v>
      </c>
      <c r="AC26" s="52">
        <v>4</v>
      </c>
      <c r="AD26" s="52">
        <v>3</v>
      </c>
      <c r="AE26" s="52">
        <v>3</v>
      </c>
      <c r="AF26" s="8">
        <v>3</v>
      </c>
      <c r="AG26" s="54">
        <v>1564</v>
      </c>
      <c r="AH26" s="8">
        <v>4301</v>
      </c>
      <c r="AI26" s="8">
        <v>6914</v>
      </c>
      <c r="AJ26" s="8">
        <v>4792</v>
      </c>
      <c r="AK26" s="8">
        <v>3326</v>
      </c>
      <c r="AL26" s="8">
        <v>8379</v>
      </c>
      <c r="AM26" s="8">
        <v>4667</v>
      </c>
      <c r="AN26" s="8">
        <v>3980</v>
      </c>
      <c r="AO26" s="8">
        <v>4792</v>
      </c>
      <c r="AP26" s="8">
        <v>4301</v>
      </c>
      <c r="AQ26" s="8">
        <v>0</v>
      </c>
      <c r="AR26" s="8">
        <v>1459</v>
      </c>
      <c r="AS26" s="202">
        <v>8379</v>
      </c>
      <c r="AT26" s="54">
        <v>1564</v>
      </c>
      <c r="AU26" s="8">
        <v>860</v>
      </c>
      <c r="AV26" s="8">
        <v>1383</v>
      </c>
      <c r="AW26" s="8">
        <v>4792</v>
      </c>
      <c r="AX26" s="8">
        <v>665</v>
      </c>
      <c r="AY26" s="8">
        <v>1676</v>
      </c>
      <c r="AZ26" s="8">
        <v>4667</v>
      </c>
      <c r="BA26" s="8">
        <v>3980</v>
      </c>
      <c r="BB26" s="8">
        <v>4792</v>
      </c>
      <c r="BC26" s="8">
        <v>860</v>
      </c>
      <c r="BD26" s="8">
        <v>0</v>
      </c>
      <c r="BE26" s="8">
        <v>292</v>
      </c>
      <c r="BF26" s="202">
        <v>4792</v>
      </c>
    </row>
    <row r="27" spans="1:58" ht="14.25" x14ac:dyDescent="0.45">
      <c r="A27" t="s">
        <v>288</v>
      </c>
      <c r="B27" t="s">
        <v>289</v>
      </c>
      <c r="C27" t="s">
        <v>256</v>
      </c>
      <c r="D27" t="s">
        <v>199</v>
      </c>
      <c r="E27" t="s">
        <v>293</v>
      </c>
      <c r="F27" s="55">
        <v>0</v>
      </c>
      <c r="G27" s="51">
        <v>0</v>
      </c>
      <c r="H27" s="56"/>
      <c r="I27" s="51">
        <v>0</v>
      </c>
      <c r="J27" s="51">
        <v>0</v>
      </c>
      <c r="K27" s="51">
        <v>0</v>
      </c>
      <c r="L27" s="51">
        <v>0</v>
      </c>
      <c r="M27" s="51">
        <v>0</v>
      </c>
      <c r="N27" s="51">
        <v>0</v>
      </c>
      <c r="O27" s="51">
        <v>0</v>
      </c>
      <c r="P27" s="51">
        <v>0</v>
      </c>
      <c r="Q27" s="51">
        <v>0</v>
      </c>
      <c r="R27" s="51">
        <v>0</v>
      </c>
      <c r="S27" s="51"/>
      <c r="T27" s="51">
        <v>0</v>
      </c>
      <c r="U27" s="57"/>
      <c r="V27" s="51"/>
      <c r="W27" s="51"/>
      <c r="X27" s="51"/>
      <c r="Y27" s="51"/>
      <c r="Z27" s="51"/>
      <c r="AA27" s="51"/>
      <c r="AB27" s="51"/>
      <c r="AC27" s="51"/>
      <c r="AD27" s="51"/>
      <c r="AE27" s="51"/>
      <c r="AF27" s="51"/>
      <c r="AG27" s="57">
        <v>0</v>
      </c>
      <c r="AH27" s="51">
        <v>0</v>
      </c>
      <c r="AI27" s="51">
        <v>0</v>
      </c>
      <c r="AJ27" s="51">
        <v>0</v>
      </c>
      <c r="AK27" s="51">
        <v>0</v>
      </c>
      <c r="AL27" s="51">
        <v>0</v>
      </c>
      <c r="AM27" s="51">
        <v>0</v>
      </c>
      <c r="AN27" s="51">
        <v>0</v>
      </c>
      <c r="AO27" s="51">
        <v>0</v>
      </c>
      <c r="AP27" s="51">
        <v>0</v>
      </c>
      <c r="AQ27" s="51">
        <v>0</v>
      </c>
      <c r="AR27" s="51">
        <v>0</v>
      </c>
      <c r="AS27" s="201">
        <v>0</v>
      </c>
      <c r="AT27" s="57">
        <v>0</v>
      </c>
      <c r="AU27" s="51">
        <v>0</v>
      </c>
      <c r="AV27" s="51">
        <v>0</v>
      </c>
      <c r="AW27" s="51">
        <v>0</v>
      </c>
      <c r="AX27" s="51">
        <v>0</v>
      </c>
      <c r="AY27" s="51">
        <v>0</v>
      </c>
      <c r="AZ27" s="51">
        <v>0</v>
      </c>
      <c r="BA27" s="51">
        <v>0</v>
      </c>
      <c r="BB27" s="51">
        <v>0</v>
      </c>
      <c r="BC27" s="51">
        <v>0</v>
      </c>
      <c r="BD27" s="51">
        <v>0</v>
      </c>
      <c r="BE27" s="51">
        <v>0</v>
      </c>
      <c r="BF27" s="201">
        <v>0</v>
      </c>
    </row>
    <row r="28" spans="1:58" ht="14.25" x14ac:dyDescent="0.45">
      <c r="A28" t="s">
        <v>288</v>
      </c>
      <c r="B28" t="s">
        <v>289</v>
      </c>
      <c r="C28" t="s">
        <v>294</v>
      </c>
      <c r="D28" t="s">
        <v>196</v>
      </c>
      <c r="E28" t="s">
        <v>295</v>
      </c>
      <c r="F28" s="10">
        <v>39435</v>
      </c>
      <c r="G28" s="8">
        <v>139009.71428571464</v>
      </c>
      <c r="H28" s="9">
        <v>178444.71428571464</v>
      </c>
      <c r="I28" s="8">
        <v>6543</v>
      </c>
      <c r="J28" s="8">
        <v>22056</v>
      </c>
      <c r="K28" s="8">
        <v>107840</v>
      </c>
      <c r="L28" s="8">
        <v>84670</v>
      </c>
      <c r="M28" s="8">
        <v>68843</v>
      </c>
      <c r="N28" s="8">
        <v>127095</v>
      </c>
      <c r="O28" s="8">
        <v>84670</v>
      </c>
      <c r="P28" s="8">
        <v>33374</v>
      </c>
      <c r="Q28" s="8">
        <v>54492</v>
      </c>
      <c r="R28" s="8">
        <v>22056</v>
      </c>
      <c r="S28" s="8"/>
      <c r="T28" s="8">
        <v>127095</v>
      </c>
      <c r="U28" s="167">
        <v>4</v>
      </c>
      <c r="V28" s="52">
        <v>4</v>
      </c>
      <c r="W28" s="52">
        <v>4</v>
      </c>
      <c r="X28" s="52">
        <v>4</v>
      </c>
      <c r="Y28" s="52">
        <v>4</v>
      </c>
      <c r="Z28" s="52">
        <v>4</v>
      </c>
      <c r="AA28" s="52">
        <v>4</v>
      </c>
      <c r="AB28" s="52">
        <v>3</v>
      </c>
      <c r="AC28" s="52">
        <v>4</v>
      </c>
      <c r="AD28" s="52">
        <v>4</v>
      </c>
      <c r="AE28" s="52">
        <v>4</v>
      </c>
      <c r="AF28" s="8">
        <v>4</v>
      </c>
      <c r="AG28" s="54">
        <v>5889</v>
      </c>
      <c r="AH28" s="8">
        <v>22056</v>
      </c>
      <c r="AI28" s="8">
        <v>70516</v>
      </c>
      <c r="AJ28" s="8">
        <v>29635</v>
      </c>
      <c r="AK28" s="8">
        <v>13279</v>
      </c>
      <c r="AL28" s="8">
        <v>127095</v>
      </c>
      <c r="AM28" s="8">
        <v>29635</v>
      </c>
      <c r="AN28" s="8">
        <v>14977</v>
      </c>
      <c r="AO28" s="8">
        <v>27246</v>
      </c>
      <c r="AP28" s="8">
        <v>22056</v>
      </c>
      <c r="AQ28" s="8">
        <v>0</v>
      </c>
      <c r="AR28" s="8">
        <v>6929</v>
      </c>
      <c r="AS28" s="202">
        <v>127095</v>
      </c>
      <c r="AT28" s="54">
        <v>5889</v>
      </c>
      <c r="AU28" s="8">
        <v>22056</v>
      </c>
      <c r="AV28" s="8">
        <v>70516</v>
      </c>
      <c r="AW28" s="8">
        <v>29635</v>
      </c>
      <c r="AX28" s="8">
        <v>13279</v>
      </c>
      <c r="AY28" s="8">
        <v>127095</v>
      </c>
      <c r="AZ28" s="8">
        <v>29635</v>
      </c>
      <c r="BA28" s="8">
        <v>2995</v>
      </c>
      <c r="BB28" s="8">
        <v>27246</v>
      </c>
      <c r="BC28" s="8">
        <v>22056</v>
      </c>
      <c r="BD28" s="8">
        <v>0</v>
      </c>
      <c r="BE28" s="8">
        <v>6929</v>
      </c>
      <c r="BF28" s="202">
        <v>127095</v>
      </c>
    </row>
    <row r="29" spans="1:58" ht="14.25" x14ac:dyDescent="0.45">
      <c r="A29" t="s">
        <v>296</v>
      </c>
      <c r="B29" t="s">
        <v>297</v>
      </c>
      <c r="C29" t="s">
        <v>245</v>
      </c>
      <c r="D29" t="s">
        <v>199</v>
      </c>
      <c r="E29" t="s">
        <v>298</v>
      </c>
      <c r="F29" s="55">
        <v>0</v>
      </c>
      <c r="G29" s="51">
        <v>0</v>
      </c>
      <c r="H29" s="56"/>
      <c r="I29" s="51">
        <v>0</v>
      </c>
      <c r="J29" s="51">
        <v>0</v>
      </c>
      <c r="K29" s="51">
        <v>0</v>
      </c>
      <c r="L29" s="51">
        <v>0</v>
      </c>
      <c r="M29" s="51">
        <v>0</v>
      </c>
      <c r="N29" s="51">
        <v>0</v>
      </c>
      <c r="O29" s="51">
        <v>0</v>
      </c>
      <c r="P29" s="51">
        <v>0</v>
      </c>
      <c r="Q29" s="51">
        <v>0</v>
      </c>
      <c r="R29" s="51">
        <v>0</v>
      </c>
      <c r="S29" s="51"/>
      <c r="T29" s="51">
        <v>0</v>
      </c>
      <c r="U29" s="57"/>
      <c r="V29" s="51"/>
      <c r="W29" s="51"/>
      <c r="X29" s="51"/>
      <c r="Y29" s="51"/>
      <c r="Z29" s="51"/>
      <c r="AA29" s="51"/>
      <c r="AB29" s="51"/>
      <c r="AC29" s="51"/>
      <c r="AD29" s="51"/>
      <c r="AE29" s="51"/>
      <c r="AF29" s="51"/>
      <c r="AG29" s="57">
        <v>0</v>
      </c>
      <c r="AH29" s="51">
        <v>0</v>
      </c>
      <c r="AI29" s="51">
        <v>0</v>
      </c>
      <c r="AJ29" s="51">
        <v>0</v>
      </c>
      <c r="AK29" s="51">
        <v>0</v>
      </c>
      <c r="AL29" s="51">
        <v>0</v>
      </c>
      <c r="AM29" s="51">
        <v>0</v>
      </c>
      <c r="AN29" s="51">
        <v>0</v>
      </c>
      <c r="AO29" s="51">
        <v>0</v>
      </c>
      <c r="AP29" s="51">
        <v>0</v>
      </c>
      <c r="AQ29" s="51">
        <v>0</v>
      </c>
      <c r="AR29" s="51">
        <v>0</v>
      </c>
      <c r="AS29" s="201">
        <v>0</v>
      </c>
      <c r="AT29" s="57">
        <v>0</v>
      </c>
      <c r="AU29" s="51">
        <v>0</v>
      </c>
      <c r="AV29" s="51">
        <v>0</v>
      </c>
      <c r="AW29" s="51">
        <v>0</v>
      </c>
      <c r="AX29" s="51">
        <v>0</v>
      </c>
      <c r="AY29" s="51">
        <v>0</v>
      </c>
      <c r="AZ29" s="51">
        <v>0</v>
      </c>
      <c r="BA29" s="51">
        <v>0</v>
      </c>
      <c r="BB29" s="51">
        <v>0</v>
      </c>
      <c r="BC29" s="51">
        <v>0</v>
      </c>
      <c r="BD29" s="51">
        <v>0</v>
      </c>
      <c r="BE29" s="51">
        <v>0</v>
      </c>
      <c r="BF29" s="201">
        <v>0</v>
      </c>
    </row>
    <row r="30" spans="1:58" ht="14.25" x14ac:dyDescent="0.45">
      <c r="A30" t="s">
        <v>299</v>
      </c>
      <c r="B30" t="s">
        <v>300</v>
      </c>
      <c r="C30" t="s">
        <v>245</v>
      </c>
      <c r="D30" t="s">
        <v>199</v>
      </c>
      <c r="E30" t="s">
        <v>301</v>
      </c>
      <c r="F30" s="55">
        <v>0</v>
      </c>
      <c r="G30" s="51">
        <v>0</v>
      </c>
      <c r="H30" s="56"/>
      <c r="I30" s="51">
        <v>0</v>
      </c>
      <c r="J30" s="51">
        <v>0</v>
      </c>
      <c r="K30" s="51">
        <v>0</v>
      </c>
      <c r="L30" s="51">
        <v>0</v>
      </c>
      <c r="M30" s="51">
        <v>0</v>
      </c>
      <c r="N30" s="51">
        <v>0</v>
      </c>
      <c r="O30" s="51">
        <v>0</v>
      </c>
      <c r="P30" s="51">
        <v>0</v>
      </c>
      <c r="Q30" s="51">
        <v>0</v>
      </c>
      <c r="R30" s="51">
        <v>0</v>
      </c>
      <c r="S30" s="51"/>
      <c r="T30" s="51">
        <v>0</v>
      </c>
      <c r="U30" s="57"/>
      <c r="V30" s="51"/>
      <c r="W30" s="51"/>
      <c r="X30" s="51"/>
      <c r="Y30" s="51"/>
      <c r="Z30" s="51"/>
      <c r="AA30" s="51"/>
      <c r="AB30" s="51"/>
      <c r="AC30" s="51"/>
      <c r="AD30" s="51"/>
      <c r="AE30" s="51"/>
      <c r="AF30" s="51"/>
      <c r="AG30" s="57">
        <v>0</v>
      </c>
      <c r="AH30" s="51">
        <v>0</v>
      </c>
      <c r="AI30" s="51">
        <v>0</v>
      </c>
      <c r="AJ30" s="51">
        <v>0</v>
      </c>
      <c r="AK30" s="51">
        <v>0</v>
      </c>
      <c r="AL30" s="51">
        <v>0</v>
      </c>
      <c r="AM30" s="51">
        <v>0</v>
      </c>
      <c r="AN30" s="51">
        <v>0</v>
      </c>
      <c r="AO30" s="51">
        <v>0</v>
      </c>
      <c r="AP30" s="51">
        <v>0</v>
      </c>
      <c r="AQ30" s="51">
        <v>0</v>
      </c>
      <c r="AR30" s="51">
        <v>0</v>
      </c>
      <c r="AS30" s="201">
        <v>0</v>
      </c>
      <c r="AT30" s="57">
        <v>0</v>
      </c>
      <c r="AU30" s="51">
        <v>0</v>
      </c>
      <c r="AV30" s="51">
        <v>0</v>
      </c>
      <c r="AW30" s="51">
        <v>0</v>
      </c>
      <c r="AX30" s="51">
        <v>0</v>
      </c>
      <c r="AY30" s="51">
        <v>0</v>
      </c>
      <c r="AZ30" s="51">
        <v>0</v>
      </c>
      <c r="BA30" s="51">
        <v>0</v>
      </c>
      <c r="BB30" s="51">
        <v>0</v>
      </c>
      <c r="BC30" s="51">
        <v>0</v>
      </c>
      <c r="BD30" s="51">
        <v>0</v>
      </c>
      <c r="BE30" s="51">
        <v>0</v>
      </c>
      <c r="BF30" s="201">
        <v>0</v>
      </c>
    </row>
    <row r="31" spans="1:58" ht="14.25" x14ac:dyDescent="0.45">
      <c r="A31" t="s">
        <v>302</v>
      </c>
      <c r="B31" t="s">
        <v>303</v>
      </c>
      <c r="C31" t="s">
        <v>245</v>
      </c>
      <c r="D31" t="s">
        <v>199</v>
      </c>
      <c r="E31" t="s">
        <v>304</v>
      </c>
      <c r="F31" s="55">
        <v>0</v>
      </c>
      <c r="G31" s="51">
        <v>0</v>
      </c>
      <c r="H31" s="56"/>
      <c r="I31" s="51">
        <v>0</v>
      </c>
      <c r="J31" s="51">
        <v>0</v>
      </c>
      <c r="K31" s="51">
        <v>0</v>
      </c>
      <c r="L31" s="51">
        <v>0</v>
      </c>
      <c r="M31" s="51">
        <v>0</v>
      </c>
      <c r="N31" s="51">
        <v>0</v>
      </c>
      <c r="O31" s="51">
        <v>0</v>
      </c>
      <c r="P31" s="51">
        <v>0</v>
      </c>
      <c r="Q31" s="51">
        <v>0</v>
      </c>
      <c r="R31" s="51">
        <v>0</v>
      </c>
      <c r="S31" s="51"/>
      <c r="T31" s="51">
        <v>0</v>
      </c>
      <c r="U31" s="57"/>
      <c r="V31" s="51"/>
      <c r="W31" s="51"/>
      <c r="X31" s="51"/>
      <c r="Y31" s="51"/>
      <c r="Z31" s="51"/>
      <c r="AA31" s="51"/>
      <c r="AB31" s="51"/>
      <c r="AC31" s="51"/>
      <c r="AD31" s="51"/>
      <c r="AE31" s="51"/>
      <c r="AF31" s="51"/>
      <c r="AG31" s="57">
        <v>0</v>
      </c>
      <c r="AH31" s="51">
        <v>0</v>
      </c>
      <c r="AI31" s="51">
        <v>0</v>
      </c>
      <c r="AJ31" s="51">
        <v>0</v>
      </c>
      <c r="AK31" s="51">
        <v>0</v>
      </c>
      <c r="AL31" s="51">
        <v>0</v>
      </c>
      <c r="AM31" s="51">
        <v>0</v>
      </c>
      <c r="AN31" s="51">
        <v>0</v>
      </c>
      <c r="AO31" s="51">
        <v>0</v>
      </c>
      <c r="AP31" s="51">
        <v>0</v>
      </c>
      <c r="AQ31" s="51">
        <v>0</v>
      </c>
      <c r="AR31" s="51">
        <v>0</v>
      </c>
      <c r="AS31" s="201">
        <v>0</v>
      </c>
      <c r="AT31" s="57">
        <v>0</v>
      </c>
      <c r="AU31" s="51">
        <v>0</v>
      </c>
      <c r="AV31" s="51">
        <v>0</v>
      </c>
      <c r="AW31" s="51">
        <v>0</v>
      </c>
      <c r="AX31" s="51">
        <v>0</v>
      </c>
      <c r="AY31" s="51">
        <v>0</v>
      </c>
      <c r="AZ31" s="51">
        <v>0</v>
      </c>
      <c r="BA31" s="51">
        <v>0</v>
      </c>
      <c r="BB31" s="51">
        <v>0</v>
      </c>
      <c r="BC31" s="51">
        <v>0</v>
      </c>
      <c r="BD31" s="51">
        <v>0</v>
      </c>
      <c r="BE31" s="51">
        <v>0</v>
      </c>
      <c r="BF31" s="201">
        <v>0</v>
      </c>
    </row>
    <row r="32" spans="1:58" ht="14.25" x14ac:dyDescent="0.45">
      <c r="A32" t="s">
        <v>305</v>
      </c>
      <c r="B32" t="s">
        <v>306</v>
      </c>
      <c r="C32" t="s">
        <v>307</v>
      </c>
      <c r="D32" t="s">
        <v>193</v>
      </c>
      <c r="E32" t="s">
        <v>308</v>
      </c>
      <c r="F32" s="10">
        <v>14447</v>
      </c>
      <c r="G32" s="8">
        <v>107044</v>
      </c>
      <c r="H32" s="9">
        <v>121491</v>
      </c>
      <c r="I32" s="8">
        <v>5497</v>
      </c>
      <c r="J32" s="8">
        <v>18833</v>
      </c>
      <c r="K32" s="8">
        <v>83042</v>
      </c>
      <c r="L32" s="8">
        <v>90509</v>
      </c>
      <c r="M32" s="8">
        <v>79298</v>
      </c>
      <c r="N32" s="8">
        <v>61493</v>
      </c>
      <c r="O32" s="8">
        <v>90509</v>
      </c>
      <c r="P32" s="8">
        <v>27138</v>
      </c>
      <c r="Q32" s="8">
        <v>41961</v>
      </c>
      <c r="R32" s="8">
        <v>18833</v>
      </c>
      <c r="S32" s="8"/>
      <c r="T32" s="8">
        <v>90509</v>
      </c>
      <c r="U32" s="167">
        <v>5</v>
      </c>
      <c r="V32" s="52">
        <v>4</v>
      </c>
      <c r="W32" s="52">
        <v>4</v>
      </c>
      <c r="X32" s="52">
        <v>4</v>
      </c>
      <c r="Y32" s="52">
        <v>5</v>
      </c>
      <c r="Z32" s="52">
        <v>4</v>
      </c>
      <c r="AA32" s="52">
        <v>4</v>
      </c>
      <c r="AB32" s="52">
        <v>5</v>
      </c>
      <c r="AC32" s="52">
        <v>4</v>
      </c>
      <c r="AD32" s="52">
        <v>4</v>
      </c>
      <c r="AE32" s="52">
        <v>4</v>
      </c>
      <c r="AF32" s="8">
        <v>5</v>
      </c>
      <c r="AG32" s="54">
        <v>4947</v>
      </c>
      <c r="AH32" s="8">
        <v>18833</v>
      </c>
      <c r="AI32" s="8">
        <v>45457</v>
      </c>
      <c r="AJ32" s="8">
        <v>31678</v>
      </c>
      <c r="AK32" s="8">
        <v>46223</v>
      </c>
      <c r="AL32" s="8">
        <v>61493</v>
      </c>
      <c r="AM32" s="8">
        <v>31678</v>
      </c>
      <c r="AN32" s="8">
        <v>24400</v>
      </c>
      <c r="AO32" s="8">
        <v>2098</v>
      </c>
      <c r="AP32" s="8">
        <v>18833</v>
      </c>
      <c r="AQ32" s="8">
        <v>0</v>
      </c>
      <c r="AR32" s="8">
        <v>72263</v>
      </c>
      <c r="AS32" s="202">
        <v>72263</v>
      </c>
      <c r="AT32" s="54">
        <v>4947</v>
      </c>
      <c r="AU32" s="8">
        <v>18833</v>
      </c>
      <c r="AV32" s="8">
        <v>45457</v>
      </c>
      <c r="AW32" s="8">
        <v>31678</v>
      </c>
      <c r="AX32" s="8">
        <v>46223</v>
      </c>
      <c r="AY32" s="8">
        <v>61493</v>
      </c>
      <c r="AZ32" s="8">
        <v>31678</v>
      </c>
      <c r="BA32" s="8">
        <v>24400</v>
      </c>
      <c r="BB32" s="8">
        <v>2098</v>
      </c>
      <c r="BC32" s="8">
        <v>18833</v>
      </c>
      <c r="BD32" s="8">
        <v>0</v>
      </c>
      <c r="BE32" s="8">
        <v>72263</v>
      </c>
      <c r="BF32" s="202">
        <v>72263</v>
      </c>
    </row>
    <row r="33" spans="1:58" ht="14.25" x14ac:dyDescent="0.45">
      <c r="A33" t="s">
        <v>305</v>
      </c>
      <c r="B33" t="s">
        <v>306</v>
      </c>
      <c r="C33" t="s">
        <v>254</v>
      </c>
      <c r="D33" t="s">
        <v>196</v>
      </c>
      <c r="E33" t="s">
        <v>309</v>
      </c>
      <c r="F33" s="10">
        <v>25722</v>
      </c>
      <c r="G33" s="8">
        <v>93192.103959224856</v>
      </c>
      <c r="H33" s="9">
        <v>118914.10395922486</v>
      </c>
      <c r="I33" s="8">
        <v>4785</v>
      </c>
      <c r="J33" s="8">
        <v>14428</v>
      </c>
      <c r="K33" s="8">
        <v>72296</v>
      </c>
      <c r="L33" s="8">
        <v>61330</v>
      </c>
      <c r="M33" s="8">
        <v>54284</v>
      </c>
      <c r="N33" s="8">
        <v>43651</v>
      </c>
      <c r="O33" s="8">
        <v>61330</v>
      </c>
      <c r="P33" s="8">
        <v>20748</v>
      </c>
      <c r="Q33" s="8">
        <v>26094</v>
      </c>
      <c r="R33" s="8">
        <v>14428</v>
      </c>
      <c r="S33" s="8"/>
      <c r="T33" s="8">
        <v>72296</v>
      </c>
      <c r="U33" s="167">
        <v>4</v>
      </c>
      <c r="V33" s="52">
        <v>3</v>
      </c>
      <c r="W33" s="52">
        <v>4</v>
      </c>
      <c r="X33" s="52">
        <v>3</v>
      </c>
      <c r="Y33" s="52">
        <v>4</v>
      </c>
      <c r="Z33" s="52">
        <v>3</v>
      </c>
      <c r="AA33" s="52">
        <v>4</v>
      </c>
      <c r="AB33" s="52">
        <v>3</v>
      </c>
      <c r="AC33" s="52">
        <v>3</v>
      </c>
      <c r="AD33" s="52">
        <v>3</v>
      </c>
      <c r="AE33" s="52">
        <v>3</v>
      </c>
      <c r="AF33" s="8">
        <v>3</v>
      </c>
      <c r="AG33" s="54">
        <v>4307</v>
      </c>
      <c r="AH33" s="8">
        <v>14428</v>
      </c>
      <c r="AI33" s="8">
        <v>47756</v>
      </c>
      <c r="AJ33" s="8">
        <v>21466</v>
      </c>
      <c r="AK33" s="8">
        <v>21290</v>
      </c>
      <c r="AL33" s="8">
        <v>21825</v>
      </c>
      <c r="AM33" s="8">
        <v>21466</v>
      </c>
      <c r="AN33" s="8">
        <v>9262</v>
      </c>
      <c r="AO33" s="8">
        <v>7828</v>
      </c>
      <c r="AP33" s="8">
        <v>14428</v>
      </c>
      <c r="AQ33" s="8">
        <v>0</v>
      </c>
      <c r="AR33" s="8">
        <v>4337</v>
      </c>
      <c r="AS33" s="202">
        <v>47756</v>
      </c>
      <c r="AT33" s="54">
        <v>4307</v>
      </c>
      <c r="AU33" s="8">
        <v>2886</v>
      </c>
      <c r="AV33" s="8">
        <v>47756</v>
      </c>
      <c r="AW33" s="8">
        <v>21466</v>
      </c>
      <c r="AX33" s="8">
        <v>21290</v>
      </c>
      <c r="AY33" s="8">
        <v>4365</v>
      </c>
      <c r="AZ33" s="8">
        <v>21466</v>
      </c>
      <c r="BA33" s="8">
        <v>1852</v>
      </c>
      <c r="BB33" s="8">
        <v>1566</v>
      </c>
      <c r="BC33" s="8">
        <v>2886</v>
      </c>
      <c r="BD33" s="8">
        <v>0</v>
      </c>
      <c r="BE33" s="8">
        <v>867</v>
      </c>
      <c r="BF33" s="202">
        <v>47756</v>
      </c>
    </row>
    <row r="34" spans="1:58" ht="14.25" x14ac:dyDescent="0.45">
      <c r="A34" t="s">
        <v>305</v>
      </c>
      <c r="B34" t="s">
        <v>306</v>
      </c>
      <c r="C34" t="s">
        <v>256</v>
      </c>
      <c r="D34" t="s">
        <v>199</v>
      </c>
      <c r="E34" t="s">
        <v>310</v>
      </c>
      <c r="F34" s="55">
        <v>0</v>
      </c>
      <c r="G34" s="51">
        <v>0</v>
      </c>
      <c r="H34" s="56"/>
      <c r="I34" s="51">
        <v>0</v>
      </c>
      <c r="J34" s="51">
        <v>0</v>
      </c>
      <c r="K34" s="51">
        <v>0</v>
      </c>
      <c r="L34" s="51">
        <v>0</v>
      </c>
      <c r="M34" s="51">
        <v>0</v>
      </c>
      <c r="N34" s="51">
        <v>0</v>
      </c>
      <c r="O34" s="51">
        <v>0</v>
      </c>
      <c r="P34" s="51">
        <v>0</v>
      </c>
      <c r="Q34" s="51">
        <v>0</v>
      </c>
      <c r="R34" s="51">
        <v>0</v>
      </c>
      <c r="S34" s="51"/>
      <c r="T34" s="51">
        <v>0</v>
      </c>
      <c r="U34" s="57"/>
      <c r="V34" s="51"/>
      <c r="W34" s="51"/>
      <c r="X34" s="51"/>
      <c r="Y34" s="51"/>
      <c r="Z34" s="51"/>
      <c r="AA34" s="51"/>
      <c r="AB34" s="51"/>
      <c r="AC34" s="51"/>
      <c r="AD34" s="51"/>
      <c r="AE34" s="51"/>
      <c r="AF34" s="51"/>
      <c r="AG34" s="57">
        <v>0</v>
      </c>
      <c r="AH34" s="51">
        <v>0</v>
      </c>
      <c r="AI34" s="51">
        <v>0</v>
      </c>
      <c r="AJ34" s="51">
        <v>0</v>
      </c>
      <c r="AK34" s="51">
        <v>0</v>
      </c>
      <c r="AL34" s="51">
        <v>0</v>
      </c>
      <c r="AM34" s="51">
        <v>0</v>
      </c>
      <c r="AN34" s="51">
        <v>0</v>
      </c>
      <c r="AO34" s="51">
        <v>0</v>
      </c>
      <c r="AP34" s="51">
        <v>0</v>
      </c>
      <c r="AQ34" s="51">
        <v>0</v>
      </c>
      <c r="AR34" s="51">
        <v>0</v>
      </c>
      <c r="AS34" s="201">
        <v>0</v>
      </c>
      <c r="AT34" s="57">
        <v>0</v>
      </c>
      <c r="AU34" s="51">
        <v>0</v>
      </c>
      <c r="AV34" s="51">
        <v>0</v>
      </c>
      <c r="AW34" s="51">
        <v>0</v>
      </c>
      <c r="AX34" s="51">
        <v>0</v>
      </c>
      <c r="AY34" s="51">
        <v>0</v>
      </c>
      <c r="AZ34" s="51">
        <v>0</v>
      </c>
      <c r="BA34" s="51">
        <v>0</v>
      </c>
      <c r="BB34" s="51">
        <v>0</v>
      </c>
      <c r="BC34" s="51">
        <v>0</v>
      </c>
      <c r="BD34" s="51">
        <v>0</v>
      </c>
      <c r="BE34" s="51">
        <v>0</v>
      </c>
      <c r="BF34" s="201">
        <v>0</v>
      </c>
    </row>
    <row r="35" spans="1:58" ht="14.25" x14ac:dyDescent="0.45">
      <c r="A35" t="s">
        <v>305</v>
      </c>
      <c r="B35" t="s">
        <v>306</v>
      </c>
      <c r="C35" t="s">
        <v>311</v>
      </c>
      <c r="D35" t="s">
        <v>193</v>
      </c>
      <c r="E35" t="s">
        <v>312</v>
      </c>
      <c r="F35" s="10">
        <v>25799</v>
      </c>
      <c r="G35" s="8">
        <v>231388</v>
      </c>
      <c r="H35" s="9">
        <v>257187</v>
      </c>
      <c r="I35" s="8">
        <v>14258</v>
      </c>
      <c r="J35" s="8">
        <v>29927</v>
      </c>
      <c r="K35" s="8">
        <v>179505</v>
      </c>
      <c r="L35" s="8">
        <v>175040</v>
      </c>
      <c r="M35" s="8">
        <v>126212</v>
      </c>
      <c r="N35" s="8">
        <v>231388</v>
      </c>
      <c r="O35" s="8">
        <v>175040</v>
      </c>
      <c r="P35" s="8">
        <v>62202</v>
      </c>
      <c r="Q35" s="8">
        <v>90704</v>
      </c>
      <c r="R35" s="8">
        <v>29927</v>
      </c>
      <c r="S35" s="8"/>
      <c r="T35" s="8">
        <v>231388</v>
      </c>
      <c r="U35" s="167">
        <v>4</v>
      </c>
      <c r="V35" s="52">
        <v>4</v>
      </c>
      <c r="W35" s="52">
        <v>3</v>
      </c>
      <c r="X35" s="52">
        <v>4</v>
      </c>
      <c r="Y35" s="52">
        <v>5</v>
      </c>
      <c r="Z35" s="52">
        <v>4</v>
      </c>
      <c r="AA35" s="52">
        <v>4</v>
      </c>
      <c r="AB35" s="52">
        <v>4</v>
      </c>
      <c r="AC35" s="52">
        <v>4</v>
      </c>
      <c r="AD35" s="52">
        <v>4</v>
      </c>
      <c r="AE35" s="52">
        <v>4</v>
      </c>
      <c r="AF35" s="8">
        <v>4</v>
      </c>
      <c r="AG35" s="54">
        <v>12832</v>
      </c>
      <c r="AH35" s="8">
        <v>29927</v>
      </c>
      <c r="AI35" s="8">
        <v>65435</v>
      </c>
      <c r="AJ35" s="8">
        <v>61264</v>
      </c>
      <c r="AK35" s="8">
        <v>44472</v>
      </c>
      <c r="AL35" s="8">
        <v>231388</v>
      </c>
      <c r="AM35" s="8">
        <v>61264</v>
      </c>
      <c r="AN35" s="8">
        <v>55925</v>
      </c>
      <c r="AO35" s="8">
        <v>4535</v>
      </c>
      <c r="AP35" s="8">
        <v>29927</v>
      </c>
      <c r="AQ35" s="8">
        <v>0</v>
      </c>
      <c r="AR35" s="8">
        <v>70142</v>
      </c>
      <c r="AS35" s="202">
        <v>231388</v>
      </c>
      <c r="AT35" s="54">
        <v>12832</v>
      </c>
      <c r="AU35" s="8">
        <v>29927</v>
      </c>
      <c r="AV35" s="8">
        <v>13087</v>
      </c>
      <c r="AW35" s="8">
        <v>61264</v>
      </c>
      <c r="AX35" s="8">
        <v>44472</v>
      </c>
      <c r="AY35" s="8">
        <v>231388</v>
      </c>
      <c r="AZ35" s="8">
        <v>61264</v>
      </c>
      <c r="BA35" s="8">
        <v>55925</v>
      </c>
      <c r="BB35" s="8">
        <v>4535</v>
      </c>
      <c r="BC35" s="8">
        <v>29927</v>
      </c>
      <c r="BD35" s="8">
        <v>0</v>
      </c>
      <c r="BE35" s="8">
        <v>70142</v>
      </c>
      <c r="BF35" s="202">
        <v>231388</v>
      </c>
    </row>
    <row r="36" spans="1:58" ht="14.25" x14ac:dyDescent="0.45">
      <c r="A36" t="s">
        <v>313</v>
      </c>
      <c r="B36" t="s">
        <v>314</v>
      </c>
      <c r="C36" t="s">
        <v>245</v>
      </c>
      <c r="D36" t="s">
        <v>199</v>
      </c>
      <c r="E36" t="s">
        <v>315</v>
      </c>
      <c r="F36" s="55">
        <v>0</v>
      </c>
      <c r="G36" s="51">
        <v>0</v>
      </c>
      <c r="H36" s="56"/>
      <c r="I36" s="51">
        <v>0</v>
      </c>
      <c r="J36" s="51">
        <v>0</v>
      </c>
      <c r="K36" s="51">
        <v>0</v>
      </c>
      <c r="L36" s="51">
        <v>0</v>
      </c>
      <c r="M36" s="51">
        <v>0</v>
      </c>
      <c r="N36" s="51">
        <v>0</v>
      </c>
      <c r="O36" s="51">
        <v>0</v>
      </c>
      <c r="P36" s="51">
        <v>0</v>
      </c>
      <c r="Q36" s="51">
        <v>0</v>
      </c>
      <c r="R36" s="51">
        <v>0</v>
      </c>
      <c r="S36" s="51"/>
      <c r="T36" s="51">
        <v>0</v>
      </c>
      <c r="U36" s="57"/>
      <c r="V36" s="51"/>
      <c r="W36" s="51"/>
      <c r="X36" s="51"/>
      <c r="Y36" s="51"/>
      <c r="Z36" s="51"/>
      <c r="AA36" s="51"/>
      <c r="AB36" s="51"/>
      <c r="AC36" s="51"/>
      <c r="AD36" s="51"/>
      <c r="AE36" s="51"/>
      <c r="AF36" s="51"/>
      <c r="AG36" s="57">
        <v>0</v>
      </c>
      <c r="AH36" s="51">
        <v>0</v>
      </c>
      <c r="AI36" s="51">
        <v>0</v>
      </c>
      <c r="AJ36" s="51">
        <v>0</v>
      </c>
      <c r="AK36" s="51">
        <v>0</v>
      </c>
      <c r="AL36" s="51">
        <v>0</v>
      </c>
      <c r="AM36" s="51">
        <v>0</v>
      </c>
      <c r="AN36" s="51">
        <v>0</v>
      </c>
      <c r="AO36" s="51">
        <v>0</v>
      </c>
      <c r="AP36" s="51">
        <v>0</v>
      </c>
      <c r="AQ36" s="51">
        <v>0</v>
      </c>
      <c r="AR36" s="51">
        <v>0</v>
      </c>
      <c r="AS36" s="201">
        <v>0</v>
      </c>
      <c r="AT36" s="57">
        <v>0</v>
      </c>
      <c r="AU36" s="51">
        <v>0</v>
      </c>
      <c r="AV36" s="51">
        <v>0</v>
      </c>
      <c r="AW36" s="51">
        <v>0</v>
      </c>
      <c r="AX36" s="51">
        <v>0</v>
      </c>
      <c r="AY36" s="51">
        <v>0</v>
      </c>
      <c r="AZ36" s="51">
        <v>0</v>
      </c>
      <c r="BA36" s="51">
        <v>0</v>
      </c>
      <c r="BB36" s="51">
        <v>0</v>
      </c>
      <c r="BC36" s="51">
        <v>0</v>
      </c>
      <c r="BD36" s="51">
        <v>0</v>
      </c>
      <c r="BE36" s="51">
        <v>0</v>
      </c>
      <c r="BF36" s="201">
        <v>0</v>
      </c>
    </row>
    <row r="37" spans="1:58" ht="14.25" x14ac:dyDescent="0.45">
      <c r="A37" t="s">
        <v>316</v>
      </c>
      <c r="B37" t="s">
        <v>317</v>
      </c>
      <c r="C37" t="s">
        <v>252</v>
      </c>
      <c r="D37" t="s">
        <v>193</v>
      </c>
      <c r="E37" t="s">
        <v>318</v>
      </c>
      <c r="F37" s="10">
        <v>29217</v>
      </c>
      <c r="G37" s="8">
        <v>173398</v>
      </c>
      <c r="H37" s="9">
        <v>202615</v>
      </c>
      <c r="I37" s="8">
        <v>4749</v>
      </c>
      <c r="J37" s="8">
        <v>64082</v>
      </c>
      <c r="K37" s="8">
        <v>134518</v>
      </c>
      <c r="L37" s="8">
        <v>128523</v>
      </c>
      <c r="M37" s="8">
        <v>121890</v>
      </c>
      <c r="N37" s="8">
        <v>134865</v>
      </c>
      <c r="O37" s="8">
        <v>128523</v>
      </c>
      <c r="P37" s="8">
        <v>41372</v>
      </c>
      <c r="Q37" s="8">
        <v>65544</v>
      </c>
      <c r="R37" s="8">
        <v>64082</v>
      </c>
      <c r="S37" s="8"/>
      <c r="T37" s="8">
        <v>134865</v>
      </c>
      <c r="U37" s="167">
        <v>5</v>
      </c>
      <c r="V37" s="52">
        <v>4</v>
      </c>
      <c r="W37" s="52">
        <v>4</v>
      </c>
      <c r="X37" s="52">
        <v>5</v>
      </c>
      <c r="Y37" s="52">
        <v>5</v>
      </c>
      <c r="Z37" s="52">
        <v>5</v>
      </c>
      <c r="AA37" s="52">
        <v>5</v>
      </c>
      <c r="AB37" s="52">
        <v>5</v>
      </c>
      <c r="AC37" s="52">
        <v>5</v>
      </c>
      <c r="AD37" s="52">
        <v>4</v>
      </c>
      <c r="AE37" s="52">
        <v>4</v>
      </c>
      <c r="AF37" s="8">
        <v>5</v>
      </c>
      <c r="AG37" s="54">
        <v>4274</v>
      </c>
      <c r="AH37" s="8">
        <v>64082</v>
      </c>
      <c r="AI37" s="8">
        <v>73712</v>
      </c>
      <c r="AJ37" s="8">
        <v>44983</v>
      </c>
      <c r="AK37" s="8">
        <v>52177</v>
      </c>
      <c r="AL37" s="8">
        <v>134865</v>
      </c>
      <c r="AM37" s="8">
        <v>44983</v>
      </c>
      <c r="AN37" s="8">
        <v>37059</v>
      </c>
      <c r="AO37" s="8">
        <v>3277</v>
      </c>
      <c r="AP37" s="8">
        <v>64082</v>
      </c>
      <c r="AQ37" s="8">
        <v>0</v>
      </c>
      <c r="AR37" s="8">
        <v>51643</v>
      </c>
      <c r="AS37" s="202">
        <v>134865</v>
      </c>
      <c r="AT37" s="54">
        <v>4274</v>
      </c>
      <c r="AU37" s="8">
        <v>64082</v>
      </c>
      <c r="AV37" s="8">
        <v>73712</v>
      </c>
      <c r="AW37" s="8">
        <v>44983</v>
      </c>
      <c r="AX37" s="8">
        <v>52177</v>
      </c>
      <c r="AY37" s="8">
        <v>134865</v>
      </c>
      <c r="AZ37" s="8">
        <v>44983</v>
      </c>
      <c r="BA37" s="8">
        <v>37059</v>
      </c>
      <c r="BB37" s="8">
        <v>3277</v>
      </c>
      <c r="BC37" s="8">
        <v>64082</v>
      </c>
      <c r="BD37" s="8">
        <v>0</v>
      </c>
      <c r="BE37" s="8">
        <v>51643</v>
      </c>
      <c r="BF37" s="202">
        <v>134865</v>
      </c>
    </row>
    <row r="38" spans="1:58" ht="14.25" x14ac:dyDescent="0.45">
      <c r="A38" t="s">
        <v>316</v>
      </c>
      <c r="B38" t="s">
        <v>317</v>
      </c>
      <c r="C38" t="s">
        <v>319</v>
      </c>
      <c r="D38" t="s">
        <v>196</v>
      </c>
      <c r="E38" t="s">
        <v>320</v>
      </c>
      <c r="F38" s="10">
        <v>83462</v>
      </c>
      <c r="G38" s="8">
        <v>88204.956185013609</v>
      </c>
      <c r="H38" s="9">
        <v>171666.95618501361</v>
      </c>
      <c r="I38" s="8">
        <v>4599</v>
      </c>
      <c r="J38" s="8">
        <v>20664</v>
      </c>
      <c r="K38" s="8">
        <v>68427</v>
      </c>
      <c r="L38" s="8">
        <v>66154</v>
      </c>
      <c r="M38" s="8">
        <v>61633</v>
      </c>
      <c r="N38" s="8">
        <v>56883</v>
      </c>
      <c r="O38" s="8">
        <v>66154</v>
      </c>
      <c r="P38" s="8">
        <v>21148</v>
      </c>
      <c r="Q38" s="8">
        <v>22475</v>
      </c>
      <c r="R38" s="8">
        <v>20664</v>
      </c>
      <c r="S38" s="8"/>
      <c r="T38" s="8">
        <v>68427</v>
      </c>
      <c r="U38" s="167">
        <v>4</v>
      </c>
      <c r="V38" s="52">
        <v>4</v>
      </c>
      <c r="W38" s="52">
        <v>4</v>
      </c>
      <c r="X38" s="52">
        <v>4</v>
      </c>
      <c r="Y38" s="52">
        <v>4</v>
      </c>
      <c r="Z38" s="52">
        <v>4</v>
      </c>
      <c r="AA38" s="52">
        <v>4</v>
      </c>
      <c r="AB38" s="52">
        <v>4</v>
      </c>
      <c r="AC38" s="52">
        <v>4</v>
      </c>
      <c r="AD38" s="52">
        <v>4</v>
      </c>
      <c r="AE38" s="52">
        <v>4</v>
      </c>
      <c r="AF38" s="8">
        <v>4</v>
      </c>
      <c r="AG38" s="54">
        <v>4139</v>
      </c>
      <c r="AH38" s="8">
        <v>20664</v>
      </c>
      <c r="AI38" s="8">
        <v>32150</v>
      </c>
      <c r="AJ38" s="8">
        <v>23154</v>
      </c>
      <c r="AK38" s="8">
        <v>22066</v>
      </c>
      <c r="AL38" s="8">
        <v>56883</v>
      </c>
      <c r="AM38" s="8">
        <v>23154</v>
      </c>
      <c r="AN38" s="8">
        <v>18908</v>
      </c>
      <c r="AO38" s="8">
        <v>11237</v>
      </c>
      <c r="AP38" s="8">
        <v>20664</v>
      </c>
      <c r="AQ38" s="8">
        <v>0</v>
      </c>
      <c r="AR38" s="8">
        <v>15082</v>
      </c>
      <c r="AS38" s="202">
        <v>56883</v>
      </c>
      <c r="AT38" s="54">
        <v>4139</v>
      </c>
      <c r="AU38" s="8">
        <v>20664</v>
      </c>
      <c r="AV38" s="8">
        <v>32150</v>
      </c>
      <c r="AW38" s="8">
        <v>23154</v>
      </c>
      <c r="AX38" s="8">
        <v>22066</v>
      </c>
      <c r="AY38" s="8">
        <v>56883</v>
      </c>
      <c r="AZ38" s="8">
        <v>23154</v>
      </c>
      <c r="BA38" s="8">
        <v>18908</v>
      </c>
      <c r="BB38" s="8">
        <v>11237</v>
      </c>
      <c r="BC38" s="8">
        <v>20664</v>
      </c>
      <c r="BD38" s="8">
        <v>0</v>
      </c>
      <c r="BE38" s="8">
        <v>15082</v>
      </c>
      <c r="BF38" s="202">
        <v>56883</v>
      </c>
    </row>
    <row r="39" spans="1:58" ht="14.25" x14ac:dyDescent="0.45">
      <c r="A39" t="s">
        <v>316</v>
      </c>
      <c r="B39" t="s">
        <v>317</v>
      </c>
      <c r="C39" t="s">
        <v>256</v>
      </c>
      <c r="D39" t="s">
        <v>199</v>
      </c>
      <c r="E39" t="s">
        <v>321</v>
      </c>
      <c r="F39" s="55">
        <v>0</v>
      </c>
      <c r="G39" s="51">
        <v>0</v>
      </c>
      <c r="H39" s="56"/>
      <c r="I39" s="51">
        <v>0</v>
      </c>
      <c r="J39" s="51">
        <v>0</v>
      </c>
      <c r="K39" s="51">
        <v>0</v>
      </c>
      <c r="L39" s="51">
        <v>0</v>
      </c>
      <c r="M39" s="51">
        <v>0</v>
      </c>
      <c r="N39" s="51">
        <v>0</v>
      </c>
      <c r="O39" s="51">
        <v>0</v>
      </c>
      <c r="P39" s="51">
        <v>0</v>
      </c>
      <c r="Q39" s="51">
        <v>0</v>
      </c>
      <c r="R39" s="51">
        <v>0</v>
      </c>
      <c r="S39" s="51"/>
      <c r="T39" s="51">
        <v>0</v>
      </c>
      <c r="U39" s="57"/>
      <c r="V39" s="51"/>
      <c r="W39" s="51"/>
      <c r="X39" s="51"/>
      <c r="Y39" s="51"/>
      <c r="Z39" s="51"/>
      <c r="AA39" s="51"/>
      <c r="AB39" s="51"/>
      <c r="AC39" s="51"/>
      <c r="AD39" s="51"/>
      <c r="AE39" s="51"/>
      <c r="AF39" s="51"/>
      <c r="AG39" s="57">
        <v>0</v>
      </c>
      <c r="AH39" s="51">
        <v>0</v>
      </c>
      <c r="AI39" s="51">
        <v>0</v>
      </c>
      <c r="AJ39" s="51">
        <v>0</v>
      </c>
      <c r="AK39" s="51">
        <v>0</v>
      </c>
      <c r="AL39" s="51">
        <v>0</v>
      </c>
      <c r="AM39" s="51">
        <v>0</v>
      </c>
      <c r="AN39" s="51">
        <v>0</v>
      </c>
      <c r="AO39" s="51">
        <v>0</v>
      </c>
      <c r="AP39" s="51">
        <v>0</v>
      </c>
      <c r="AQ39" s="51">
        <v>0</v>
      </c>
      <c r="AR39" s="51">
        <v>0</v>
      </c>
      <c r="AS39" s="201">
        <v>0</v>
      </c>
      <c r="AT39" s="57">
        <v>0</v>
      </c>
      <c r="AU39" s="51">
        <v>0</v>
      </c>
      <c r="AV39" s="51">
        <v>0</v>
      </c>
      <c r="AW39" s="51">
        <v>0</v>
      </c>
      <c r="AX39" s="51">
        <v>0</v>
      </c>
      <c r="AY39" s="51">
        <v>0</v>
      </c>
      <c r="AZ39" s="51">
        <v>0</v>
      </c>
      <c r="BA39" s="51">
        <v>0</v>
      </c>
      <c r="BB39" s="51">
        <v>0</v>
      </c>
      <c r="BC39" s="51">
        <v>0</v>
      </c>
      <c r="BD39" s="51">
        <v>0</v>
      </c>
      <c r="BE39" s="51">
        <v>0</v>
      </c>
      <c r="BF39" s="201">
        <v>0</v>
      </c>
    </row>
    <row r="40" spans="1:58" ht="14.25" x14ac:dyDescent="0.45">
      <c r="A40" t="s">
        <v>316</v>
      </c>
      <c r="B40" t="s">
        <v>317</v>
      </c>
      <c r="C40" t="s">
        <v>322</v>
      </c>
      <c r="D40" t="s">
        <v>196</v>
      </c>
      <c r="E40" t="s">
        <v>323</v>
      </c>
      <c r="F40" s="10">
        <v>133606</v>
      </c>
      <c r="G40" s="8">
        <v>511154.6862745079</v>
      </c>
      <c r="H40" s="9">
        <v>644760.6862745079</v>
      </c>
      <c r="I40" s="8">
        <v>20680</v>
      </c>
      <c r="J40" s="8">
        <v>107239</v>
      </c>
      <c r="K40" s="8">
        <v>396541</v>
      </c>
      <c r="L40" s="8">
        <v>347787</v>
      </c>
      <c r="M40" s="8">
        <v>263930</v>
      </c>
      <c r="N40" s="8">
        <v>454928</v>
      </c>
      <c r="O40" s="8">
        <v>347787</v>
      </c>
      <c r="P40" s="8">
        <v>135376</v>
      </c>
      <c r="Q40" s="8">
        <v>100186</v>
      </c>
      <c r="R40" s="8">
        <v>107239</v>
      </c>
      <c r="S40" s="8"/>
      <c r="T40" s="8">
        <v>454928</v>
      </c>
      <c r="U40" s="167">
        <v>4</v>
      </c>
      <c r="V40" s="52">
        <v>4</v>
      </c>
      <c r="W40" s="52">
        <v>3</v>
      </c>
      <c r="X40" s="52">
        <v>4</v>
      </c>
      <c r="Y40" s="52">
        <v>4</v>
      </c>
      <c r="Z40" s="52">
        <v>4</v>
      </c>
      <c r="AA40" s="52">
        <v>4</v>
      </c>
      <c r="AB40" s="52">
        <v>4</v>
      </c>
      <c r="AC40" s="52">
        <v>4</v>
      </c>
      <c r="AD40" s="52">
        <v>4</v>
      </c>
      <c r="AE40" s="52">
        <v>4</v>
      </c>
      <c r="AF40" s="8">
        <v>4</v>
      </c>
      <c r="AG40" s="54">
        <v>18612</v>
      </c>
      <c r="AH40" s="8">
        <v>107239</v>
      </c>
      <c r="AI40" s="8">
        <v>56796</v>
      </c>
      <c r="AJ40" s="8">
        <v>121725</v>
      </c>
      <c r="AK40" s="8">
        <v>90257</v>
      </c>
      <c r="AL40" s="8">
        <v>454928</v>
      </c>
      <c r="AM40" s="8">
        <v>121725</v>
      </c>
      <c r="AN40" s="8">
        <v>121547</v>
      </c>
      <c r="AO40" s="8">
        <v>50093</v>
      </c>
      <c r="AP40" s="8">
        <v>107239</v>
      </c>
      <c r="AQ40" s="8">
        <v>0</v>
      </c>
      <c r="AR40" s="8">
        <v>21095</v>
      </c>
      <c r="AS40" s="202">
        <v>454928</v>
      </c>
      <c r="AT40" s="54">
        <v>18612</v>
      </c>
      <c r="AU40" s="8">
        <v>107239</v>
      </c>
      <c r="AV40" s="8">
        <v>11359</v>
      </c>
      <c r="AW40" s="8">
        <v>121725</v>
      </c>
      <c r="AX40" s="8">
        <v>90257</v>
      </c>
      <c r="AY40" s="8">
        <v>454928</v>
      </c>
      <c r="AZ40" s="8">
        <v>121725</v>
      </c>
      <c r="BA40" s="8">
        <v>121547</v>
      </c>
      <c r="BB40" s="8">
        <v>50093</v>
      </c>
      <c r="BC40" s="8">
        <v>107239</v>
      </c>
      <c r="BD40" s="8">
        <v>0</v>
      </c>
      <c r="BE40" s="8">
        <v>21095</v>
      </c>
      <c r="BF40" s="202">
        <v>454928</v>
      </c>
    </row>
    <row r="41" spans="1:58" ht="14.25" x14ac:dyDescent="0.45">
      <c r="A41" t="s">
        <v>324</v>
      </c>
      <c r="B41" t="s">
        <v>325</v>
      </c>
      <c r="C41" t="s">
        <v>326</v>
      </c>
      <c r="D41" t="s">
        <v>193</v>
      </c>
      <c r="E41" t="s">
        <v>327</v>
      </c>
      <c r="F41" s="10">
        <v>5315</v>
      </c>
      <c r="G41" s="8">
        <v>18255</v>
      </c>
      <c r="H41" s="9">
        <v>23570</v>
      </c>
      <c r="I41" s="8">
        <v>1607</v>
      </c>
      <c r="J41" s="8">
        <v>6050</v>
      </c>
      <c r="K41" s="8">
        <v>14162</v>
      </c>
      <c r="L41" s="8">
        <v>17386</v>
      </c>
      <c r="M41" s="8">
        <v>17525</v>
      </c>
      <c r="N41" s="8">
        <v>15973</v>
      </c>
      <c r="O41" s="8">
        <v>17386</v>
      </c>
      <c r="P41" s="8">
        <v>4742</v>
      </c>
      <c r="Q41" s="8">
        <v>9201</v>
      </c>
      <c r="R41" s="8">
        <v>6050</v>
      </c>
      <c r="S41" s="8"/>
      <c r="T41" s="8">
        <v>17525</v>
      </c>
      <c r="U41" s="167">
        <v>5</v>
      </c>
      <c r="V41" s="52">
        <v>4</v>
      </c>
      <c r="W41" s="52">
        <v>4</v>
      </c>
      <c r="X41" s="52">
        <v>5</v>
      </c>
      <c r="Y41" s="52">
        <v>5</v>
      </c>
      <c r="Z41" s="52">
        <v>5</v>
      </c>
      <c r="AA41" s="52">
        <v>5</v>
      </c>
      <c r="AB41" s="52">
        <v>5</v>
      </c>
      <c r="AC41" s="52">
        <v>5</v>
      </c>
      <c r="AD41" s="52">
        <v>4</v>
      </c>
      <c r="AE41" s="52">
        <v>4</v>
      </c>
      <c r="AF41" s="8">
        <v>5</v>
      </c>
      <c r="AG41" s="54">
        <v>1446</v>
      </c>
      <c r="AH41" s="8">
        <v>6050</v>
      </c>
      <c r="AI41" s="8">
        <v>7752</v>
      </c>
      <c r="AJ41" s="8">
        <v>6085</v>
      </c>
      <c r="AK41" s="8">
        <v>9472</v>
      </c>
      <c r="AL41" s="8">
        <v>15973</v>
      </c>
      <c r="AM41" s="8">
        <v>6085</v>
      </c>
      <c r="AN41" s="8">
        <v>4323</v>
      </c>
      <c r="AO41" s="8">
        <v>460</v>
      </c>
      <c r="AP41" s="8">
        <v>6050</v>
      </c>
      <c r="AQ41" s="8">
        <v>0</v>
      </c>
      <c r="AR41" s="8">
        <v>17525</v>
      </c>
      <c r="AS41" s="202">
        <v>17525</v>
      </c>
      <c r="AT41" s="54">
        <v>1446</v>
      </c>
      <c r="AU41" s="8">
        <v>6050</v>
      </c>
      <c r="AV41" s="8">
        <v>7752</v>
      </c>
      <c r="AW41" s="8">
        <v>6085</v>
      </c>
      <c r="AX41" s="8">
        <v>9472</v>
      </c>
      <c r="AY41" s="8">
        <v>15973</v>
      </c>
      <c r="AZ41" s="8">
        <v>6085</v>
      </c>
      <c r="BA41" s="8">
        <v>4323</v>
      </c>
      <c r="BB41" s="8">
        <v>460</v>
      </c>
      <c r="BC41" s="8">
        <v>6050</v>
      </c>
      <c r="BD41" s="8">
        <v>0</v>
      </c>
      <c r="BE41" s="8">
        <v>17525</v>
      </c>
      <c r="BF41" s="202">
        <v>17525</v>
      </c>
    </row>
    <row r="42" spans="1:58" ht="14.25" x14ac:dyDescent="0.45">
      <c r="A42" t="s">
        <v>324</v>
      </c>
      <c r="B42" t="s">
        <v>325</v>
      </c>
      <c r="C42" t="s">
        <v>254</v>
      </c>
      <c r="D42" t="s">
        <v>196</v>
      </c>
      <c r="E42" t="s">
        <v>328</v>
      </c>
      <c r="F42" s="10">
        <v>1930</v>
      </c>
      <c r="G42" s="8">
        <v>3343.7298994067223</v>
      </c>
      <c r="H42" s="9">
        <v>5273.7298994067223</v>
      </c>
      <c r="I42" s="8">
        <v>172</v>
      </c>
      <c r="J42" s="8">
        <v>1098</v>
      </c>
      <c r="K42" s="8">
        <v>2594</v>
      </c>
      <c r="L42" s="8">
        <v>3009</v>
      </c>
      <c r="M42" s="8">
        <v>2685</v>
      </c>
      <c r="N42" s="8">
        <v>2786</v>
      </c>
      <c r="O42" s="8">
        <v>3009</v>
      </c>
      <c r="P42" s="8">
        <v>706</v>
      </c>
      <c r="Q42" s="8">
        <v>1311</v>
      </c>
      <c r="R42" s="8">
        <v>1098</v>
      </c>
      <c r="S42" s="8"/>
      <c r="T42" s="8">
        <v>3009</v>
      </c>
      <c r="U42" s="167">
        <v>4</v>
      </c>
      <c r="V42" s="52">
        <v>4</v>
      </c>
      <c r="W42" s="52">
        <v>4</v>
      </c>
      <c r="X42" s="52">
        <v>4</v>
      </c>
      <c r="Y42" s="52">
        <v>4</v>
      </c>
      <c r="Z42" s="52">
        <v>4</v>
      </c>
      <c r="AA42" s="52">
        <v>4</v>
      </c>
      <c r="AB42" s="52">
        <v>4</v>
      </c>
      <c r="AC42" s="52">
        <v>4</v>
      </c>
      <c r="AD42" s="52">
        <v>4</v>
      </c>
      <c r="AE42" s="52">
        <v>4</v>
      </c>
      <c r="AF42" s="8">
        <v>4</v>
      </c>
      <c r="AG42" s="54">
        <v>155</v>
      </c>
      <c r="AH42" s="8">
        <v>1098</v>
      </c>
      <c r="AI42" s="8">
        <v>1647</v>
      </c>
      <c r="AJ42" s="8">
        <v>1053</v>
      </c>
      <c r="AK42" s="8">
        <v>1261</v>
      </c>
      <c r="AL42" s="8">
        <v>2786</v>
      </c>
      <c r="AM42" s="8">
        <v>1053</v>
      </c>
      <c r="AN42" s="8">
        <v>664</v>
      </c>
      <c r="AO42" s="8">
        <v>655</v>
      </c>
      <c r="AP42" s="8">
        <v>1098</v>
      </c>
      <c r="AQ42" s="8">
        <v>0</v>
      </c>
      <c r="AR42" s="8">
        <v>809</v>
      </c>
      <c r="AS42" s="202">
        <v>2786</v>
      </c>
      <c r="AT42" s="54">
        <v>155</v>
      </c>
      <c r="AU42" s="8">
        <v>1098</v>
      </c>
      <c r="AV42" s="8">
        <v>1647</v>
      </c>
      <c r="AW42" s="8">
        <v>1053</v>
      </c>
      <c r="AX42" s="8">
        <v>1261</v>
      </c>
      <c r="AY42" s="8">
        <v>2786</v>
      </c>
      <c r="AZ42" s="8">
        <v>1053</v>
      </c>
      <c r="BA42" s="8">
        <v>664</v>
      </c>
      <c r="BB42" s="8">
        <v>655</v>
      </c>
      <c r="BC42" s="8">
        <v>1098</v>
      </c>
      <c r="BD42" s="8">
        <v>0</v>
      </c>
      <c r="BE42" s="8">
        <v>809</v>
      </c>
      <c r="BF42" s="202">
        <v>2786</v>
      </c>
    </row>
    <row r="43" spans="1:58" ht="14.25" x14ac:dyDescent="0.45">
      <c r="A43" t="s">
        <v>324</v>
      </c>
      <c r="B43" t="s">
        <v>325</v>
      </c>
      <c r="C43" t="s">
        <v>256</v>
      </c>
      <c r="D43" t="s">
        <v>199</v>
      </c>
      <c r="E43" t="s">
        <v>329</v>
      </c>
      <c r="F43" s="55">
        <v>0</v>
      </c>
      <c r="G43" s="51">
        <v>0</v>
      </c>
      <c r="H43" s="56"/>
      <c r="I43" s="51">
        <v>0</v>
      </c>
      <c r="J43" s="51">
        <v>0</v>
      </c>
      <c r="K43" s="51">
        <v>0</v>
      </c>
      <c r="L43" s="51">
        <v>0</v>
      </c>
      <c r="M43" s="51">
        <v>0</v>
      </c>
      <c r="N43" s="51">
        <v>0</v>
      </c>
      <c r="O43" s="51">
        <v>0</v>
      </c>
      <c r="P43" s="51">
        <v>0</v>
      </c>
      <c r="Q43" s="51">
        <v>0</v>
      </c>
      <c r="R43" s="51">
        <v>0</v>
      </c>
      <c r="S43" s="51"/>
      <c r="T43" s="51">
        <v>0</v>
      </c>
      <c r="U43" s="57"/>
      <c r="V43" s="51"/>
      <c r="W43" s="51"/>
      <c r="X43" s="51"/>
      <c r="Y43" s="51"/>
      <c r="Z43" s="51"/>
      <c r="AA43" s="51"/>
      <c r="AB43" s="51"/>
      <c r="AC43" s="51"/>
      <c r="AD43" s="51"/>
      <c r="AE43" s="51"/>
      <c r="AF43" s="51"/>
      <c r="AG43" s="57">
        <v>0</v>
      </c>
      <c r="AH43" s="51">
        <v>0</v>
      </c>
      <c r="AI43" s="51">
        <v>0</v>
      </c>
      <c r="AJ43" s="51">
        <v>0</v>
      </c>
      <c r="AK43" s="51">
        <v>0</v>
      </c>
      <c r="AL43" s="51">
        <v>0</v>
      </c>
      <c r="AM43" s="51">
        <v>0</v>
      </c>
      <c r="AN43" s="51">
        <v>0</v>
      </c>
      <c r="AO43" s="51">
        <v>0</v>
      </c>
      <c r="AP43" s="51">
        <v>0</v>
      </c>
      <c r="AQ43" s="51">
        <v>0</v>
      </c>
      <c r="AR43" s="51">
        <v>0</v>
      </c>
      <c r="AS43" s="201">
        <v>0</v>
      </c>
      <c r="AT43" s="57">
        <v>0</v>
      </c>
      <c r="AU43" s="51">
        <v>0</v>
      </c>
      <c r="AV43" s="51">
        <v>0</v>
      </c>
      <c r="AW43" s="51">
        <v>0</v>
      </c>
      <c r="AX43" s="51">
        <v>0</v>
      </c>
      <c r="AY43" s="51">
        <v>0</v>
      </c>
      <c r="AZ43" s="51">
        <v>0</v>
      </c>
      <c r="BA43" s="51">
        <v>0</v>
      </c>
      <c r="BB43" s="51">
        <v>0</v>
      </c>
      <c r="BC43" s="51">
        <v>0</v>
      </c>
      <c r="BD43" s="51">
        <v>0</v>
      </c>
      <c r="BE43" s="51">
        <v>0</v>
      </c>
      <c r="BF43" s="201">
        <v>0</v>
      </c>
    </row>
    <row r="44" spans="1:58" ht="14.25" x14ac:dyDescent="0.45">
      <c r="A44" t="s">
        <v>324</v>
      </c>
      <c r="B44" t="s">
        <v>325</v>
      </c>
      <c r="C44" t="s">
        <v>330</v>
      </c>
      <c r="D44" t="s">
        <v>193</v>
      </c>
      <c r="E44" t="s">
        <v>331</v>
      </c>
      <c r="F44" s="10">
        <v>9908</v>
      </c>
      <c r="G44" s="8">
        <v>67022</v>
      </c>
      <c r="H44" s="9">
        <v>76930</v>
      </c>
      <c r="I44" s="8">
        <v>5295</v>
      </c>
      <c r="J44" s="8">
        <v>22475</v>
      </c>
      <c r="K44" s="8">
        <v>51994</v>
      </c>
      <c r="L44" s="8">
        <v>57570</v>
      </c>
      <c r="M44" s="8">
        <v>56212</v>
      </c>
      <c r="N44" s="8">
        <v>67022</v>
      </c>
      <c r="O44" s="8">
        <v>57570</v>
      </c>
      <c r="P44" s="8">
        <v>18606</v>
      </c>
      <c r="Q44" s="8">
        <v>26273</v>
      </c>
      <c r="R44" s="8">
        <v>22475</v>
      </c>
      <c r="S44" s="8"/>
      <c r="T44" s="8">
        <v>67022</v>
      </c>
      <c r="U44" s="167">
        <v>4</v>
      </c>
      <c r="V44" s="52">
        <v>4</v>
      </c>
      <c r="W44" s="52">
        <v>5</v>
      </c>
      <c r="X44" s="52">
        <v>5</v>
      </c>
      <c r="Y44" s="52">
        <v>5</v>
      </c>
      <c r="Z44" s="52">
        <v>4</v>
      </c>
      <c r="AA44" s="52">
        <v>5</v>
      </c>
      <c r="AB44" s="52">
        <v>5</v>
      </c>
      <c r="AC44" s="52">
        <v>4</v>
      </c>
      <c r="AD44" s="52">
        <v>4</v>
      </c>
      <c r="AE44" s="52">
        <v>4</v>
      </c>
      <c r="AF44" s="8">
        <v>5</v>
      </c>
      <c r="AG44" s="54">
        <v>4765</v>
      </c>
      <c r="AH44" s="8">
        <v>22475</v>
      </c>
      <c r="AI44" s="8">
        <v>28462</v>
      </c>
      <c r="AJ44" s="8">
        <v>20150</v>
      </c>
      <c r="AK44" s="8">
        <v>34755</v>
      </c>
      <c r="AL44" s="8">
        <v>67022</v>
      </c>
      <c r="AM44" s="8">
        <v>20150</v>
      </c>
      <c r="AN44" s="8">
        <v>16630</v>
      </c>
      <c r="AO44" s="8">
        <v>1314</v>
      </c>
      <c r="AP44" s="8">
        <v>22475</v>
      </c>
      <c r="AQ44" s="8">
        <v>0</v>
      </c>
      <c r="AR44" s="8">
        <v>36397</v>
      </c>
      <c r="AS44" s="202">
        <v>67022</v>
      </c>
      <c r="AT44" s="54">
        <v>4765</v>
      </c>
      <c r="AU44" s="8">
        <v>22475</v>
      </c>
      <c r="AV44" s="8">
        <v>28462</v>
      </c>
      <c r="AW44" s="8">
        <v>20150</v>
      </c>
      <c r="AX44" s="8">
        <v>34755</v>
      </c>
      <c r="AY44" s="8">
        <v>67022</v>
      </c>
      <c r="AZ44" s="8">
        <v>20150</v>
      </c>
      <c r="BA44" s="8">
        <v>16630</v>
      </c>
      <c r="BB44" s="8">
        <v>1314</v>
      </c>
      <c r="BC44" s="8">
        <v>22475</v>
      </c>
      <c r="BD44" s="8">
        <v>0</v>
      </c>
      <c r="BE44" s="8">
        <v>36397</v>
      </c>
      <c r="BF44" s="202">
        <v>67022</v>
      </c>
    </row>
    <row r="45" spans="1:58" ht="14.25" x14ac:dyDescent="0.45">
      <c r="A45" t="s">
        <v>332</v>
      </c>
      <c r="B45" t="s">
        <v>333</v>
      </c>
      <c r="C45" t="s">
        <v>245</v>
      </c>
      <c r="D45" t="s">
        <v>199</v>
      </c>
      <c r="E45" t="s">
        <v>334</v>
      </c>
      <c r="F45" s="55">
        <v>0</v>
      </c>
      <c r="G45" s="51">
        <v>0</v>
      </c>
      <c r="H45" s="56"/>
      <c r="I45" s="51">
        <v>0</v>
      </c>
      <c r="J45" s="51">
        <v>0</v>
      </c>
      <c r="K45" s="51">
        <v>0</v>
      </c>
      <c r="L45" s="51">
        <v>0</v>
      </c>
      <c r="M45" s="51">
        <v>0</v>
      </c>
      <c r="N45" s="51">
        <v>0</v>
      </c>
      <c r="O45" s="51">
        <v>0</v>
      </c>
      <c r="P45" s="51">
        <v>0</v>
      </c>
      <c r="Q45" s="51">
        <v>0</v>
      </c>
      <c r="R45" s="51">
        <v>0</v>
      </c>
      <c r="S45" s="51"/>
      <c r="T45" s="51">
        <v>0</v>
      </c>
      <c r="U45" s="57"/>
      <c r="V45" s="51"/>
      <c r="W45" s="51"/>
      <c r="X45" s="51"/>
      <c r="Y45" s="51"/>
      <c r="Z45" s="51"/>
      <c r="AA45" s="51"/>
      <c r="AB45" s="51"/>
      <c r="AC45" s="51"/>
      <c r="AD45" s="51"/>
      <c r="AE45" s="51"/>
      <c r="AF45" s="51"/>
      <c r="AG45" s="57">
        <v>0</v>
      </c>
      <c r="AH45" s="51">
        <v>0</v>
      </c>
      <c r="AI45" s="51">
        <v>0</v>
      </c>
      <c r="AJ45" s="51">
        <v>0</v>
      </c>
      <c r="AK45" s="51">
        <v>0</v>
      </c>
      <c r="AL45" s="51">
        <v>0</v>
      </c>
      <c r="AM45" s="51">
        <v>0</v>
      </c>
      <c r="AN45" s="51">
        <v>0</v>
      </c>
      <c r="AO45" s="51">
        <v>0</v>
      </c>
      <c r="AP45" s="51">
        <v>0</v>
      </c>
      <c r="AQ45" s="51">
        <v>0</v>
      </c>
      <c r="AR45" s="51">
        <v>0</v>
      </c>
      <c r="AS45" s="201">
        <v>0</v>
      </c>
      <c r="AT45" s="57">
        <v>0</v>
      </c>
      <c r="AU45" s="51">
        <v>0</v>
      </c>
      <c r="AV45" s="51">
        <v>0</v>
      </c>
      <c r="AW45" s="51">
        <v>0</v>
      </c>
      <c r="AX45" s="51">
        <v>0</v>
      </c>
      <c r="AY45" s="51">
        <v>0</v>
      </c>
      <c r="AZ45" s="51">
        <v>0</v>
      </c>
      <c r="BA45" s="51">
        <v>0</v>
      </c>
      <c r="BB45" s="51">
        <v>0</v>
      </c>
      <c r="BC45" s="51">
        <v>0</v>
      </c>
      <c r="BD45" s="51">
        <v>0</v>
      </c>
      <c r="BE45" s="51">
        <v>0</v>
      </c>
      <c r="BF45" s="201">
        <v>0</v>
      </c>
    </row>
    <row r="46" spans="1:58" ht="14.25" x14ac:dyDescent="0.45">
      <c r="A46" t="s">
        <v>335</v>
      </c>
      <c r="B46" t="s">
        <v>336</v>
      </c>
      <c r="C46" t="s">
        <v>245</v>
      </c>
      <c r="D46" t="s">
        <v>199</v>
      </c>
      <c r="E46" t="s">
        <v>337</v>
      </c>
      <c r="F46" s="55">
        <v>0</v>
      </c>
      <c r="G46" s="51">
        <v>0</v>
      </c>
      <c r="H46" s="56"/>
      <c r="I46" s="51">
        <v>0</v>
      </c>
      <c r="J46" s="51">
        <v>0</v>
      </c>
      <c r="K46" s="51">
        <v>0</v>
      </c>
      <c r="L46" s="51">
        <v>0</v>
      </c>
      <c r="M46" s="51">
        <v>0</v>
      </c>
      <c r="N46" s="51">
        <v>0</v>
      </c>
      <c r="O46" s="51">
        <v>0</v>
      </c>
      <c r="P46" s="51">
        <v>0</v>
      </c>
      <c r="Q46" s="51">
        <v>0</v>
      </c>
      <c r="R46" s="51">
        <v>0</v>
      </c>
      <c r="S46" s="51"/>
      <c r="T46" s="51">
        <v>0</v>
      </c>
      <c r="U46" s="57"/>
      <c r="V46" s="51"/>
      <c r="W46" s="51"/>
      <c r="X46" s="51"/>
      <c r="Y46" s="51"/>
      <c r="Z46" s="51"/>
      <c r="AA46" s="51"/>
      <c r="AB46" s="51"/>
      <c r="AC46" s="51"/>
      <c r="AD46" s="51"/>
      <c r="AE46" s="51"/>
      <c r="AF46" s="51"/>
      <c r="AG46" s="57">
        <v>0</v>
      </c>
      <c r="AH46" s="51">
        <v>0</v>
      </c>
      <c r="AI46" s="51">
        <v>0</v>
      </c>
      <c r="AJ46" s="51">
        <v>0</v>
      </c>
      <c r="AK46" s="51">
        <v>0</v>
      </c>
      <c r="AL46" s="51">
        <v>0</v>
      </c>
      <c r="AM46" s="51">
        <v>0</v>
      </c>
      <c r="AN46" s="51">
        <v>0</v>
      </c>
      <c r="AO46" s="51">
        <v>0</v>
      </c>
      <c r="AP46" s="51">
        <v>0</v>
      </c>
      <c r="AQ46" s="51">
        <v>0</v>
      </c>
      <c r="AR46" s="51">
        <v>0</v>
      </c>
      <c r="AS46" s="201">
        <v>0</v>
      </c>
      <c r="AT46" s="57">
        <v>0</v>
      </c>
      <c r="AU46" s="51">
        <v>0</v>
      </c>
      <c r="AV46" s="51">
        <v>0</v>
      </c>
      <c r="AW46" s="51">
        <v>0</v>
      </c>
      <c r="AX46" s="51">
        <v>0</v>
      </c>
      <c r="AY46" s="51">
        <v>0</v>
      </c>
      <c r="AZ46" s="51">
        <v>0</v>
      </c>
      <c r="BA46" s="51">
        <v>0</v>
      </c>
      <c r="BB46" s="51">
        <v>0</v>
      </c>
      <c r="BC46" s="51">
        <v>0</v>
      </c>
      <c r="BD46" s="51">
        <v>0</v>
      </c>
      <c r="BE46" s="51">
        <v>0</v>
      </c>
      <c r="BF46" s="201">
        <v>0</v>
      </c>
    </row>
    <row r="47" spans="1:58" ht="14.25" x14ac:dyDescent="0.45">
      <c r="A47" t="s">
        <v>338</v>
      </c>
      <c r="B47" t="s">
        <v>339</v>
      </c>
      <c r="C47" t="s">
        <v>245</v>
      </c>
      <c r="D47" t="s">
        <v>199</v>
      </c>
      <c r="E47" t="s">
        <v>340</v>
      </c>
      <c r="F47" s="55">
        <v>0</v>
      </c>
      <c r="G47" s="51">
        <v>0</v>
      </c>
      <c r="H47" s="56"/>
      <c r="I47" s="51">
        <v>0</v>
      </c>
      <c r="J47" s="51">
        <v>0</v>
      </c>
      <c r="K47" s="51">
        <v>0</v>
      </c>
      <c r="L47" s="51">
        <v>0</v>
      </c>
      <c r="M47" s="51">
        <v>0</v>
      </c>
      <c r="N47" s="51">
        <v>0</v>
      </c>
      <c r="O47" s="51">
        <v>0</v>
      </c>
      <c r="P47" s="51">
        <v>0</v>
      </c>
      <c r="Q47" s="51">
        <v>0</v>
      </c>
      <c r="R47" s="51">
        <v>0</v>
      </c>
      <c r="S47" s="51"/>
      <c r="T47" s="51">
        <v>0</v>
      </c>
      <c r="U47" s="57"/>
      <c r="V47" s="51"/>
      <c r="W47" s="51"/>
      <c r="X47" s="51"/>
      <c r="Y47" s="51"/>
      <c r="Z47" s="51"/>
      <c r="AA47" s="51"/>
      <c r="AB47" s="51"/>
      <c r="AC47" s="51"/>
      <c r="AD47" s="51"/>
      <c r="AE47" s="51"/>
      <c r="AF47" s="51"/>
      <c r="AG47" s="57">
        <v>0</v>
      </c>
      <c r="AH47" s="51">
        <v>0</v>
      </c>
      <c r="AI47" s="51">
        <v>0</v>
      </c>
      <c r="AJ47" s="51">
        <v>0</v>
      </c>
      <c r="AK47" s="51">
        <v>0</v>
      </c>
      <c r="AL47" s="51">
        <v>0</v>
      </c>
      <c r="AM47" s="51">
        <v>0</v>
      </c>
      <c r="AN47" s="51">
        <v>0</v>
      </c>
      <c r="AO47" s="51">
        <v>0</v>
      </c>
      <c r="AP47" s="51">
        <v>0</v>
      </c>
      <c r="AQ47" s="51">
        <v>0</v>
      </c>
      <c r="AR47" s="51">
        <v>0</v>
      </c>
      <c r="AS47" s="201">
        <v>0</v>
      </c>
      <c r="AT47" s="57">
        <v>0</v>
      </c>
      <c r="AU47" s="51">
        <v>0</v>
      </c>
      <c r="AV47" s="51">
        <v>0</v>
      </c>
      <c r="AW47" s="51">
        <v>0</v>
      </c>
      <c r="AX47" s="51">
        <v>0</v>
      </c>
      <c r="AY47" s="51">
        <v>0</v>
      </c>
      <c r="AZ47" s="51">
        <v>0</v>
      </c>
      <c r="BA47" s="51">
        <v>0</v>
      </c>
      <c r="BB47" s="51">
        <v>0</v>
      </c>
      <c r="BC47" s="51">
        <v>0</v>
      </c>
      <c r="BD47" s="51">
        <v>0</v>
      </c>
      <c r="BE47" s="51">
        <v>0</v>
      </c>
      <c r="BF47" s="201">
        <v>0</v>
      </c>
    </row>
    <row r="48" spans="1:58" ht="14.25" x14ac:dyDescent="0.45">
      <c r="A48" t="s">
        <v>341</v>
      </c>
      <c r="B48" t="s">
        <v>342</v>
      </c>
      <c r="C48" t="s">
        <v>252</v>
      </c>
      <c r="D48" t="s">
        <v>193</v>
      </c>
      <c r="E48" t="s">
        <v>343</v>
      </c>
      <c r="F48" s="10">
        <v>4864</v>
      </c>
      <c r="G48" s="8">
        <v>79652</v>
      </c>
      <c r="H48" s="9">
        <v>84516</v>
      </c>
      <c r="I48" s="8">
        <v>6607</v>
      </c>
      <c r="J48" s="8">
        <v>11301</v>
      </c>
      <c r="K48" s="8">
        <v>61792</v>
      </c>
      <c r="L48" s="8">
        <v>41156</v>
      </c>
      <c r="M48" s="8">
        <v>66514</v>
      </c>
      <c r="N48" s="8">
        <v>66514</v>
      </c>
      <c r="O48" s="8">
        <v>41156</v>
      </c>
      <c r="P48" s="8">
        <v>18830</v>
      </c>
      <c r="Q48" s="8">
        <v>31224</v>
      </c>
      <c r="R48" s="8">
        <v>11301</v>
      </c>
      <c r="S48" s="8"/>
      <c r="T48" s="8">
        <v>66514</v>
      </c>
      <c r="U48" s="167">
        <v>4</v>
      </c>
      <c r="V48" s="52">
        <v>4</v>
      </c>
      <c r="W48" s="52">
        <v>4</v>
      </c>
      <c r="X48" s="52">
        <v>4</v>
      </c>
      <c r="Y48" s="52">
        <v>5</v>
      </c>
      <c r="Z48" s="52">
        <v>5</v>
      </c>
      <c r="AA48" s="52">
        <v>4</v>
      </c>
      <c r="AB48" s="52">
        <v>5</v>
      </c>
      <c r="AC48" s="52">
        <v>4</v>
      </c>
      <c r="AD48" s="52">
        <v>4</v>
      </c>
      <c r="AE48" s="52">
        <v>4</v>
      </c>
      <c r="AF48" s="8">
        <v>5</v>
      </c>
      <c r="AG48" s="54">
        <v>5946</v>
      </c>
      <c r="AH48" s="8">
        <v>11301</v>
      </c>
      <c r="AI48" s="8">
        <v>33825</v>
      </c>
      <c r="AJ48" s="8">
        <v>16811</v>
      </c>
      <c r="AK48" s="8">
        <v>60162</v>
      </c>
      <c r="AL48" s="8">
        <v>66514</v>
      </c>
      <c r="AM48" s="8">
        <v>14405</v>
      </c>
      <c r="AN48" s="8">
        <v>16811</v>
      </c>
      <c r="AO48" s="8">
        <v>1561</v>
      </c>
      <c r="AP48" s="8">
        <v>11301</v>
      </c>
      <c r="AQ48" s="8">
        <v>0</v>
      </c>
      <c r="AR48" s="8">
        <v>38337</v>
      </c>
      <c r="AS48" s="202">
        <v>66514</v>
      </c>
      <c r="AT48" s="54">
        <v>5946</v>
      </c>
      <c r="AU48" s="8">
        <v>11301</v>
      </c>
      <c r="AV48" s="8">
        <v>33825</v>
      </c>
      <c r="AW48" s="8">
        <v>16811</v>
      </c>
      <c r="AX48" s="8">
        <v>60162</v>
      </c>
      <c r="AY48" s="8">
        <v>66514</v>
      </c>
      <c r="AZ48" s="8">
        <v>14405</v>
      </c>
      <c r="BA48" s="8">
        <v>16811</v>
      </c>
      <c r="BB48" s="8">
        <v>1561</v>
      </c>
      <c r="BC48" s="8">
        <v>11301</v>
      </c>
      <c r="BD48" s="8">
        <v>0</v>
      </c>
      <c r="BE48" s="8">
        <v>38337</v>
      </c>
      <c r="BF48" s="202">
        <v>66514</v>
      </c>
    </row>
    <row r="49" spans="1:58" ht="14.25" x14ac:dyDescent="0.45">
      <c r="A49" t="s">
        <v>341</v>
      </c>
      <c r="B49" t="s">
        <v>342</v>
      </c>
      <c r="C49" t="s">
        <v>254</v>
      </c>
      <c r="D49" t="s">
        <v>196</v>
      </c>
      <c r="E49" t="s">
        <v>344</v>
      </c>
      <c r="F49" s="10">
        <v>704</v>
      </c>
      <c r="G49" s="8">
        <v>5332.4750933325968</v>
      </c>
      <c r="H49" s="9">
        <v>6036.4750933325968</v>
      </c>
      <c r="I49" s="8">
        <v>391</v>
      </c>
      <c r="J49" s="8">
        <v>446</v>
      </c>
      <c r="K49" s="8">
        <v>4137</v>
      </c>
      <c r="L49" s="8">
        <v>4014</v>
      </c>
      <c r="M49" s="8">
        <v>3950</v>
      </c>
      <c r="N49" s="8">
        <v>3809</v>
      </c>
      <c r="O49" s="8">
        <v>4014</v>
      </c>
      <c r="P49" s="8">
        <v>646</v>
      </c>
      <c r="Q49" s="8">
        <v>1493</v>
      </c>
      <c r="R49" s="8">
        <v>446</v>
      </c>
      <c r="S49" s="8"/>
      <c r="T49" s="8">
        <v>4137</v>
      </c>
      <c r="U49" s="167">
        <v>4</v>
      </c>
      <c r="V49" s="52">
        <v>3</v>
      </c>
      <c r="W49" s="52">
        <v>4</v>
      </c>
      <c r="X49" s="52">
        <v>3</v>
      </c>
      <c r="Y49" s="52">
        <v>3</v>
      </c>
      <c r="Z49" s="52">
        <v>3</v>
      </c>
      <c r="AA49" s="52">
        <v>4</v>
      </c>
      <c r="AB49" s="52">
        <v>3</v>
      </c>
      <c r="AC49" s="52">
        <v>3</v>
      </c>
      <c r="AD49" s="52">
        <v>3</v>
      </c>
      <c r="AE49" s="52">
        <v>3</v>
      </c>
      <c r="AF49" s="8">
        <v>3</v>
      </c>
      <c r="AG49" s="54">
        <v>352</v>
      </c>
      <c r="AH49" s="8">
        <v>446</v>
      </c>
      <c r="AI49" s="8">
        <v>2784</v>
      </c>
      <c r="AJ49" s="8">
        <v>1405</v>
      </c>
      <c r="AK49" s="8">
        <v>1015</v>
      </c>
      <c r="AL49" s="8">
        <v>1905</v>
      </c>
      <c r="AM49" s="8">
        <v>1405</v>
      </c>
      <c r="AN49" s="8">
        <v>212</v>
      </c>
      <c r="AO49" s="8">
        <v>448</v>
      </c>
      <c r="AP49" s="8">
        <v>446</v>
      </c>
      <c r="AQ49" s="8">
        <v>0</v>
      </c>
      <c r="AR49" s="8">
        <v>1792</v>
      </c>
      <c r="AS49" s="202">
        <v>2784</v>
      </c>
      <c r="AT49" s="54">
        <v>352</v>
      </c>
      <c r="AU49" s="8">
        <v>89</v>
      </c>
      <c r="AV49" s="8">
        <v>2784</v>
      </c>
      <c r="AW49" s="8">
        <v>1405</v>
      </c>
      <c r="AX49" s="8">
        <v>203</v>
      </c>
      <c r="AY49" s="8">
        <v>381</v>
      </c>
      <c r="AZ49" s="8">
        <v>1405</v>
      </c>
      <c r="BA49" s="8">
        <v>42</v>
      </c>
      <c r="BB49" s="8">
        <v>90</v>
      </c>
      <c r="BC49" s="8">
        <v>89</v>
      </c>
      <c r="BD49" s="8">
        <v>0</v>
      </c>
      <c r="BE49" s="8">
        <v>358</v>
      </c>
      <c r="BF49" s="202">
        <v>2784</v>
      </c>
    </row>
    <row r="50" spans="1:58" ht="14.25" x14ac:dyDescent="0.45">
      <c r="A50" t="s">
        <v>341</v>
      </c>
      <c r="B50" t="s">
        <v>342</v>
      </c>
      <c r="C50" t="s">
        <v>256</v>
      </c>
      <c r="D50" t="s">
        <v>199</v>
      </c>
      <c r="E50" t="s">
        <v>345</v>
      </c>
      <c r="F50" s="55">
        <v>0</v>
      </c>
      <c r="G50" s="51">
        <v>0</v>
      </c>
      <c r="H50" s="56"/>
      <c r="I50" s="51">
        <v>0</v>
      </c>
      <c r="J50" s="51">
        <v>0</v>
      </c>
      <c r="K50" s="51">
        <v>0</v>
      </c>
      <c r="L50" s="51">
        <v>0</v>
      </c>
      <c r="M50" s="51">
        <v>0</v>
      </c>
      <c r="N50" s="51">
        <v>0</v>
      </c>
      <c r="O50" s="51">
        <v>0</v>
      </c>
      <c r="P50" s="51">
        <v>0</v>
      </c>
      <c r="Q50" s="51">
        <v>0</v>
      </c>
      <c r="R50" s="51">
        <v>0</v>
      </c>
      <c r="S50" s="51"/>
      <c r="T50" s="51">
        <v>0</v>
      </c>
      <c r="U50" s="57"/>
      <c r="V50" s="51"/>
      <c r="W50" s="51"/>
      <c r="X50" s="51"/>
      <c r="Y50" s="51"/>
      <c r="Z50" s="51"/>
      <c r="AA50" s="51"/>
      <c r="AB50" s="51"/>
      <c r="AC50" s="51"/>
      <c r="AD50" s="51"/>
      <c r="AE50" s="51"/>
      <c r="AF50" s="51"/>
      <c r="AG50" s="57">
        <v>0</v>
      </c>
      <c r="AH50" s="51">
        <v>0</v>
      </c>
      <c r="AI50" s="51">
        <v>0</v>
      </c>
      <c r="AJ50" s="51">
        <v>0</v>
      </c>
      <c r="AK50" s="51">
        <v>0</v>
      </c>
      <c r="AL50" s="51">
        <v>0</v>
      </c>
      <c r="AM50" s="51">
        <v>0</v>
      </c>
      <c r="AN50" s="51">
        <v>0</v>
      </c>
      <c r="AO50" s="51">
        <v>0</v>
      </c>
      <c r="AP50" s="51">
        <v>0</v>
      </c>
      <c r="AQ50" s="51">
        <v>0</v>
      </c>
      <c r="AR50" s="51">
        <v>0</v>
      </c>
      <c r="AS50" s="201">
        <v>0</v>
      </c>
      <c r="AT50" s="57">
        <v>0</v>
      </c>
      <c r="AU50" s="51">
        <v>0</v>
      </c>
      <c r="AV50" s="51">
        <v>0</v>
      </c>
      <c r="AW50" s="51">
        <v>0</v>
      </c>
      <c r="AX50" s="51">
        <v>0</v>
      </c>
      <c r="AY50" s="51">
        <v>0</v>
      </c>
      <c r="AZ50" s="51">
        <v>0</v>
      </c>
      <c r="BA50" s="51">
        <v>0</v>
      </c>
      <c r="BB50" s="51">
        <v>0</v>
      </c>
      <c r="BC50" s="51">
        <v>0</v>
      </c>
      <c r="BD50" s="51">
        <v>0</v>
      </c>
      <c r="BE50" s="51">
        <v>0</v>
      </c>
      <c r="BF50" s="201">
        <v>0</v>
      </c>
    </row>
    <row r="51" spans="1:58" ht="14.25" x14ac:dyDescent="0.45">
      <c r="A51" t="s">
        <v>346</v>
      </c>
      <c r="B51" t="s">
        <v>347</v>
      </c>
      <c r="C51" t="s">
        <v>245</v>
      </c>
      <c r="D51" t="s">
        <v>199</v>
      </c>
      <c r="E51" t="s">
        <v>348</v>
      </c>
      <c r="F51" s="55">
        <v>0</v>
      </c>
      <c r="G51" s="51">
        <v>0</v>
      </c>
      <c r="H51" s="56"/>
      <c r="I51" s="51">
        <v>0</v>
      </c>
      <c r="J51" s="51">
        <v>0</v>
      </c>
      <c r="K51" s="51">
        <v>0</v>
      </c>
      <c r="L51" s="51">
        <v>0</v>
      </c>
      <c r="M51" s="51">
        <v>0</v>
      </c>
      <c r="N51" s="51">
        <v>0</v>
      </c>
      <c r="O51" s="51">
        <v>0</v>
      </c>
      <c r="P51" s="51">
        <v>0</v>
      </c>
      <c r="Q51" s="51">
        <v>0</v>
      </c>
      <c r="R51" s="51">
        <v>0</v>
      </c>
      <c r="S51" s="51"/>
      <c r="T51" s="51">
        <v>0</v>
      </c>
      <c r="U51" s="57"/>
      <c r="V51" s="51"/>
      <c r="W51" s="51"/>
      <c r="X51" s="51"/>
      <c r="Y51" s="51"/>
      <c r="Z51" s="51"/>
      <c r="AA51" s="51"/>
      <c r="AB51" s="51"/>
      <c r="AC51" s="51"/>
      <c r="AD51" s="51"/>
      <c r="AE51" s="51"/>
      <c r="AF51" s="51"/>
      <c r="AG51" s="57">
        <v>0</v>
      </c>
      <c r="AH51" s="51">
        <v>0</v>
      </c>
      <c r="AI51" s="51">
        <v>0</v>
      </c>
      <c r="AJ51" s="51">
        <v>0</v>
      </c>
      <c r="AK51" s="51">
        <v>0</v>
      </c>
      <c r="AL51" s="51">
        <v>0</v>
      </c>
      <c r="AM51" s="51">
        <v>0</v>
      </c>
      <c r="AN51" s="51">
        <v>0</v>
      </c>
      <c r="AO51" s="51">
        <v>0</v>
      </c>
      <c r="AP51" s="51">
        <v>0</v>
      </c>
      <c r="AQ51" s="51">
        <v>0</v>
      </c>
      <c r="AR51" s="51">
        <v>0</v>
      </c>
      <c r="AS51" s="201">
        <v>0</v>
      </c>
      <c r="AT51" s="57">
        <v>0</v>
      </c>
      <c r="AU51" s="51">
        <v>0</v>
      </c>
      <c r="AV51" s="51">
        <v>0</v>
      </c>
      <c r="AW51" s="51">
        <v>0</v>
      </c>
      <c r="AX51" s="51">
        <v>0</v>
      </c>
      <c r="AY51" s="51">
        <v>0</v>
      </c>
      <c r="AZ51" s="51">
        <v>0</v>
      </c>
      <c r="BA51" s="51">
        <v>0</v>
      </c>
      <c r="BB51" s="51">
        <v>0</v>
      </c>
      <c r="BC51" s="51">
        <v>0</v>
      </c>
      <c r="BD51" s="51">
        <v>0</v>
      </c>
      <c r="BE51" s="51">
        <v>0</v>
      </c>
      <c r="BF51" s="201">
        <v>0</v>
      </c>
    </row>
    <row r="52" spans="1:58" ht="14.25" x14ac:dyDescent="0.45">
      <c r="A52" t="s">
        <v>33</v>
      </c>
      <c r="B52" t="s">
        <v>191</v>
      </c>
      <c r="C52" t="s">
        <v>192</v>
      </c>
      <c r="D52" t="s">
        <v>193</v>
      </c>
      <c r="E52" t="s">
        <v>194</v>
      </c>
      <c r="F52" s="10">
        <v>7414</v>
      </c>
      <c r="G52" s="8">
        <v>224914</v>
      </c>
      <c r="H52" s="9">
        <v>232328</v>
      </c>
      <c r="I52" s="8"/>
      <c r="J52" s="8"/>
      <c r="K52" s="8"/>
      <c r="L52" s="8"/>
      <c r="M52" s="8"/>
      <c r="N52" s="8"/>
      <c r="O52" s="8"/>
      <c r="P52" s="8"/>
      <c r="Q52" s="8"/>
      <c r="R52" s="8"/>
      <c r="S52" s="8"/>
      <c r="T52" s="8">
        <v>224914</v>
      </c>
      <c r="U52" s="167"/>
      <c r="V52" s="52"/>
      <c r="W52" s="52"/>
      <c r="X52" s="52"/>
      <c r="Y52" s="52"/>
      <c r="Z52" s="52"/>
      <c r="AA52" s="52"/>
      <c r="AB52" s="52"/>
      <c r="AC52" s="52"/>
      <c r="AD52" s="52"/>
      <c r="AE52" s="52"/>
      <c r="AF52" s="8">
        <v>5</v>
      </c>
      <c r="AG52" s="54"/>
      <c r="AH52" s="8"/>
      <c r="AI52" s="8"/>
      <c r="AJ52" s="8"/>
      <c r="AK52" s="8"/>
      <c r="AL52" s="8"/>
      <c r="AM52" s="8"/>
      <c r="AN52" s="8"/>
      <c r="AO52" s="8"/>
      <c r="AP52" s="8"/>
      <c r="AQ52" s="8"/>
      <c r="AR52" s="8"/>
      <c r="AS52" s="202">
        <v>128460</v>
      </c>
      <c r="AT52" s="54"/>
      <c r="AU52" s="8"/>
      <c r="AV52" s="8"/>
      <c r="AW52" s="8"/>
      <c r="AX52" s="8"/>
      <c r="AY52" s="8"/>
      <c r="AZ52" s="8"/>
      <c r="BA52" s="8"/>
      <c r="BB52" s="8"/>
      <c r="BC52" s="8"/>
      <c r="BD52" s="8"/>
      <c r="BE52" s="8"/>
      <c r="BF52" s="202">
        <v>128460</v>
      </c>
    </row>
    <row r="53" spans="1:58" ht="15" customHeight="1" x14ac:dyDescent="0.45">
      <c r="A53" t="s">
        <v>33</v>
      </c>
      <c r="B53" t="s">
        <v>191</v>
      </c>
      <c r="C53" t="s">
        <v>195</v>
      </c>
      <c r="D53" t="s">
        <v>196</v>
      </c>
      <c r="E53" t="s">
        <v>197</v>
      </c>
      <c r="F53" s="10">
        <v>10647</v>
      </c>
      <c r="G53" s="8">
        <v>225310</v>
      </c>
      <c r="H53" s="9">
        <v>235957</v>
      </c>
      <c r="I53" s="8"/>
      <c r="J53" s="8"/>
      <c r="K53" s="8"/>
      <c r="L53" s="8"/>
      <c r="M53" s="8"/>
      <c r="N53" s="8"/>
      <c r="O53" s="8"/>
      <c r="P53" s="8"/>
      <c r="Q53" s="8"/>
      <c r="R53" s="8"/>
      <c r="S53" s="8"/>
      <c r="T53" s="8">
        <v>225310</v>
      </c>
      <c r="U53" s="167"/>
      <c r="V53" s="52"/>
      <c r="W53" s="52"/>
      <c r="X53" s="52"/>
      <c r="Y53" s="52"/>
      <c r="Z53" s="52"/>
      <c r="AA53" s="52"/>
      <c r="AB53" s="52"/>
      <c r="AC53" s="52"/>
      <c r="AD53" s="52"/>
      <c r="AE53" s="52"/>
      <c r="AF53" s="8">
        <v>4</v>
      </c>
      <c r="AG53" s="54"/>
      <c r="AH53" s="8"/>
      <c r="AI53" s="8"/>
      <c r="AJ53" s="8"/>
      <c r="AK53" s="8"/>
      <c r="AL53" s="8"/>
      <c r="AM53" s="8"/>
      <c r="AN53" s="8"/>
      <c r="AO53" s="8"/>
      <c r="AP53" s="8"/>
      <c r="AQ53" s="8"/>
      <c r="AR53" s="8"/>
      <c r="AS53" s="202">
        <v>151946</v>
      </c>
      <c r="AT53" s="54"/>
      <c r="AU53" s="8"/>
      <c r="AV53" s="8"/>
      <c r="AW53" s="8"/>
      <c r="AX53" s="8"/>
      <c r="AY53" s="8"/>
      <c r="AZ53" s="8"/>
      <c r="BA53" s="8"/>
      <c r="BB53" s="8"/>
      <c r="BC53" s="8"/>
      <c r="BD53" s="8"/>
      <c r="BE53" s="8"/>
      <c r="BF53" s="202">
        <v>151946</v>
      </c>
    </row>
    <row r="54" spans="1:58" ht="15" customHeight="1" x14ac:dyDescent="0.45">
      <c r="A54" t="s">
        <v>33</v>
      </c>
      <c r="B54" t="s">
        <v>191</v>
      </c>
      <c r="C54" t="s">
        <v>198</v>
      </c>
      <c r="D54" t="s">
        <v>199</v>
      </c>
      <c r="E54" t="s">
        <v>200</v>
      </c>
      <c r="F54" s="55">
        <v>0</v>
      </c>
      <c r="G54" s="51">
        <v>0</v>
      </c>
      <c r="H54" s="56"/>
      <c r="I54" s="51"/>
      <c r="J54" s="51"/>
      <c r="K54" s="51"/>
      <c r="L54" s="51"/>
      <c r="M54" s="51"/>
      <c r="N54" s="51"/>
      <c r="O54" s="51"/>
      <c r="P54" s="51"/>
      <c r="Q54" s="51"/>
      <c r="R54" s="51"/>
      <c r="S54" s="51"/>
      <c r="T54" s="51">
        <v>0</v>
      </c>
      <c r="U54" s="57"/>
      <c r="V54" s="51"/>
      <c r="W54" s="51"/>
      <c r="X54" s="51"/>
      <c r="Y54" s="51"/>
      <c r="Z54" s="51"/>
      <c r="AA54" s="51"/>
      <c r="AB54" s="51"/>
      <c r="AC54" s="51"/>
      <c r="AD54" s="51"/>
      <c r="AE54" s="51"/>
      <c r="AF54" s="51"/>
      <c r="AG54" s="57"/>
      <c r="AH54" s="51"/>
      <c r="AI54" s="51"/>
      <c r="AJ54" s="51"/>
      <c r="AK54" s="51"/>
      <c r="AL54" s="51"/>
      <c r="AM54" s="51"/>
      <c r="AN54" s="51"/>
      <c r="AO54" s="51"/>
      <c r="AP54" s="51"/>
      <c r="AQ54" s="51"/>
      <c r="AR54" s="51"/>
      <c r="AS54" s="201">
        <v>0</v>
      </c>
      <c r="AT54" s="57"/>
      <c r="AU54" s="51"/>
      <c r="AV54" s="51"/>
      <c r="AW54" s="51"/>
      <c r="AX54" s="51"/>
      <c r="AY54" s="51"/>
      <c r="AZ54" s="51"/>
      <c r="BA54" s="51"/>
      <c r="BB54" s="51"/>
      <c r="BC54" s="51"/>
      <c r="BD54" s="51"/>
      <c r="BE54" s="51"/>
      <c r="BF54" s="201">
        <v>0</v>
      </c>
    </row>
    <row r="55" spans="1:58" ht="15" customHeight="1" x14ac:dyDescent="0.45">
      <c r="A55" t="s">
        <v>33</v>
      </c>
      <c r="B55" t="s">
        <v>191</v>
      </c>
      <c r="C55" t="s">
        <v>201</v>
      </c>
      <c r="D55" t="s">
        <v>199</v>
      </c>
      <c r="E55" t="s">
        <v>202</v>
      </c>
      <c r="F55" s="55">
        <v>0</v>
      </c>
      <c r="G55" s="51">
        <v>0</v>
      </c>
      <c r="H55" s="56"/>
      <c r="I55" s="51"/>
      <c r="J55" s="51"/>
      <c r="K55" s="51"/>
      <c r="L55" s="51"/>
      <c r="M55" s="51"/>
      <c r="N55" s="51"/>
      <c r="O55" s="51"/>
      <c r="P55" s="51"/>
      <c r="Q55" s="51"/>
      <c r="R55" s="51"/>
      <c r="S55" s="51"/>
      <c r="T55" s="51">
        <v>0</v>
      </c>
      <c r="U55" s="57"/>
      <c r="V55" s="51"/>
      <c r="W55" s="51"/>
      <c r="X55" s="51"/>
      <c r="Y55" s="51"/>
      <c r="Z55" s="51"/>
      <c r="AA55" s="51"/>
      <c r="AB55" s="51"/>
      <c r="AC55" s="51"/>
      <c r="AD55" s="51"/>
      <c r="AE55" s="51"/>
      <c r="AF55" s="51"/>
      <c r="AG55" s="57"/>
      <c r="AH55" s="51"/>
      <c r="AI55" s="51"/>
      <c r="AJ55" s="51"/>
      <c r="AK55" s="51"/>
      <c r="AL55" s="51"/>
      <c r="AM55" s="51"/>
      <c r="AN55" s="51"/>
      <c r="AO55" s="51"/>
      <c r="AP55" s="51"/>
      <c r="AQ55" s="51"/>
      <c r="AR55" s="51"/>
      <c r="AS55" s="201">
        <v>0</v>
      </c>
      <c r="AT55" s="57"/>
      <c r="AU55" s="51"/>
      <c r="AV55" s="51"/>
      <c r="AW55" s="51"/>
      <c r="AX55" s="51"/>
      <c r="AY55" s="51"/>
      <c r="AZ55" s="51"/>
      <c r="BA55" s="51"/>
      <c r="BB55" s="51"/>
      <c r="BC55" s="51"/>
      <c r="BD55" s="51"/>
      <c r="BE55" s="51"/>
      <c r="BF55" s="201">
        <v>0</v>
      </c>
    </row>
    <row r="56" spans="1:58" ht="15" customHeight="1" x14ac:dyDescent="0.45">
      <c r="A56" t="s">
        <v>141</v>
      </c>
      <c r="F56" s="20">
        <f>SUBTOTAL(109,ndp_SP1[idp_aff_sp1])</f>
        <v>666479</v>
      </c>
      <c r="G56" s="13">
        <f>SUBTOTAL(109,ndp_SP1[ndp_aff_sp1])</f>
        <v>2783027.1812926992</v>
      </c>
      <c r="H56" s="14">
        <f>SUBTOTAL(109,ndp_SP1[overall_aff_sp1])</f>
        <v>3449506.1812926992</v>
      </c>
      <c r="I56" s="14"/>
      <c r="J56" s="14"/>
      <c r="K56" s="14"/>
      <c r="L56" s="14"/>
      <c r="M56" s="14"/>
      <c r="N56" s="14"/>
      <c r="O56" s="14"/>
      <c r="P56" s="14"/>
      <c r="Q56" s="14"/>
      <c r="R56" s="14"/>
      <c r="S56" s="14"/>
      <c r="T56" s="13">
        <f>SUBTOTAL(109,ndp_SP1[sp1_ndp_pin_adopted])</f>
        <v>2536152</v>
      </c>
      <c r="U56" s="59"/>
      <c r="V56" s="12"/>
      <c r="W56" s="12"/>
      <c r="X56" s="12"/>
      <c r="Y56" s="12"/>
      <c r="Z56" s="12"/>
      <c r="AA56" s="12"/>
      <c r="AB56" s="12"/>
      <c r="AC56" s="12"/>
      <c r="AD56" s="12"/>
      <c r="AE56" s="12"/>
      <c r="AF56" s="11"/>
      <c r="AG56" s="209"/>
      <c r="AH56" s="210"/>
      <c r="AI56" s="210"/>
      <c r="AJ56" s="210"/>
      <c r="AK56" s="210"/>
      <c r="AL56" s="210"/>
      <c r="AM56" s="210"/>
      <c r="AN56" s="210"/>
      <c r="AO56" s="210"/>
      <c r="AP56" s="210"/>
      <c r="AQ56" s="210"/>
      <c r="AR56" s="210"/>
      <c r="AS56" s="211">
        <f>SUBTOTAL(109,ndp_SP1[sp1_ndp_target_joint])</f>
        <v>2200151</v>
      </c>
      <c r="AT56" s="209"/>
      <c r="AU56" s="14"/>
      <c r="AV56" s="14"/>
      <c r="AW56" s="14"/>
      <c r="AX56" s="14"/>
      <c r="AY56" s="14"/>
      <c r="AZ56" s="14"/>
      <c r="BA56" s="14"/>
      <c r="BB56" s="14"/>
      <c r="BC56" s="14"/>
      <c r="BD56" s="14"/>
      <c r="BE56" s="14"/>
      <c r="BF56" s="14">
        <f>SUBTOTAL(109,ndp_SP1[sp1_ndp_targetPr_joint])</f>
        <v>2196564</v>
      </c>
    </row>
    <row r="62" spans="1:58" ht="15" customHeight="1" x14ac:dyDescent="0.45">
      <c r="R62" s="61"/>
    </row>
  </sheetData>
  <mergeCells count="1">
    <mergeCell ref="T5:T6"/>
  </mergeCells>
  <phoneticPr fontId="2"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2E45E-CA64-429C-A668-D64EF90D7242}">
  <sheetPr codeName="Sheet17"/>
  <dimension ref="A1:AQ8"/>
  <sheetViews>
    <sheetView showGridLines="0" zoomScaleNormal="100" workbookViewId="0">
      <selection activeCell="D15" sqref="D15"/>
    </sheetView>
  </sheetViews>
  <sheetFormatPr defaultRowHeight="14.25" x14ac:dyDescent="0.45"/>
  <cols>
    <col min="1" max="2" width="8.53125" customWidth="1"/>
    <col min="3" max="3" width="14.19921875" customWidth="1"/>
    <col min="4" max="4" width="16.06640625" customWidth="1"/>
    <col min="5" max="5" width="15.86328125" customWidth="1"/>
    <col min="6" max="30" width="8.1328125" customWidth="1"/>
  </cols>
  <sheetData>
    <row r="1" spans="1:43" ht="19.899999999999999" x14ac:dyDescent="0.45">
      <c r="A1" s="296" t="s">
        <v>730</v>
      </c>
    </row>
    <row r="2" spans="1:43" ht="19.899999999999999" x14ac:dyDescent="0.45">
      <c r="A2" s="297" t="s">
        <v>4284</v>
      </c>
    </row>
    <row r="3" spans="1:43" x14ac:dyDescent="0.45">
      <c r="A3" s="5" t="str">
        <f>ActivityList!A3</f>
        <v>Release Date: 13 January 2026</v>
      </c>
    </row>
    <row r="4" spans="1:43" ht="16.5" customHeight="1" x14ac:dyDescent="0.45">
      <c r="D4" s="70"/>
      <c r="E4" s="71"/>
      <c r="F4" s="43" t="s">
        <v>224</v>
      </c>
      <c r="G4" s="43"/>
      <c r="H4" s="43"/>
      <c r="I4" s="43"/>
      <c r="J4" s="43"/>
      <c r="K4" s="43"/>
      <c r="L4" s="43" t="s">
        <v>351</v>
      </c>
      <c r="M4" s="43"/>
      <c r="N4" s="43"/>
      <c r="O4" s="92" t="s">
        <v>352</v>
      </c>
      <c r="P4" s="43"/>
      <c r="Q4" s="379" t="s">
        <v>485</v>
      </c>
      <c r="R4" s="67" t="s">
        <v>226</v>
      </c>
      <c r="S4" s="67"/>
      <c r="T4" s="67"/>
      <c r="U4" s="67"/>
      <c r="V4" s="67"/>
      <c r="W4" s="67"/>
      <c r="X4" s="74" t="s">
        <v>351</v>
      </c>
      <c r="Y4" s="67"/>
      <c r="Z4" s="67"/>
      <c r="AA4" s="93" t="s">
        <v>352</v>
      </c>
      <c r="AB4" s="68"/>
      <c r="AC4" s="78"/>
      <c r="AD4" s="67" t="s">
        <v>141</v>
      </c>
      <c r="AE4" s="189" t="s">
        <v>4035</v>
      </c>
      <c r="AF4" s="189"/>
      <c r="AG4" s="189"/>
      <c r="AH4" s="189"/>
      <c r="AI4" s="189"/>
      <c r="AJ4" s="189"/>
      <c r="AK4" s="190" t="s">
        <v>351</v>
      </c>
      <c r="AL4" s="189"/>
      <c r="AM4" s="191"/>
      <c r="AN4" s="190" t="s">
        <v>352</v>
      </c>
      <c r="AO4" s="189"/>
      <c r="AP4" s="192"/>
      <c r="AQ4" s="193" t="s">
        <v>141</v>
      </c>
    </row>
    <row r="5" spans="1:43" ht="14.75" customHeight="1" x14ac:dyDescent="0.45">
      <c r="A5" s="1" t="s">
        <v>211</v>
      </c>
      <c r="B5" s="1" t="s">
        <v>4252</v>
      </c>
      <c r="C5" s="1" t="s">
        <v>138</v>
      </c>
      <c r="D5" s="72" t="s">
        <v>588</v>
      </c>
      <c r="E5" s="73" t="s">
        <v>589</v>
      </c>
      <c r="F5" s="44" t="s">
        <v>140</v>
      </c>
      <c r="G5" s="44" t="s">
        <v>368</v>
      </c>
      <c r="H5" s="44" t="s">
        <v>145</v>
      </c>
      <c r="I5" s="44" t="s">
        <v>146</v>
      </c>
      <c r="J5" s="44" t="s">
        <v>150</v>
      </c>
      <c r="K5" s="44" t="s">
        <v>148</v>
      </c>
      <c r="L5" s="46" t="s">
        <v>354</v>
      </c>
      <c r="M5" s="46" t="s">
        <v>143</v>
      </c>
      <c r="N5" s="46" t="s">
        <v>149</v>
      </c>
      <c r="O5" s="75" t="s">
        <v>142</v>
      </c>
      <c r="P5" s="46" t="s">
        <v>144</v>
      </c>
      <c r="Q5" s="379"/>
      <c r="R5" s="68" t="s">
        <v>140</v>
      </c>
      <c r="S5" s="68" t="s">
        <v>368</v>
      </c>
      <c r="T5" s="68" t="s">
        <v>145</v>
      </c>
      <c r="U5" s="68" t="s">
        <v>146</v>
      </c>
      <c r="V5" s="68" t="s">
        <v>150</v>
      </c>
      <c r="W5" s="68" t="s">
        <v>148</v>
      </c>
      <c r="X5" s="75" t="s">
        <v>354</v>
      </c>
      <c r="Y5" s="46" t="s">
        <v>143</v>
      </c>
      <c r="Z5" s="46" t="s">
        <v>149</v>
      </c>
      <c r="AA5" s="100" t="s">
        <v>142</v>
      </c>
      <c r="AB5" s="101" t="s">
        <v>144</v>
      </c>
      <c r="AC5" s="78" t="s">
        <v>147</v>
      </c>
      <c r="AD5" s="111"/>
      <c r="AE5" s="194" t="s">
        <v>140</v>
      </c>
      <c r="AF5" s="194" t="s">
        <v>368</v>
      </c>
      <c r="AG5" s="194" t="s">
        <v>145</v>
      </c>
      <c r="AH5" s="194" t="s">
        <v>146</v>
      </c>
      <c r="AI5" s="194" t="s">
        <v>150</v>
      </c>
      <c r="AJ5" s="194" t="s">
        <v>148</v>
      </c>
      <c r="AK5" s="193" t="s">
        <v>354</v>
      </c>
      <c r="AL5" s="194" t="s">
        <v>143</v>
      </c>
      <c r="AM5" s="195" t="s">
        <v>149</v>
      </c>
      <c r="AN5" s="195" t="s">
        <v>142</v>
      </c>
      <c r="AO5" s="195" t="s">
        <v>144</v>
      </c>
      <c r="AP5" s="192" t="s">
        <v>147</v>
      </c>
      <c r="AQ5" s="197"/>
    </row>
    <row r="6" spans="1:43" x14ac:dyDescent="0.45">
      <c r="A6" s="4" t="s">
        <v>167</v>
      </c>
      <c r="B6" s="3" t="s">
        <v>168</v>
      </c>
      <c r="C6" s="25" t="s">
        <v>212</v>
      </c>
      <c r="D6" s="18" t="s">
        <v>590</v>
      </c>
      <c r="E6" s="18" t="s">
        <v>591</v>
      </c>
      <c r="F6" s="218" t="s">
        <v>592</v>
      </c>
      <c r="G6" s="208" t="s">
        <v>4192</v>
      </c>
      <c r="H6" s="208" t="s">
        <v>594</v>
      </c>
      <c r="I6" s="208" t="s">
        <v>595</v>
      </c>
      <c r="J6" s="208" t="s">
        <v>596</v>
      </c>
      <c r="K6" s="208" t="s">
        <v>597</v>
      </c>
      <c r="L6" s="208" t="s">
        <v>598</v>
      </c>
      <c r="M6" s="208" t="s">
        <v>599</v>
      </c>
      <c r="N6" s="208" t="s">
        <v>600</v>
      </c>
      <c r="O6" s="208" t="s">
        <v>593</v>
      </c>
      <c r="P6" s="208" t="s">
        <v>601</v>
      </c>
      <c r="Q6" s="208" t="s">
        <v>602</v>
      </c>
      <c r="R6" s="206" t="s">
        <v>603</v>
      </c>
      <c r="S6" s="207" t="s">
        <v>4193</v>
      </c>
      <c r="T6" s="207" t="s">
        <v>605</v>
      </c>
      <c r="U6" s="207" t="s">
        <v>606</v>
      </c>
      <c r="V6" s="207" t="s">
        <v>607</v>
      </c>
      <c r="W6" s="207" t="s">
        <v>608</v>
      </c>
      <c r="X6" s="207" t="s">
        <v>609</v>
      </c>
      <c r="Y6" s="207" t="s">
        <v>610</v>
      </c>
      <c r="Z6" s="207" t="s">
        <v>611</v>
      </c>
      <c r="AA6" s="207" t="s">
        <v>604</v>
      </c>
      <c r="AB6" s="207" t="s">
        <v>612</v>
      </c>
      <c r="AC6" s="207" t="s">
        <v>4226</v>
      </c>
      <c r="AD6" s="208" t="s">
        <v>613</v>
      </c>
      <c r="AE6" s="206" t="s">
        <v>4082</v>
      </c>
      <c r="AF6" s="207" t="s">
        <v>4194</v>
      </c>
      <c r="AG6" s="207" t="s">
        <v>4084</v>
      </c>
      <c r="AH6" s="207" t="s">
        <v>4085</v>
      </c>
      <c r="AI6" s="207" t="s">
        <v>4086</v>
      </c>
      <c r="AJ6" s="207" t="s">
        <v>4087</v>
      </c>
      <c r="AK6" s="207" t="s">
        <v>4088</v>
      </c>
      <c r="AL6" s="207" t="s">
        <v>4089</v>
      </c>
      <c r="AM6" s="207" t="s">
        <v>4090</v>
      </c>
      <c r="AN6" s="207" t="s">
        <v>4083</v>
      </c>
      <c r="AO6" s="207" t="s">
        <v>4091</v>
      </c>
      <c r="AP6" s="207" t="s">
        <v>4227</v>
      </c>
      <c r="AQ6" s="208" t="s">
        <v>4092</v>
      </c>
    </row>
    <row r="7" spans="1:43" x14ac:dyDescent="0.45">
      <c r="A7" t="s">
        <v>203</v>
      </c>
      <c r="B7" t="s">
        <v>193</v>
      </c>
      <c r="C7" t="s">
        <v>4344</v>
      </c>
      <c r="D7" s="82">
        <v>504240</v>
      </c>
      <c r="E7" s="8">
        <v>4</v>
      </c>
      <c r="F7" s="213">
        <v>50424</v>
      </c>
      <c r="G7" s="24">
        <v>126060</v>
      </c>
      <c r="H7" s="24">
        <v>252120</v>
      </c>
      <c r="I7" s="24">
        <v>504240</v>
      </c>
      <c r="J7" s="24">
        <v>504240</v>
      </c>
      <c r="K7" s="24">
        <v>504240</v>
      </c>
      <c r="L7" s="24">
        <v>504240</v>
      </c>
      <c r="M7" s="24">
        <v>176484</v>
      </c>
      <c r="N7" s="24">
        <v>302544</v>
      </c>
      <c r="O7" s="24">
        <v>126060</v>
      </c>
      <c r="P7" s="24">
        <v>126060</v>
      </c>
      <c r="Q7" s="214">
        <v>504240</v>
      </c>
      <c r="R7" s="213">
        <v>11093</v>
      </c>
      <c r="S7" s="24">
        <v>126060</v>
      </c>
      <c r="T7" s="24">
        <v>213604</v>
      </c>
      <c r="U7" s="24">
        <v>504240</v>
      </c>
      <c r="V7" s="24">
        <v>246643</v>
      </c>
      <c r="W7" s="24">
        <v>100848</v>
      </c>
      <c r="X7" s="24">
        <v>504240</v>
      </c>
      <c r="Y7" s="24">
        <v>82307</v>
      </c>
      <c r="Z7" s="24">
        <v>75636</v>
      </c>
      <c r="AA7" s="24">
        <v>126060</v>
      </c>
      <c r="AB7" s="24">
        <v>40000</v>
      </c>
      <c r="AC7" s="24">
        <v>300000</v>
      </c>
      <c r="AD7" s="214">
        <v>504240</v>
      </c>
      <c r="AE7" s="213">
        <v>11093</v>
      </c>
      <c r="AF7" s="24">
        <v>126060</v>
      </c>
      <c r="AG7" s="24">
        <v>213604</v>
      </c>
      <c r="AH7" s="24">
        <v>504240</v>
      </c>
      <c r="AI7" s="24">
        <v>246643</v>
      </c>
      <c r="AJ7" s="24">
        <v>100848</v>
      </c>
      <c r="AK7" s="24">
        <v>504240</v>
      </c>
      <c r="AL7" s="24">
        <v>82307</v>
      </c>
      <c r="AM7" s="24">
        <v>75636</v>
      </c>
      <c r="AN7" s="24">
        <v>126060</v>
      </c>
      <c r="AO7" s="24">
        <v>40000</v>
      </c>
      <c r="AP7" s="24">
        <v>300000</v>
      </c>
      <c r="AQ7" s="214">
        <v>504240</v>
      </c>
    </row>
    <row r="8" spans="1:43" x14ac:dyDescent="0.45">
      <c r="A8" t="s">
        <v>141</v>
      </c>
      <c r="D8" s="14">
        <f>SUBTOTAL(109,sp2_idp[sp2_udp_pin])</f>
        <v>504240</v>
      </c>
      <c r="E8" s="14"/>
      <c r="F8" s="215">
        <f>SUBTOTAL(109,sp2_idp[sp2_idp_pin_ed])</f>
        <v>50424</v>
      </c>
      <c r="G8" s="216">
        <f>SUBTOTAL(109,sp2_idp[sp2_idp_pin_fl])</f>
        <v>126060</v>
      </c>
      <c r="H8" s="216">
        <f>SUBTOTAL(109,sp2_idp[sp2_idp_pin_he])</f>
        <v>252120</v>
      </c>
      <c r="I8" s="216">
        <f>SUBTOTAL(109,sp2_idp[sp2_idp_pin_pr])</f>
        <v>504240</v>
      </c>
      <c r="J8" s="216">
        <f>SUBTOTAL(109,sp2_idp[sp2_idp_pin_sn])</f>
        <v>504240</v>
      </c>
      <c r="K8" s="216">
        <f>SUBTOTAL(109,sp2_idp[sp2_idp_pin_wa])</f>
        <v>504240</v>
      </c>
      <c r="L8" s="216">
        <f>SUBTOTAL(109,sp2_idp[sp2_idp_pin_gp])</f>
        <v>504240</v>
      </c>
      <c r="M8" s="216">
        <f>SUBTOTAL(109,sp2_idp[sp2_idp_pin_cp])</f>
        <v>176484</v>
      </c>
      <c r="N8" s="216">
        <f>SUBTOTAL(109,sp2_idp[sp2_idp_pin_gb])</f>
        <v>302544</v>
      </c>
      <c r="O8" s="216">
        <f>SUBTOTAL(109,sp2_idp[sp2_idp_pin_fs])</f>
        <v>126060</v>
      </c>
      <c r="P8" s="216">
        <f>SUBTOTAL(109,sp2_idp[sp2_idp_pin_li])</f>
        <v>126060</v>
      </c>
      <c r="Q8" s="217">
        <f>SUBTOTAL(109,sp2_idp[sp2_idp_pin_adopted])</f>
        <v>504240</v>
      </c>
      <c r="R8" s="215">
        <f>SUBTOTAL(109,sp2_idp[sp2_idp_target_ed])</f>
        <v>11093</v>
      </c>
      <c r="S8" s="216">
        <f>SUBTOTAL(109,sp2_idp[sp2_idp_target_fl])</f>
        <v>126060</v>
      </c>
      <c r="T8" s="216">
        <f>SUBTOTAL(109,sp2_idp[sp2_idp_target_he])</f>
        <v>213604</v>
      </c>
      <c r="U8" s="216">
        <f>SUBTOTAL(109,sp2_idp[sp2_idp_target_pr])</f>
        <v>504240</v>
      </c>
      <c r="V8" s="216">
        <f>SUBTOTAL(109,sp2_idp[sp2_idp_target_sn])</f>
        <v>246643</v>
      </c>
      <c r="W8" s="216">
        <f>SUBTOTAL(109,sp2_idp[sp2_idp_target_wa])</f>
        <v>100848</v>
      </c>
      <c r="X8" s="216">
        <f>SUBTOTAL(109,sp2_idp[sp2_idp_target_gp])</f>
        <v>504240</v>
      </c>
      <c r="Y8" s="216">
        <f>SUBTOTAL(109,sp2_idp[sp2_idp_target_cp])</f>
        <v>82307</v>
      </c>
      <c r="Z8" s="216">
        <f>SUBTOTAL(109,sp2_idp[sp2_idp_target_gb])</f>
        <v>75636</v>
      </c>
      <c r="AA8" s="216">
        <f>SUBTOTAL(109,sp2_idp[sp2_idp_target_fs])</f>
        <v>126060</v>
      </c>
      <c r="AB8" s="216">
        <f>SUBTOTAL(109,sp2_idp[sp2_idp_target_li])</f>
        <v>40000</v>
      </c>
      <c r="AC8" s="216">
        <f>SUBTOTAL(109,sp2_idp[sp2_idp_target_cw])</f>
        <v>300000</v>
      </c>
      <c r="AD8" s="217">
        <f>SUBTOTAL(109,sp2_idp[sp2_idp_target_joint])</f>
        <v>504240</v>
      </c>
      <c r="AE8" s="215">
        <f>SUBTOTAL(109,sp2_idp[sp2_idp_targetPr_ed])</f>
        <v>11093</v>
      </c>
      <c r="AF8" s="216">
        <f>SUBTOTAL(109,sp2_idp[sp2_idp_targetPr_fl])</f>
        <v>126060</v>
      </c>
      <c r="AG8" s="216">
        <f>SUBTOTAL(109,sp2_idp[sp2_idp_targetPr_he])</f>
        <v>213604</v>
      </c>
      <c r="AH8" s="216">
        <f>SUBTOTAL(109,sp2_idp[sp2_idp_targetPr_pr])</f>
        <v>504240</v>
      </c>
      <c r="AI8" s="216">
        <f>SUBTOTAL(109,sp2_idp[sp2_idp_targetPr_sn])</f>
        <v>246643</v>
      </c>
      <c r="AJ8" s="216">
        <f>SUBTOTAL(109,sp2_idp[sp2_idp_targetPr_wa])</f>
        <v>100848</v>
      </c>
      <c r="AK8" s="216">
        <f>SUBTOTAL(109,sp2_idp[sp2_idp_targetPr_gp])</f>
        <v>504240</v>
      </c>
      <c r="AL8" s="216">
        <f>SUBTOTAL(109,sp2_idp[sp2_idp_targetPr_cp])</f>
        <v>82307</v>
      </c>
      <c r="AM8" s="216">
        <f>SUBTOTAL(109,sp2_idp[sp2_idp_targetPr_gb])</f>
        <v>75636</v>
      </c>
      <c r="AN8" s="216">
        <f>SUBTOTAL(109,sp2_idp[sp2_idp_targetPr_fs])</f>
        <v>126060</v>
      </c>
      <c r="AO8" s="216">
        <f>SUBTOTAL(109,sp2_idp[sp2_idp_targetPr_li])</f>
        <v>40000</v>
      </c>
      <c r="AP8" s="216">
        <f>SUBTOTAL(109,sp2_idp[sp2_idp_targetPr_cw])</f>
        <v>300000</v>
      </c>
      <c r="AQ8" s="217">
        <f>SUBTOTAL(109,sp2_idp[sp2_idp_targetPr_joint])</f>
        <v>504240</v>
      </c>
    </row>
  </sheetData>
  <mergeCells count="1">
    <mergeCell ref="Q4:Q5"/>
  </mergeCells>
  <phoneticPr fontId="2"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15353-08AE-42F3-9C80-79E772823D53}">
  <sheetPr codeName="Sheet18"/>
  <dimension ref="A1:AQ15"/>
  <sheetViews>
    <sheetView showGridLines="0" zoomScaleNormal="100" workbookViewId="0">
      <pane xSplit="3" ySplit="6" topLeftCell="D7" activePane="bottomRight" state="frozen"/>
      <selection activeCell="J42" sqref="J42"/>
      <selection pane="topRight" activeCell="J42" sqref="J42"/>
      <selection pane="bottomLeft" activeCell="J42" sqref="J42"/>
      <selection pane="bottomRight" activeCell="C7" sqref="C7"/>
    </sheetView>
  </sheetViews>
  <sheetFormatPr defaultRowHeight="14.25" x14ac:dyDescent="0.45"/>
  <cols>
    <col min="1" max="1" width="21.53125" customWidth="1"/>
    <col min="2" max="2" width="8.53125" customWidth="1"/>
    <col min="3" max="3" width="13.3984375" customWidth="1"/>
    <col min="4" max="4" width="19" bestFit="1" customWidth="1"/>
    <col min="5" max="5" width="17.46484375" bestFit="1" customWidth="1"/>
    <col min="6" max="6" width="8.53125" customWidth="1"/>
    <col min="7" max="7" width="11.86328125" customWidth="1"/>
    <col min="8" max="8" width="8.53125" customWidth="1"/>
    <col min="9" max="9" width="11.3984375" customWidth="1"/>
    <col min="10" max="17" width="10.53125" customWidth="1"/>
    <col min="18" max="30" width="8.53125" customWidth="1"/>
    <col min="31" max="31" width="7.1328125" customWidth="1"/>
  </cols>
  <sheetData>
    <row r="1" spans="1:43" ht="19.899999999999999" x14ac:dyDescent="0.45">
      <c r="A1" s="296" t="s">
        <v>730</v>
      </c>
    </row>
    <row r="2" spans="1:43" ht="19.899999999999999" x14ac:dyDescent="0.45">
      <c r="A2" s="297" t="s">
        <v>4268</v>
      </c>
    </row>
    <row r="3" spans="1:43" ht="15" customHeight="1" thickBot="1" x14ac:dyDescent="0.5">
      <c r="A3" s="5" t="str">
        <f>ActivityList!A3</f>
        <v>Release Date: 13 January 2026</v>
      </c>
    </row>
    <row r="4" spans="1:43" ht="15" customHeight="1" x14ac:dyDescent="0.45">
      <c r="D4" s="219" t="s">
        <v>614</v>
      </c>
      <c r="E4" s="220"/>
      <c r="F4" s="225" t="s">
        <v>615</v>
      </c>
      <c r="G4" s="226"/>
      <c r="H4" s="226"/>
      <c r="I4" s="226"/>
      <c r="J4" s="226"/>
      <c r="K4" s="226"/>
      <c r="L4" s="226" t="s">
        <v>351</v>
      </c>
      <c r="M4" s="226"/>
      <c r="N4" s="226"/>
      <c r="O4" s="227" t="s">
        <v>352</v>
      </c>
      <c r="P4" s="228"/>
      <c r="Q4" s="229"/>
      <c r="R4" s="249" t="s">
        <v>616</v>
      </c>
      <c r="S4" s="250"/>
      <c r="T4" s="250"/>
      <c r="U4" s="250"/>
      <c r="V4" s="250"/>
      <c r="W4" s="250"/>
      <c r="X4" s="251" t="s">
        <v>351</v>
      </c>
      <c r="Y4" s="250"/>
      <c r="Z4" s="252"/>
      <c r="AA4" s="251" t="s">
        <v>352</v>
      </c>
      <c r="AB4" s="252"/>
      <c r="AC4" s="256"/>
      <c r="AD4" s="253" t="s">
        <v>141</v>
      </c>
      <c r="AE4" s="234" t="s">
        <v>4047</v>
      </c>
      <c r="AF4" s="235"/>
      <c r="AG4" s="235"/>
      <c r="AH4" s="235"/>
      <c r="AI4" s="235"/>
      <c r="AJ4" s="235"/>
      <c r="AK4" s="236" t="s">
        <v>351</v>
      </c>
      <c r="AL4" s="235"/>
      <c r="AM4" s="237"/>
      <c r="AN4" s="236" t="s">
        <v>352</v>
      </c>
      <c r="AO4" s="237"/>
      <c r="AP4" s="238"/>
      <c r="AQ4" s="239" t="s">
        <v>141</v>
      </c>
    </row>
    <row r="5" spans="1:43" ht="15" customHeight="1" x14ac:dyDescent="0.45">
      <c r="A5" s="1" t="s">
        <v>211</v>
      </c>
      <c r="B5" s="1" t="s">
        <v>4252</v>
      </c>
      <c r="C5" s="1" t="s">
        <v>138</v>
      </c>
      <c r="D5" s="221" t="s">
        <v>588</v>
      </c>
      <c r="E5" s="222" t="s">
        <v>589</v>
      </c>
      <c r="F5" s="230" t="s">
        <v>140</v>
      </c>
      <c r="G5" s="44" t="s">
        <v>368</v>
      </c>
      <c r="H5" s="44" t="s">
        <v>145</v>
      </c>
      <c r="I5" s="44" t="s">
        <v>146</v>
      </c>
      <c r="J5" s="44" t="s">
        <v>150</v>
      </c>
      <c r="K5" s="44" t="s">
        <v>148</v>
      </c>
      <c r="L5" s="46" t="s">
        <v>354</v>
      </c>
      <c r="M5" s="46" t="s">
        <v>143</v>
      </c>
      <c r="N5" s="46" t="s">
        <v>149</v>
      </c>
      <c r="O5" s="75" t="s">
        <v>142</v>
      </c>
      <c r="P5" s="77" t="s">
        <v>144</v>
      </c>
      <c r="Q5" s="132" t="s">
        <v>483</v>
      </c>
      <c r="R5" s="254" t="s">
        <v>140</v>
      </c>
      <c r="S5" s="68" t="s">
        <v>368</v>
      </c>
      <c r="T5" s="68" t="s">
        <v>145</v>
      </c>
      <c r="U5" s="68" t="s">
        <v>146</v>
      </c>
      <c r="V5" s="68" t="s">
        <v>150</v>
      </c>
      <c r="W5" s="68" t="s">
        <v>148</v>
      </c>
      <c r="X5" s="75" t="s">
        <v>354</v>
      </c>
      <c r="Y5" s="46" t="s">
        <v>143</v>
      </c>
      <c r="Z5" s="77" t="s">
        <v>149</v>
      </c>
      <c r="AA5" s="90" t="s">
        <v>142</v>
      </c>
      <c r="AB5" s="91" t="s">
        <v>144</v>
      </c>
      <c r="AC5" s="78" t="s">
        <v>147</v>
      </c>
      <c r="AD5" s="255" t="s">
        <v>11</v>
      </c>
      <c r="AE5" s="240" t="s">
        <v>140</v>
      </c>
      <c r="AF5" s="194" t="s">
        <v>368</v>
      </c>
      <c r="AG5" s="194" t="s">
        <v>145</v>
      </c>
      <c r="AH5" s="194" t="s">
        <v>146</v>
      </c>
      <c r="AI5" s="194" t="s">
        <v>150</v>
      </c>
      <c r="AJ5" s="194" t="s">
        <v>148</v>
      </c>
      <c r="AK5" s="75" t="s">
        <v>354</v>
      </c>
      <c r="AL5" s="46" t="s">
        <v>143</v>
      </c>
      <c r="AM5" s="46" t="s">
        <v>149</v>
      </c>
      <c r="AN5" s="90" t="s">
        <v>142</v>
      </c>
      <c r="AO5" s="91" t="s">
        <v>144</v>
      </c>
      <c r="AP5" s="192" t="s">
        <v>147</v>
      </c>
      <c r="AQ5" s="241" t="s">
        <v>11</v>
      </c>
    </row>
    <row r="6" spans="1:43" ht="15" customHeight="1" x14ac:dyDescent="0.45">
      <c r="A6" s="4" t="s">
        <v>167</v>
      </c>
      <c r="B6" s="25" t="s">
        <v>168</v>
      </c>
      <c r="C6" s="53" t="s">
        <v>212</v>
      </c>
      <c r="D6" s="16" t="s">
        <v>213</v>
      </c>
      <c r="E6" s="18" t="s">
        <v>617</v>
      </c>
      <c r="F6" s="231" t="s">
        <v>618</v>
      </c>
      <c r="G6" s="83" t="s">
        <v>4189</v>
      </c>
      <c r="H6" s="83" t="s">
        <v>620</v>
      </c>
      <c r="I6" s="83" t="s">
        <v>621</v>
      </c>
      <c r="J6" s="83" t="s">
        <v>622</v>
      </c>
      <c r="K6" s="83" t="s">
        <v>623</v>
      </c>
      <c r="L6" s="83" t="s">
        <v>624</v>
      </c>
      <c r="M6" s="83" t="s">
        <v>625</v>
      </c>
      <c r="N6" s="83" t="s">
        <v>626</v>
      </c>
      <c r="O6" s="224" t="s">
        <v>619</v>
      </c>
      <c r="P6" s="224" t="s">
        <v>627</v>
      </c>
      <c r="Q6" s="133" t="s">
        <v>628</v>
      </c>
      <c r="R6" s="257" t="s">
        <v>629</v>
      </c>
      <c r="S6" s="224" t="s">
        <v>4190</v>
      </c>
      <c r="T6" s="224" t="s">
        <v>631</v>
      </c>
      <c r="U6" s="224" t="s">
        <v>632</v>
      </c>
      <c r="V6" s="224" t="s">
        <v>633</v>
      </c>
      <c r="W6" s="224" t="s">
        <v>634</v>
      </c>
      <c r="X6" s="224" t="s">
        <v>635</v>
      </c>
      <c r="Y6" s="224" t="s">
        <v>636</v>
      </c>
      <c r="Z6" s="224" t="s">
        <v>637</v>
      </c>
      <c r="AA6" s="224" t="s">
        <v>630</v>
      </c>
      <c r="AB6" s="224" t="s">
        <v>638</v>
      </c>
      <c r="AC6" s="224" t="s">
        <v>4224</v>
      </c>
      <c r="AD6" s="258" t="s">
        <v>639</v>
      </c>
      <c r="AE6" s="242" t="s">
        <v>4071</v>
      </c>
      <c r="AF6" s="53" t="s">
        <v>4191</v>
      </c>
      <c r="AG6" s="53" t="s">
        <v>4073</v>
      </c>
      <c r="AH6" s="53" t="s">
        <v>4074</v>
      </c>
      <c r="AI6" s="53" t="s">
        <v>4075</v>
      </c>
      <c r="AJ6" s="53" t="s">
        <v>4076</v>
      </c>
      <c r="AK6" s="53" t="s">
        <v>4077</v>
      </c>
      <c r="AL6" s="53" t="s">
        <v>4078</v>
      </c>
      <c r="AM6" s="53" t="s">
        <v>4079</v>
      </c>
      <c r="AN6" s="53" t="s">
        <v>4072</v>
      </c>
      <c r="AO6" s="53" t="s">
        <v>4080</v>
      </c>
      <c r="AP6" s="53" t="s">
        <v>4225</v>
      </c>
      <c r="AQ6" s="243" t="s">
        <v>4081</v>
      </c>
    </row>
    <row r="7" spans="1:43" ht="15" customHeight="1" x14ac:dyDescent="0.45">
      <c r="A7" t="s">
        <v>203</v>
      </c>
      <c r="B7" t="s">
        <v>193</v>
      </c>
      <c r="C7" t="s">
        <v>206</v>
      </c>
      <c r="D7" s="54">
        <v>488720</v>
      </c>
      <c r="E7" s="202">
        <v>5</v>
      </c>
      <c r="F7" s="213">
        <v>48872</v>
      </c>
      <c r="G7" s="24">
        <v>244360</v>
      </c>
      <c r="H7" s="24">
        <v>293232</v>
      </c>
      <c r="I7" s="24">
        <v>488720</v>
      </c>
      <c r="J7" s="24">
        <v>488720</v>
      </c>
      <c r="K7" s="24">
        <v>488720</v>
      </c>
      <c r="L7" s="24">
        <v>488720</v>
      </c>
      <c r="M7" s="24">
        <v>107518</v>
      </c>
      <c r="N7" s="24">
        <v>195488</v>
      </c>
      <c r="O7" s="24">
        <v>244360</v>
      </c>
      <c r="P7" s="24">
        <v>244360</v>
      </c>
      <c r="Q7" s="134">
        <v>488720</v>
      </c>
      <c r="R7" s="244">
        <v>39098</v>
      </c>
      <c r="S7" s="24">
        <v>244360</v>
      </c>
      <c r="T7" s="24">
        <v>237779</v>
      </c>
      <c r="U7" s="24">
        <v>190366</v>
      </c>
      <c r="V7" s="24">
        <v>144993</v>
      </c>
      <c r="W7" s="24">
        <v>244360</v>
      </c>
      <c r="X7" s="24">
        <v>97744</v>
      </c>
      <c r="Y7" s="24">
        <v>87735</v>
      </c>
      <c r="Z7" s="24">
        <v>4887</v>
      </c>
      <c r="AA7" s="24">
        <v>244360</v>
      </c>
      <c r="AB7" s="24">
        <v>8287</v>
      </c>
      <c r="AC7" s="24">
        <v>194046</v>
      </c>
      <c r="AD7" s="245">
        <v>244360</v>
      </c>
      <c r="AE7" s="244">
        <v>39098</v>
      </c>
      <c r="AF7" s="24">
        <v>244360</v>
      </c>
      <c r="AG7" s="24">
        <v>237779</v>
      </c>
      <c r="AH7" s="24">
        <v>190366.19975544684</v>
      </c>
      <c r="AI7" s="24">
        <v>144993</v>
      </c>
      <c r="AJ7" s="24">
        <v>244360</v>
      </c>
      <c r="AK7" s="24">
        <v>97744</v>
      </c>
      <c r="AL7" s="24">
        <v>87735</v>
      </c>
      <c r="AM7" s="24">
        <v>4887.1997554468462</v>
      </c>
      <c r="AN7" s="24">
        <v>244360</v>
      </c>
      <c r="AO7" s="24">
        <v>8287</v>
      </c>
      <c r="AP7" s="24">
        <v>194046</v>
      </c>
      <c r="AQ7" s="245">
        <v>244360</v>
      </c>
    </row>
    <row r="8" spans="1:43" ht="15" customHeight="1" x14ac:dyDescent="0.45">
      <c r="A8" t="s">
        <v>207</v>
      </c>
      <c r="B8" t="s">
        <v>196</v>
      </c>
      <c r="C8" t="s">
        <v>209</v>
      </c>
      <c r="D8" s="54">
        <v>345681</v>
      </c>
      <c r="E8" s="202">
        <v>4</v>
      </c>
      <c r="F8" s="213">
        <v>34568</v>
      </c>
      <c r="G8" s="24">
        <v>86420</v>
      </c>
      <c r="H8" s="24">
        <v>172841</v>
      </c>
      <c r="I8" s="24">
        <v>345681</v>
      </c>
      <c r="J8" s="24">
        <v>345681</v>
      </c>
      <c r="K8" s="24">
        <v>345681</v>
      </c>
      <c r="L8" s="24">
        <v>345681</v>
      </c>
      <c r="M8" s="24">
        <v>76050</v>
      </c>
      <c r="N8" s="24">
        <v>120988</v>
      </c>
      <c r="O8" s="24">
        <v>86420</v>
      </c>
      <c r="P8" s="24">
        <v>86420</v>
      </c>
      <c r="Q8" s="134">
        <v>345681</v>
      </c>
      <c r="R8" s="244">
        <v>27654</v>
      </c>
      <c r="S8" s="24">
        <v>86420</v>
      </c>
      <c r="T8" s="24">
        <v>140101</v>
      </c>
      <c r="U8" s="24">
        <v>177252</v>
      </c>
      <c r="V8" s="24">
        <v>95117</v>
      </c>
      <c r="W8" s="24">
        <v>172841</v>
      </c>
      <c r="X8" s="24">
        <v>69136</v>
      </c>
      <c r="Y8" s="24">
        <v>63177</v>
      </c>
      <c r="Z8" s="24">
        <v>44939</v>
      </c>
      <c r="AA8" s="24">
        <v>86420</v>
      </c>
      <c r="AB8" s="24">
        <v>5861</v>
      </c>
      <c r="AC8" s="24">
        <v>67613</v>
      </c>
      <c r="AD8" s="245">
        <v>177252</v>
      </c>
      <c r="AE8" s="244">
        <v>27654</v>
      </c>
      <c r="AF8" s="24">
        <v>86420</v>
      </c>
      <c r="AG8" s="24">
        <v>140101</v>
      </c>
      <c r="AH8" s="24">
        <v>177251.76811379372</v>
      </c>
      <c r="AI8" s="24">
        <v>95117</v>
      </c>
      <c r="AJ8" s="24">
        <v>172841</v>
      </c>
      <c r="AK8" s="24">
        <v>69136.223099268915</v>
      </c>
      <c r="AL8" s="24">
        <v>63177</v>
      </c>
      <c r="AM8" s="24">
        <v>44938.545014524796</v>
      </c>
      <c r="AN8" s="24">
        <v>86420</v>
      </c>
      <c r="AO8" s="24">
        <v>5861</v>
      </c>
      <c r="AP8" s="24">
        <v>67613</v>
      </c>
      <c r="AQ8" s="245">
        <v>177251.76811379372</v>
      </c>
    </row>
    <row r="9" spans="1:43" ht="15" customHeight="1" x14ac:dyDescent="0.45">
      <c r="A9" t="s">
        <v>214</v>
      </c>
      <c r="B9" t="s">
        <v>199</v>
      </c>
      <c r="C9" t="s">
        <v>210</v>
      </c>
      <c r="D9" s="54">
        <v>1868838</v>
      </c>
      <c r="E9" s="202">
        <v>3</v>
      </c>
      <c r="F9" s="213">
        <v>186884</v>
      </c>
      <c r="G9" s="24">
        <v>46721</v>
      </c>
      <c r="H9" s="24">
        <v>0</v>
      </c>
      <c r="I9" s="24">
        <v>1868838</v>
      </c>
      <c r="J9" s="24">
        <v>1868838</v>
      </c>
      <c r="K9" s="24">
        <v>1868838</v>
      </c>
      <c r="L9" s="24">
        <v>1868838</v>
      </c>
      <c r="M9" s="24">
        <v>654093</v>
      </c>
      <c r="N9" s="24">
        <v>654093</v>
      </c>
      <c r="O9" s="24">
        <v>46721</v>
      </c>
      <c r="P9" s="24">
        <v>46721</v>
      </c>
      <c r="Q9" s="134">
        <v>1868838</v>
      </c>
      <c r="R9" s="244">
        <v>74754</v>
      </c>
      <c r="S9" s="24">
        <v>46721</v>
      </c>
      <c r="T9" s="24">
        <v>0</v>
      </c>
      <c r="U9" s="24">
        <v>491828</v>
      </c>
      <c r="V9" s="24">
        <v>259521</v>
      </c>
      <c r="W9" s="24">
        <v>467210</v>
      </c>
      <c r="X9" s="24">
        <v>186884</v>
      </c>
      <c r="Y9" s="24">
        <v>276911</v>
      </c>
      <c r="Z9" s="24">
        <v>28033</v>
      </c>
      <c r="AA9" s="24">
        <v>46721</v>
      </c>
      <c r="AB9" s="24">
        <v>15844</v>
      </c>
      <c r="AC9" s="24">
        <v>76681</v>
      </c>
      <c r="AD9" s="245">
        <v>491828</v>
      </c>
      <c r="AE9" s="244">
        <v>14951</v>
      </c>
      <c r="AF9" s="24">
        <v>9344.2000000000007</v>
      </c>
      <c r="AG9" s="24">
        <v>0</v>
      </c>
      <c r="AH9" s="24">
        <v>98365.478562983888</v>
      </c>
      <c r="AI9" s="24">
        <v>51904</v>
      </c>
      <c r="AJ9" s="24">
        <v>93442</v>
      </c>
      <c r="AK9" s="24">
        <v>37376.763967812061</v>
      </c>
      <c r="AL9" s="24">
        <v>55382.200000000004</v>
      </c>
      <c r="AM9" s="24">
        <v>5606.5145951718096</v>
      </c>
      <c r="AN9" s="24">
        <v>9344.2000000000007</v>
      </c>
      <c r="AO9" s="24">
        <v>3168.8</v>
      </c>
      <c r="AP9" s="24">
        <v>15336.2</v>
      </c>
      <c r="AQ9" s="245">
        <v>98365.478562983888</v>
      </c>
    </row>
    <row r="10" spans="1:43" ht="15" customHeight="1" x14ac:dyDescent="0.45">
      <c r="A10" t="s">
        <v>192</v>
      </c>
      <c r="B10" t="s">
        <v>193</v>
      </c>
      <c r="C10" t="s">
        <v>194</v>
      </c>
      <c r="D10" s="213">
        <v>15524</v>
      </c>
      <c r="E10" s="214">
        <v>5</v>
      </c>
      <c r="F10" s="213"/>
      <c r="G10" s="24"/>
      <c r="H10" s="24"/>
      <c r="I10" s="24"/>
      <c r="J10" s="24"/>
      <c r="K10" s="24"/>
      <c r="L10" s="24"/>
      <c r="M10" s="24"/>
      <c r="N10" s="24"/>
      <c r="O10" s="24"/>
      <c r="P10" s="24"/>
      <c r="Q10" s="134">
        <v>15524</v>
      </c>
      <c r="R10" s="244"/>
      <c r="S10" s="24"/>
      <c r="T10" s="24"/>
      <c r="U10" s="24"/>
      <c r="V10" s="24"/>
      <c r="W10" s="24"/>
      <c r="X10" s="24"/>
      <c r="Y10" s="24"/>
      <c r="Z10" s="24"/>
      <c r="AA10" s="24"/>
      <c r="AB10" s="24"/>
      <c r="AC10" s="24"/>
      <c r="AD10" s="245">
        <v>7762</v>
      </c>
      <c r="AE10" s="244"/>
      <c r="AF10" s="24"/>
      <c r="AG10" s="24"/>
      <c r="AH10" s="24"/>
      <c r="AI10" s="24"/>
      <c r="AJ10" s="24"/>
      <c r="AK10" s="24"/>
      <c r="AL10" s="24"/>
      <c r="AM10" s="24"/>
      <c r="AN10" s="24"/>
      <c r="AO10" s="24"/>
      <c r="AP10" s="24"/>
      <c r="AQ10" s="245">
        <v>7762</v>
      </c>
    </row>
    <row r="11" spans="1:43" ht="15" customHeight="1" x14ac:dyDescent="0.45">
      <c r="A11" t="s">
        <v>195</v>
      </c>
      <c r="B11" t="s">
        <v>196</v>
      </c>
      <c r="C11" t="s">
        <v>197</v>
      </c>
      <c r="D11" s="213">
        <v>6791</v>
      </c>
      <c r="E11" s="214">
        <v>4</v>
      </c>
      <c r="F11" s="213"/>
      <c r="G11" s="24"/>
      <c r="H11" s="24"/>
      <c r="I11" s="24"/>
      <c r="J11" s="24"/>
      <c r="K11" s="24"/>
      <c r="L11" s="24"/>
      <c r="M11" s="24"/>
      <c r="N11" s="24"/>
      <c r="O11" s="24"/>
      <c r="P11" s="24"/>
      <c r="Q11" s="134">
        <v>6791</v>
      </c>
      <c r="R11" s="244"/>
      <c r="S11" s="24"/>
      <c r="T11" s="24"/>
      <c r="U11" s="24"/>
      <c r="V11" s="24"/>
      <c r="W11" s="24"/>
      <c r="X11" s="24"/>
      <c r="Y11" s="24"/>
      <c r="Z11" s="24"/>
      <c r="AA11" s="24"/>
      <c r="AB11" s="24"/>
      <c r="AC11" s="24"/>
      <c r="AD11" s="245">
        <v>3396</v>
      </c>
      <c r="AE11" s="244"/>
      <c r="AF11" s="24"/>
      <c r="AG11" s="24"/>
      <c r="AH11" s="24"/>
      <c r="AI11" s="24"/>
      <c r="AJ11" s="24"/>
      <c r="AK11" s="24"/>
      <c r="AL11" s="24"/>
      <c r="AM11" s="24"/>
      <c r="AN11" s="24"/>
      <c r="AO11" s="24"/>
      <c r="AP11" s="24"/>
      <c r="AQ11" s="245">
        <v>3396</v>
      </c>
    </row>
    <row r="12" spans="1:43" ht="15" customHeight="1" x14ac:dyDescent="0.45">
      <c r="A12" t="s">
        <v>198</v>
      </c>
      <c r="B12" t="s">
        <v>199</v>
      </c>
      <c r="C12" t="s">
        <v>200</v>
      </c>
      <c r="D12" s="213">
        <v>6369</v>
      </c>
      <c r="E12" s="214">
        <v>4</v>
      </c>
      <c r="F12" s="213"/>
      <c r="G12" s="24"/>
      <c r="H12" s="24"/>
      <c r="I12" s="24"/>
      <c r="J12" s="24"/>
      <c r="K12" s="24"/>
      <c r="L12" s="24"/>
      <c r="M12" s="24"/>
      <c r="N12" s="24"/>
      <c r="O12" s="24"/>
      <c r="P12" s="24"/>
      <c r="Q12" s="134">
        <v>6369</v>
      </c>
      <c r="R12" s="244"/>
      <c r="S12" s="24"/>
      <c r="T12" s="24"/>
      <c r="U12" s="24"/>
      <c r="V12" s="24"/>
      <c r="W12" s="24"/>
      <c r="X12" s="24"/>
      <c r="Y12" s="24"/>
      <c r="Z12" s="24"/>
      <c r="AA12" s="24"/>
      <c r="AB12" s="24"/>
      <c r="AC12" s="24"/>
      <c r="AD12" s="245">
        <v>3185</v>
      </c>
      <c r="AE12" s="244"/>
      <c r="AF12" s="24"/>
      <c r="AG12" s="24"/>
      <c r="AH12" s="24"/>
      <c r="AI12" s="24"/>
      <c r="AJ12" s="24"/>
      <c r="AK12" s="24"/>
      <c r="AL12" s="24"/>
      <c r="AM12" s="24"/>
      <c r="AN12" s="24"/>
      <c r="AO12" s="24"/>
      <c r="AP12" s="24"/>
      <c r="AQ12" s="245">
        <v>3185</v>
      </c>
    </row>
    <row r="13" spans="1:43" ht="15" customHeight="1" x14ac:dyDescent="0.45">
      <c r="A13" t="s">
        <v>201</v>
      </c>
      <c r="B13" t="s">
        <v>199</v>
      </c>
      <c r="C13" t="s">
        <v>202</v>
      </c>
      <c r="D13" s="213">
        <v>3987</v>
      </c>
      <c r="E13" s="214">
        <v>3</v>
      </c>
      <c r="F13" s="213"/>
      <c r="G13" s="24"/>
      <c r="H13" s="24"/>
      <c r="I13" s="24"/>
      <c r="J13" s="24"/>
      <c r="K13" s="24"/>
      <c r="L13" s="24"/>
      <c r="M13" s="24"/>
      <c r="N13" s="24"/>
      <c r="O13" s="24"/>
      <c r="P13" s="24"/>
      <c r="Q13" s="134">
        <v>3987</v>
      </c>
      <c r="R13" s="244"/>
      <c r="S13" s="24"/>
      <c r="T13" s="24"/>
      <c r="U13" s="24"/>
      <c r="V13" s="24"/>
      <c r="W13" s="24"/>
      <c r="X13" s="24"/>
      <c r="Y13" s="24"/>
      <c r="Z13" s="24"/>
      <c r="AA13" s="24"/>
      <c r="AB13" s="24"/>
      <c r="AC13" s="24"/>
      <c r="AD13" s="245">
        <v>997</v>
      </c>
      <c r="AE13" s="244"/>
      <c r="AF13" s="24"/>
      <c r="AG13" s="24"/>
      <c r="AH13" s="24"/>
      <c r="AI13" s="24"/>
      <c r="AJ13" s="24"/>
      <c r="AK13" s="24"/>
      <c r="AL13" s="24"/>
      <c r="AM13" s="24"/>
      <c r="AN13" s="24"/>
      <c r="AO13" s="24"/>
      <c r="AP13" s="24"/>
      <c r="AQ13" s="245">
        <v>199.4</v>
      </c>
    </row>
    <row r="14" spans="1:43" ht="15" customHeight="1" thickBot="1" x14ac:dyDescent="0.5">
      <c r="A14" t="s">
        <v>141</v>
      </c>
      <c r="D14" s="65">
        <f>SUBTOTAL(109,sp3_overall[sp3_overall_pin])</f>
        <v>2735910</v>
      </c>
      <c r="E14" s="223"/>
      <c r="F14" s="65"/>
      <c r="G14" s="232"/>
      <c r="H14" s="232"/>
      <c r="I14" s="232"/>
      <c r="J14" s="232"/>
      <c r="K14" s="232"/>
      <c r="L14" s="232"/>
      <c r="M14" s="232"/>
      <c r="N14" s="232"/>
      <c r="O14" s="232"/>
      <c r="P14" s="232"/>
      <c r="Q14" s="233">
        <f>SUBTOTAL(109,sp3_overall[sp3_overall_pin_adopted])</f>
        <v>2735910</v>
      </c>
      <c r="R14" s="246"/>
      <c r="S14" s="247"/>
      <c r="T14" s="247"/>
      <c r="U14" s="247"/>
      <c r="V14" s="247"/>
      <c r="W14" s="247"/>
      <c r="X14" s="247"/>
      <c r="Y14" s="247"/>
      <c r="Z14" s="247"/>
      <c r="AA14" s="247"/>
      <c r="AB14" s="247"/>
      <c r="AC14" s="247"/>
      <c r="AD14" s="248">
        <f>SUBTOTAL(109,sp3_overall[sp3_overall_target_joint])</f>
        <v>928780</v>
      </c>
      <c r="AE14" s="246"/>
      <c r="AF14" s="247"/>
      <c r="AG14" s="247"/>
      <c r="AH14" s="247"/>
      <c r="AI14" s="247"/>
      <c r="AJ14" s="247"/>
      <c r="AK14" s="247"/>
      <c r="AL14" s="247"/>
      <c r="AM14" s="247"/>
      <c r="AN14" s="247"/>
      <c r="AO14" s="247"/>
      <c r="AP14" s="247"/>
      <c r="AQ14" s="247">
        <f>SUBTOTAL(109,sp3_overall[sp3_overall_targetPr_joint])</f>
        <v>534519.64667677763</v>
      </c>
    </row>
    <row r="15" spans="1:43" x14ac:dyDescent="0.45">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row>
  </sheetData>
  <phoneticPr fontId="2" type="noConversion"/>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681F7-8D43-4027-A927-298DE8742D75}">
  <sheetPr codeName="Sheet29"/>
  <dimension ref="A1:BF61"/>
  <sheetViews>
    <sheetView showGridLines="0" zoomScaleNormal="100" workbookViewId="0">
      <pane xSplit="5" ySplit="7" topLeftCell="F8" activePane="bottomRight" state="frozenSplit"/>
      <selection pane="topRight" activeCell="A2" sqref="A2"/>
      <selection pane="bottomLeft" activeCell="A2" sqref="A2"/>
      <selection pane="bottomRight"/>
    </sheetView>
  </sheetViews>
  <sheetFormatPr defaultRowHeight="15" customHeight="1" x14ac:dyDescent="0.45"/>
  <cols>
    <col min="1" max="1" width="19.53125" customWidth="1"/>
    <col min="2" max="2" width="12.1328125" customWidth="1"/>
    <col min="3" max="3" width="14.3984375" customWidth="1"/>
    <col min="4" max="4" width="11.86328125" customWidth="1"/>
    <col min="5" max="5" width="14.1328125" customWidth="1"/>
    <col min="6" max="8" width="10" customWidth="1"/>
    <col min="9" max="9" width="8" customWidth="1"/>
    <col min="10" max="10" width="10" customWidth="1"/>
    <col min="11" max="14" width="6.6640625" customWidth="1"/>
    <col min="15" max="17" width="8.6640625" customWidth="1"/>
    <col min="18" max="18" width="10.33203125" customWidth="1"/>
    <col min="19" max="19" width="11.33203125" customWidth="1"/>
    <col min="20" max="20" width="10" customWidth="1"/>
    <col min="21" max="21" width="6.6640625" customWidth="1"/>
    <col min="22" max="22" width="10" customWidth="1"/>
    <col min="23" max="29" width="6.6640625" customWidth="1"/>
    <col min="30" max="31" width="10" customWidth="1"/>
    <col min="32" max="33" width="6.6640625" customWidth="1"/>
    <col min="34" max="34" width="10" customWidth="1"/>
    <col min="35" max="41" width="6.6640625" customWidth="1"/>
    <col min="42" max="43" width="10" customWidth="1"/>
    <col min="44" max="44" width="6.6640625" customWidth="1"/>
    <col min="45" max="45" width="10" customWidth="1"/>
  </cols>
  <sheetData>
    <row r="1" spans="1:58" ht="15" customHeight="1" x14ac:dyDescent="0.45">
      <c r="A1" s="296" t="s">
        <v>730</v>
      </c>
    </row>
    <row r="2" spans="1:58" ht="19.899999999999999" x14ac:dyDescent="0.45">
      <c r="A2" s="297" t="s">
        <v>4285</v>
      </c>
      <c r="I2" s="50"/>
      <c r="J2" s="50"/>
      <c r="K2" s="50"/>
      <c r="L2" s="50"/>
      <c r="M2" s="50"/>
      <c r="N2" s="50"/>
      <c r="O2" s="50"/>
      <c r="P2" s="50"/>
      <c r="Q2" s="50"/>
      <c r="R2" s="50"/>
      <c r="S2" s="50"/>
    </row>
    <row r="3" spans="1:58" ht="14.25" x14ac:dyDescent="0.45">
      <c r="A3" s="5" t="str">
        <f>ActivityList!A3</f>
        <v>Release Date: 13 January 2026</v>
      </c>
      <c r="I3" s="48" t="str">
        <f>"sp1_overall_pin_"&amp;I4</f>
        <v>sp1_overall_pin_ed</v>
      </c>
      <c r="J3" s="48" t="str">
        <f t="shared" ref="J3:Q3" si="0">"sp1_overall_pin_"&amp;J4</f>
        <v>sp1_overall_pin_fs</v>
      </c>
      <c r="K3" s="48" t="str">
        <f t="shared" si="0"/>
        <v>sp1_overall_pin_he</v>
      </c>
      <c r="L3" s="48" t="str">
        <f t="shared" si="0"/>
        <v>sp1_overall_pin_pr</v>
      </c>
      <c r="M3" s="48" t="str">
        <f t="shared" si="0"/>
        <v>sp1_overall_pin_sn</v>
      </c>
      <c r="N3" s="48" t="str">
        <f t="shared" si="0"/>
        <v>sp1_overall_pin_wa</v>
      </c>
      <c r="O3" s="48" t="str">
        <f t="shared" si="0"/>
        <v>sp1_overall_pin_gp</v>
      </c>
      <c r="P3" s="48" t="str">
        <f t="shared" si="0"/>
        <v>sp1_overall_pin_cp</v>
      </c>
      <c r="Q3" s="48" t="str">
        <f t="shared" si="0"/>
        <v>sp1_overall_pin_gb</v>
      </c>
      <c r="R3" s="48"/>
      <c r="S3" s="142"/>
    </row>
    <row r="4" spans="1:58" ht="15.75" x14ac:dyDescent="0.5">
      <c r="F4" s="34"/>
      <c r="G4" s="34"/>
      <c r="H4" s="34"/>
      <c r="I4" s="49" t="s">
        <v>154</v>
      </c>
      <c r="J4" s="49" t="s">
        <v>155</v>
      </c>
      <c r="K4" s="49" t="s">
        <v>156</v>
      </c>
      <c r="L4" s="49" t="s">
        <v>157</v>
      </c>
      <c r="M4" s="49" t="s">
        <v>382</v>
      </c>
      <c r="N4" s="49" t="s">
        <v>158</v>
      </c>
      <c r="O4" s="49" t="s">
        <v>478</v>
      </c>
      <c r="P4" s="49" t="s">
        <v>479</v>
      </c>
      <c r="Q4" s="49" t="s">
        <v>480</v>
      </c>
      <c r="R4" s="49"/>
      <c r="S4" s="49"/>
      <c r="T4" s="34"/>
    </row>
    <row r="5" spans="1:58" ht="16.25" customHeight="1" x14ac:dyDescent="0.45">
      <c r="A5" s="2" t="s">
        <v>159</v>
      </c>
      <c r="B5" s="2"/>
      <c r="C5" s="2" t="s">
        <v>160</v>
      </c>
      <c r="D5" s="2"/>
      <c r="E5" s="2"/>
      <c r="F5" s="37" t="s">
        <v>481</v>
      </c>
      <c r="G5" s="38"/>
      <c r="H5" s="39"/>
      <c r="I5" s="43" t="s">
        <v>224</v>
      </c>
      <c r="J5" s="43"/>
      <c r="K5" s="43"/>
      <c r="L5" s="43"/>
      <c r="M5" s="43"/>
      <c r="N5" s="43"/>
      <c r="O5" s="102" t="s">
        <v>351</v>
      </c>
      <c r="P5" s="43"/>
      <c r="Q5" s="43"/>
      <c r="R5" s="102" t="s">
        <v>352</v>
      </c>
      <c r="S5" s="43"/>
      <c r="T5" s="379" t="s">
        <v>485</v>
      </c>
      <c r="U5" s="35" t="s">
        <v>350</v>
      </c>
      <c r="V5" s="35"/>
      <c r="W5" s="35"/>
      <c r="X5" s="35"/>
      <c r="Y5" s="35"/>
      <c r="Z5" s="35"/>
      <c r="AA5" s="119" t="s">
        <v>351</v>
      </c>
      <c r="AB5" s="35"/>
      <c r="AC5" s="35"/>
      <c r="AD5" s="94" t="s">
        <v>352</v>
      </c>
      <c r="AE5" s="35"/>
      <c r="AF5" s="103"/>
      <c r="AG5" s="67" t="s">
        <v>226</v>
      </c>
      <c r="AH5" s="67"/>
      <c r="AI5" s="67"/>
      <c r="AJ5" s="67"/>
      <c r="AK5" s="67"/>
      <c r="AL5" s="67"/>
      <c r="AM5" s="74" t="s">
        <v>351</v>
      </c>
      <c r="AN5" s="67"/>
      <c r="AO5" s="76"/>
      <c r="AP5" s="74" t="s">
        <v>352</v>
      </c>
      <c r="AQ5" s="67"/>
      <c r="AR5" s="78"/>
      <c r="AS5" s="93" t="s">
        <v>141</v>
      </c>
      <c r="AT5" s="189" t="s">
        <v>4035</v>
      </c>
      <c r="AU5" s="189"/>
      <c r="AV5" s="189"/>
      <c r="AW5" s="189"/>
      <c r="AX5" s="189"/>
      <c r="AY5" s="189"/>
      <c r="AZ5" s="190" t="s">
        <v>351</v>
      </c>
      <c r="BA5" s="189"/>
      <c r="BB5" s="191"/>
      <c r="BC5" s="190" t="s">
        <v>352</v>
      </c>
      <c r="BD5" s="189"/>
      <c r="BE5" s="192"/>
      <c r="BF5" s="193" t="s">
        <v>141</v>
      </c>
    </row>
    <row r="6" spans="1:58" ht="14.25" x14ac:dyDescent="0.45">
      <c r="A6" s="1" t="s">
        <v>161</v>
      </c>
      <c r="B6" s="1" t="s">
        <v>162</v>
      </c>
      <c r="C6" s="1" t="s">
        <v>211</v>
      </c>
      <c r="D6" s="1" t="s">
        <v>4252</v>
      </c>
      <c r="E6" s="1" t="s">
        <v>138</v>
      </c>
      <c r="F6" s="105" t="s">
        <v>153</v>
      </c>
      <c r="G6" s="104" t="s">
        <v>10</v>
      </c>
      <c r="H6" s="106" t="s">
        <v>11</v>
      </c>
      <c r="I6" s="44" t="s">
        <v>140</v>
      </c>
      <c r="J6" s="44" t="s">
        <v>368</v>
      </c>
      <c r="K6" s="44" t="s">
        <v>145</v>
      </c>
      <c r="L6" s="44" t="s">
        <v>146</v>
      </c>
      <c r="M6" s="44" t="s">
        <v>150</v>
      </c>
      <c r="N6" s="44" t="s">
        <v>148</v>
      </c>
      <c r="O6" s="109" t="s">
        <v>354</v>
      </c>
      <c r="P6" s="46" t="s">
        <v>143</v>
      </c>
      <c r="Q6" s="110" t="s">
        <v>149</v>
      </c>
      <c r="R6" s="46" t="s">
        <v>142</v>
      </c>
      <c r="S6" s="46" t="s">
        <v>144</v>
      </c>
      <c r="T6" s="380"/>
      <c r="U6" s="36" t="s">
        <v>140</v>
      </c>
      <c r="V6" s="36" t="s">
        <v>368</v>
      </c>
      <c r="W6" s="36" t="s">
        <v>145</v>
      </c>
      <c r="X6" s="36" t="s">
        <v>146</v>
      </c>
      <c r="Y6" s="36" t="s">
        <v>150</v>
      </c>
      <c r="Z6" s="36" t="s">
        <v>148</v>
      </c>
      <c r="AA6" s="107" t="s">
        <v>354</v>
      </c>
      <c r="AB6" s="46" t="s">
        <v>143</v>
      </c>
      <c r="AC6" s="46" t="s">
        <v>149</v>
      </c>
      <c r="AD6" s="75" t="s">
        <v>142</v>
      </c>
      <c r="AE6" s="46" t="s">
        <v>144</v>
      </c>
      <c r="AF6" s="103" t="s">
        <v>353</v>
      </c>
      <c r="AG6" s="68" t="s">
        <v>140</v>
      </c>
      <c r="AH6" s="68" t="s">
        <v>368</v>
      </c>
      <c r="AI6" s="68" t="s">
        <v>145</v>
      </c>
      <c r="AJ6" s="68" t="s">
        <v>146</v>
      </c>
      <c r="AK6" s="68" t="s">
        <v>150</v>
      </c>
      <c r="AL6" s="68" t="s">
        <v>148</v>
      </c>
      <c r="AM6" s="75" t="s">
        <v>354</v>
      </c>
      <c r="AN6" s="46" t="s">
        <v>143</v>
      </c>
      <c r="AO6" s="77" t="s">
        <v>149</v>
      </c>
      <c r="AP6" s="77" t="s">
        <v>142</v>
      </c>
      <c r="AQ6" s="77" t="s">
        <v>144</v>
      </c>
      <c r="AR6" s="78" t="s">
        <v>147</v>
      </c>
      <c r="AS6" s="111"/>
      <c r="AT6" s="194" t="s">
        <v>140</v>
      </c>
      <c r="AU6" s="194" t="s">
        <v>368</v>
      </c>
      <c r="AV6" s="194" t="s">
        <v>145</v>
      </c>
      <c r="AW6" s="194" t="s">
        <v>146</v>
      </c>
      <c r="AX6" s="194" t="s">
        <v>150</v>
      </c>
      <c r="AY6" s="194" t="s">
        <v>148</v>
      </c>
      <c r="AZ6" s="75" t="s">
        <v>354</v>
      </c>
      <c r="BA6" s="46" t="s">
        <v>143</v>
      </c>
      <c r="BB6" s="77" t="s">
        <v>149</v>
      </c>
      <c r="BC6" s="77" t="s">
        <v>142</v>
      </c>
      <c r="BD6" s="77" t="s">
        <v>144</v>
      </c>
      <c r="BE6" s="196" t="s">
        <v>147</v>
      </c>
      <c r="BF6" s="197"/>
    </row>
    <row r="7" spans="1:58" ht="14.25" x14ac:dyDescent="0.45">
      <c r="A7" s="112" t="s">
        <v>165</v>
      </c>
      <c r="B7" s="112" t="s">
        <v>166</v>
      </c>
      <c r="C7" s="112" t="s">
        <v>167</v>
      </c>
      <c r="D7" s="112" t="s">
        <v>168</v>
      </c>
      <c r="E7" s="112" t="s">
        <v>169</v>
      </c>
      <c r="F7" s="116" t="s">
        <v>640</v>
      </c>
      <c r="G7" s="113" t="s">
        <v>641</v>
      </c>
      <c r="H7" s="115" t="s">
        <v>642</v>
      </c>
      <c r="I7" s="131" t="s">
        <v>697</v>
      </c>
      <c r="J7" s="114" t="s">
        <v>4177</v>
      </c>
      <c r="K7" s="114" t="s">
        <v>699</v>
      </c>
      <c r="L7" s="114" t="s">
        <v>700</v>
      </c>
      <c r="M7" s="114" t="s">
        <v>701</v>
      </c>
      <c r="N7" s="114" t="s">
        <v>702</v>
      </c>
      <c r="O7" s="114" t="s">
        <v>703</v>
      </c>
      <c r="P7" s="114" t="s">
        <v>704</v>
      </c>
      <c r="Q7" s="117" t="s">
        <v>705</v>
      </c>
      <c r="R7" s="112" t="s">
        <v>698</v>
      </c>
      <c r="S7" s="118" t="s">
        <v>706</v>
      </c>
      <c r="T7" s="117" t="s">
        <v>707</v>
      </c>
      <c r="U7" s="130" t="s">
        <v>708</v>
      </c>
      <c r="V7" s="113" t="s">
        <v>4178</v>
      </c>
      <c r="W7" s="113" t="s">
        <v>710</v>
      </c>
      <c r="X7" s="113" t="s">
        <v>711</v>
      </c>
      <c r="Y7" s="113" t="s">
        <v>712</v>
      </c>
      <c r="Z7" s="113" t="s">
        <v>713</v>
      </c>
      <c r="AA7" s="113" t="s">
        <v>714</v>
      </c>
      <c r="AB7" s="113" t="s">
        <v>715</v>
      </c>
      <c r="AC7" s="113" t="s">
        <v>716</v>
      </c>
      <c r="AD7" s="115" t="s">
        <v>709</v>
      </c>
      <c r="AE7" s="115" t="s">
        <v>717</v>
      </c>
      <c r="AF7" s="115" t="s">
        <v>718</v>
      </c>
      <c r="AG7" s="206" t="s">
        <v>719</v>
      </c>
      <c r="AH7" s="207" t="s">
        <v>4179</v>
      </c>
      <c r="AI7" s="207" t="s">
        <v>721</v>
      </c>
      <c r="AJ7" s="207" t="s">
        <v>722</v>
      </c>
      <c r="AK7" s="207" t="s">
        <v>723</v>
      </c>
      <c r="AL7" s="207" t="s">
        <v>724</v>
      </c>
      <c r="AM7" s="207" t="s">
        <v>725</v>
      </c>
      <c r="AN7" s="207" t="s">
        <v>726</v>
      </c>
      <c r="AO7" s="207" t="s">
        <v>727</v>
      </c>
      <c r="AP7" s="207" t="s">
        <v>720</v>
      </c>
      <c r="AQ7" s="207" t="s">
        <v>728</v>
      </c>
      <c r="AR7" s="207" t="s">
        <v>4218</v>
      </c>
      <c r="AS7" s="208" t="s">
        <v>729</v>
      </c>
      <c r="AT7" s="206" t="s">
        <v>4036</v>
      </c>
      <c r="AU7" s="207" t="s">
        <v>4180</v>
      </c>
      <c r="AV7" s="207" t="s">
        <v>4038</v>
      </c>
      <c r="AW7" s="207" t="s">
        <v>4039</v>
      </c>
      <c r="AX7" s="207" t="s">
        <v>4040</v>
      </c>
      <c r="AY7" s="207" t="s">
        <v>4041</v>
      </c>
      <c r="AZ7" s="207" t="s">
        <v>4042</v>
      </c>
      <c r="BA7" s="207" t="s">
        <v>4043</v>
      </c>
      <c r="BB7" s="207" t="s">
        <v>4044</v>
      </c>
      <c r="BC7" s="207" t="s">
        <v>4037</v>
      </c>
      <c r="BD7" s="207" t="s">
        <v>4045</v>
      </c>
      <c r="BE7" s="207" t="s">
        <v>4219</v>
      </c>
      <c r="BF7" s="208" t="s">
        <v>4046</v>
      </c>
    </row>
    <row r="8" spans="1:58" ht="14.25" x14ac:dyDescent="0.45">
      <c r="A8" t="s">
        <v>243</v>
      </c>
      <c r="B8" t="s">
        <v>244</v>
      </c>
      <c r="C8" t="s">
        <v>245</v>
      </c>
      <c r="D8" t="s">
        <v>199</v>
      </c>
      <c r="E8" t="s">
        <v>246</v>
      </c>
      <c r="F8" s="54">
        <v>88646</v>
      </c>
      <c r="G8" s="8">
        <v>0</v>
      </c>
      <c r="H8" s="8">
        <v>88646</v>
      </c>
      <c r="I8" s="126">
        <v>19511</v>
      </c>
      <c r="J8" s="8">
        <v>23969</v>
      </c>
      <c r="K8" s="8">
        <v>70445</v>
      </c>
      <c r="L8" s="8">
        <v>71599</v>
      </c>
      <c r="M8" s="8">
        <v>43589</v>
      </c>
      <c r="N8" s="8">
        <v>68189</v>
      </c>
      <c r="O8" s="8">
        <v>71599</v>
      </c>
      <c r="P8" s="8">
        <v>33424</v>
      </c>
      <c r="Q8" s="8">
        <v>7446</v>
      </c>
      <c r="R8" s="8">
        <v>23969</v>
      </c>
      <c r="S8" s="8">
        <v>23969</v>
      </c>
      <c r="T8" s="8">
        <v>71599</v>
      </c>
      <c r="U8" s="126">
        <v>3</v>
      </c>
      <c r="V8" s="8">
        <v>3</v>
      </c>
      <c r="W8" s="8">
        <v>3</v>
      </c>
      <c r="X8" s="8">
        <v>3</v>
      </c>
      <c r="Y8" s="8">
        <v>3</v>
      </c>
      <c r="Z8" s="8">
        <v>4</v>
      </c>
      <c r="AA8" s="8">
        <v>3</v>
      </c>
      <c r="AB8" s="8">
        <v>3</v>
      </c>
      <c r="AC8" s="8">
        <v>2</v>
      </c>
      <c r="AD8" s="8">
        <v>3</v>
      </c>
      <c r="AE8" s="8">
        <v>3</v>
      </c>
      <c r="AF8" s="8">
        <v>3</v>
      </c>
      <c r="AG8" s="54">
        <v>8780</v>
      </c>
      <c r="AH8" s="8">
        <v>9741</v>
      </c>
      <c r="AI8" s="8">
        <v>4763</v>
      </c>
      <c r="AJ8" s="8">
        <v>10740</v>
      </c>
      <c r="AK8" s="8">
        <v>2179</v>
      </c>
      <c r="AL8" s="8">
        <v>34095</v>
      </c>
      <c r="AM8" s="8">
        <v>10740</v>
      </c>
      <c r="AN8" s="8">
        <v>9572</v>
      </c>
      <c r="AO8" s="8">
        <v>0</v>
      </c>
      <c r="AP8" s="8">
        <v>3745</v>
      </c>
      <c r="AQ8" s="8">
        <v>5996</v>
      </c>
      <c r="AR8" s="8">
        <v>8364</v>
      </c>
      <c r="AS8" s="202">
        <v>34095</v>
      </c>
      <c r="AT8" s="54">
        <v>1756</v>
      </c>
      <c r="AU8" s="8">
        <v>1798.2</v>
      </c>
      <c r="AV8" s="8">
        <v>953</v>
      </c>
      <c r="AW8" s="8">
        <v>2148</v>
      </c>
      <c r="AX8" s="8">
        <v>436</v>
      </c>
      <c r="AY8" s="8">
        <v>34095</v>
      </c>
      <c r="AZ8" s="8">
        <v>2148</v>
      </c>
      <c r="BA8" s="8">
        <v>1914</v>
      </c>
      <c r="BB8" s="8">
        <v>0</v>
      </c>
      <c r="BC8" s="8">
        <v>749</v>
      </c>
      <c r="BD8" s="8">
        <v>1199</v>
      </c>
      <c r="BE8" s="8">
        <v>1673</v>
      </c>
      <c r="BF8" s="202">
        <v>34095</v>
      </c>
    </row>
    <row r="9" spans="1:58" ht="14.25" x14ac:dyDescent="0.45">
      <c r="A9" t="s">
        <v>247</v>
      </c>
      <c r="B9" t="s">
        <v>248</v>
      </c>
      <c r="C9" t="s">
        <v>245</v>
      </c>
      <c r="D9" t="s">
        <v>199</v>
      </c>
      <c r="E9" t="s">
        <v>249</v>
      </c>
      <c r="F9" s="54">
        <v>31262</v>
      </c>
      <c r="G9" s="8">
        <v>0</v>
      </c>
      <c r="H9" s="8">
        <v>31262</v>
      </c>
      <c r="I9" s="126">
        <v>6881</v>
      </c>
      <c r="J9" s="8">
        <v>8453</v>
      </c>
      <c r="K9" s="8">
        <v>24843</v>
      </c>
      <c r="L9" s="8">
        <v>23522</v>
      </c>
      <c r="M9" s="8">
        <v>15372</v>
      </c>
      <c r="N9" s="8">
        <v>26453</v>
      </c>
      <c r="O9" s="8">
        <v>23522</v>
      </c>
      <c r="P9" s="8">
        <v>15147</v>
      </c>
      <c r="Q9" s="8">
        <v>8753</v>
      </c>
      <c r="R9" s="8">
        <v>8453</v>
      </c>
      <c r="S9" s="8">
        <v>8453</v>
      </c>
      <c r="T9" s="8">
        <v>26453</v>
      </c>
      <c r="U9" s="126">
        <v>3</v>
      </c>
      <c r="V9" s="8">
        <v>3</v>
      </c>
      <c r="W9" s="8">
        <v>3</v>
      </c>
      <c r="X9" s="8">
        <v>3</v>
      </c>
      <c r="Y9" s="8">
        <v>2</v>
      </c>
      <c r="Z9" s="8">
        <v>3</v>
      </c>
      <c r="AA9" s="8">
        <v>4</v>
      </c>
      <c r="AB9" s="8">
        <v>2</v>
      </c>
      <c r="AC9" s="8">
        <v>3</v>
      </c>
      <c r="AD9" s="8">
        <v>3</v>
      </c>
      <c r="AE9" s="8">
        <v>3</v>
      </c>
      <c r="AF9" s="8">
        <v>3</v>
      </c>
      <c r="AG9" s="54">
        <v>3096</v>
      </c>
      <c r="AH9" s="8">
        <v>3436</v>
      </c>
      <c r="AI9" s="8">
        <v>1680</v>
      </c>
      <c r="AJ9" s="8">
        <v>11761</v>
      </c>
      <c r="AK9" s="8">
        <v>0</v>
      </c>
      <c r="AL9" s="8">
        <v>6613</v>
      </c>
      <c r="AM9" s="8">
        <v>11761</v>
      </c>
      <c r="AN9" s="8">
        <v>0</v>
      </c>
      <c r="AO9" s="8">
        <v>1751</v>
      </c>
      <c r="AP9" s="8">
        <v>1321</v>
      </c>
      <c r="AQ9" s="8">
        <v>2115</v>
      </c>
      <c r="AR9" s="8">
        <v>1117</v>
      </c>
      <c r="AS9" s="202">
        <v>11761</v>
      </c>
      <c r="AT9" s="54">
        <v>619</v>
      </c>
      <c r="AU9" s="8">
        <v>634.20000000000005</v>
      </c>
      <c r="AV9" s="8">
        <v>336</v>
      </c>
      <c r="AW9" s="8">
        <v>11761</v>
      </c>
      <c r="AX9" s="8">
        <v>0</v>
      </c>
      <c r="AY9" s="8">
        <v>1323</v>
      </c>
      <c r="AZ9" s="8">
        <v>11761</v>
      </c>
      <c r="BA9" s="8">
        <v>0</v>
      </c>
      <c r="BB9" s="8">
        <v>350</v>
      </c>
      <c r="BC9" s="8">
        <v>264</v>
      </c>
      <c r="BD9" s="8">
        <v>423</v>
      </c>
      <c r="BE9" s="8">
        <v>223</v>
      </c>
      <c r="BF9" s="202">
        <v>11761</v>
      </c>
    </row>
    <row r="10" spans="1:58" ht="14.25" x14ac:dyDescent="0.45">
      <c r="A10" t="s">
        <v>250</v>
      </c>
      <c r="B10" t="s">
        <v>251</v>
      </c>
      <c r="C10" t="s">
        <v>252</v>
      </c>
      <c r="D10" t="s">
        <v>193</v>
      </c>
      <c r="E10" t="s">
        <v>253</v>
      </c>
      <c r="F10" s="54">
        <v>23346</v>
      </c>
      <c r="G10" s="8">
        <v>204922</v>
      </c>
      <c r="H10" s="8">
        <v>228268</v>
      </c>
      <c r="I10" s="126">
        <v>0</v>
      </c>
      <c r="J10" s="8">
        <v>89572</v>
      </c>
      <c r="K10" s="8">
        <v>0</v>
      </c>
      <c r="L10" s="8">
        <v>0</v>
      </c>
      <c r="M10" s="8">
        <v>0</v>
      </c>
      <c r="N10" s="8">
        <v>0</v>
      </c>
      <c r="O10" s="8">
        <v>0</v>
      </c>
      <c r="P10" s="8">
        <v>0</v>
      </c>
      <c r="Q10" s="8">
        <v>0</v>
      </c>
      <c r="R10" s="8">
        <v>0</v>
      </c>
      <c r="S10" s="8">
        <v>89572</v>
      </c>
      <c r="T10" s="8">
        <v>89572</v>
      </c>
      <c r="U10" s="126">
        <v>0</v>
      </c>
      <c r="V10" s="8">
        <v>4</v>
      </c>
      <c r="W10" s="8">
        <v>0</v>
      </c>
      <c r="X10" s="8">
        <v>0</v>
      </c>
      <c r="Y10" s="8">
        <v>0</v>
      </c>
      <c r="Z10" s="8">
        <v>0</v>
      </c>
      <c r="AA10" s="8">
        <v>0</v>
      </c>
      <c r="AB10" s="8">
        <v>0</v>
      </c>
      <c r="AC10" s="8">
        <v>0</v>
      </c>
      <c r="AD10" s="8">
        <v>0</v>
      </c>
      <c r="AE10" s="8">
        <v>4</v>
      </c>
      <c r="AF10" s="8">
        <v>5</v>
      </c>
      <c r="AG10" s="54">
        <v>0</v>
      </c>
      <c r="AH10" s="8">
        <v>40036</v>
      </c>
      <c r="AI10" s="8">
        <v>0</v>
      </c>
      <c r="AJ10" s="8">
        <v>0</v>
      </c>
      <c r="AK10" s="8">
        <v>0</v>
      </c>
      <c r="AL10" s="8">
        <v>0</v>
      </c>
      <c r="AM10" s="8">
        <v>0</v>
      </c>
      <c r="AN10" s="8">
        <v>0</v>
      </c>
      <c r="AO10" s="8">
        <v>0</v>
      </c>
      <c r="AP10" s="8">
        <v>0</v>
      </c>
      <c r="AQ10" s="8">
        <v>40036</v>
      </c>
      <c r="AR10" s="8">
        <v>0</v>
      </c>
      <c r="AS10" s="202">
        <v>40036</v>
      </c>
      <c r="AT10" s="54">
        <v>0</v>
      </c>
      <c r="AU10" s="8">
        <v>40036</v>
      </c>
      <c r="AV10" s="8">
        <v>0</v>
      </c>
      <c r="AW10" s="8">
        <v>0</v>
      </c>
      <c r="AX10" s="8">
        <v>0</v>
      </c>
      <c r="AY10" s="8">
        <v>0</v>
      </c>
      <c r="AZ10" s="8">
        <v>0</v>
      </c>
      <c r="BA10" s="8">
        <v>0</v>
      </c>
      <c r="BB10" s="8">
        <v>0</v>
      </c>
      <c r="BC10" s="8">
        <v>0</v>
      </c>
      <c r="BD10" s="8">
        <v>40036</v>
      </c>
      <c r="BE10" s="8">
        <v>0</v>
      </c>
      <c r="BF10" s="202">
        <v>40036</v>
      </c>
    </row>
    <row r="11" spans="1:58" ht="14.25" x14ac:dyDescent="0.45">
      <c r="A11" t="s">
        <v>250</v>
      </c>
      <c r="B11" t="s">
        <v>251</v>
      </c>
      <c r="C11" t="s">
        <v>254</v>
      </c>
      <c r="D11" t="s">
        <v>196</v>
      </c>
      <c r="E11" t="s">
        <v>255</v>
      </c>
      <c r="F11" s="54">
        <v>27202</v>
      </c>
      <c r="G11" s="8">
        <v>61336</v>
      </c>
      <c r="H11" s="8">
        <v>88538</v>
      </c>
      <c r="I11" s="126">
        <v>3493</v>
      </c>
      <c r="J11" s="8">
        <v>46546</v>
      </c>
      <c r="K11" s="8">
        <v>21617</v>
      </c>
      <c r="L11" s="8">
        <v>23316</v>
      </c>
      <c r="M11" s="8">
        <v>20489</v>
      </c>
      <c r="N11" s="8">
        <v>25648</v>
      </c>
      <c r="O11" s="8">
        <v>23316</v>
      </c>
      <c r="P11" s="8">
        <v>11026</v>
      </c>
      <c r="Q11" s="8">
        <v>10663</v>
      </c>
      <c r="R11" s="8">
        <v>23990</v>
      </c>
      <c r="S11" s="8">
        <v>46546</v>
      </c>
      <c r="T11" s="8">
        <v>48204</v>
      </c>
      <c r="U11" s="126">
        <v>4</v>
      </c>
      <c r="V11" s="8">
        <v>4</v>
      </c>
      <c r="W11" s="8">
        <v>4</v>
      </c>
      <c r="X11" s="8">
        <v>4</v>
      </c>
      <c r="Y11" s="8">
        <v>4</v>
      </c>
      <c r="Z11" s="8">
        <v>4</v>
      </c>
      <c r="AA11" s="8">
        <v>4</v>
      </c>
      <c r="AB11" s="8">
        <v>4</v>
      </c>
      <c r="AC11" s="8">
        <v>4</v>
      </c>
      <c r="AD11" s="8">
        <v>4</v>
      </c>
      <c r="AE11" s="8">
        <v>4</v>
      </c>
      <c r="AF11" s="8">
        <v>4</v>
      </c>
      <c r="AG11" s="54">
        <v>3143</v>
      </c>
      <c r="AH11" s="8">
        <v>33168</v>
      </c>
      <c r="AI11" s="8">
        <v>4872</v>
      </c>
      <c r="AJ11" s="8">
        <v>13990</v>
      </c>
      <c r="AK11" s="8">
        <v>13914</v>
      </c>
      <c r="AL11" s="8">
        <v>12824</v>
      </c>
      <c r="AM11" s="8">
        <v>13990</v>
      </c>
      <c r="AN11" s="8">
        <v>6932</v>
      </c>
      <c r="AO11" s="8">
        <v>3199</v>
      </c>
      <c r="AP11" s="8">
        <v>9526</v>
      </c>
      <c r="AQ11" s="8">
        <v>33168</v>
      </c>
      <c r="AR11" s="8">
        <v>0</v>
      </c>
      <c r="AS11" s="202">
        <v>36546</v>
      </c>
      <c r="AT11" s="54">
        <v>3143</v>
      </c>
      <c r="AU11" s="8">
        <v>33168</v>
      </c>
      <c r="AV11" s="8">
        <v>4872</v>
      </c>
      <c r="AW11" s="8">
        <v>13990</v>
      </c>
      <c r="AX11" s="8">
        <v>13914</v>
      </c>
      <c r="AY11" s="8">
        <v>12824</v>
      </c>
      <c r="AZ11" s="8">
        <v>13990</v>
      </c>
      <c r="BA11" s="8">
        <v>6932</v>
      </c>
      <c r="BB11" s="8">
        <v>3199</v>
      </c>
      <c r="BC11" s="8">
        <v>9526</v>
      </c>
      <c r="BD11" s="8">
        <v>33168</v>
      </c>
      <c r="BE11" s="8">
        <v>0</v>
      </c>
      <c r="BF11" s="202">
        <v>36546</v>
      </c>
    </row>
    <row r="12" spans="1:58" ht="14.25" x14ac:dyDescent="0.45">
      <c r="A12" t="s">
        <v>250</v>
      </c>
      <c r="B12" t="s">
        <v>251</v>
      </c>
      <c r="C12" t="s">
        <v>256</v>
      </c>
      <c r="D12" t="s">
        <v>199</v>
      </c>
      <c r="E12" t="s">
        <v>257</v>
      </c>
      <c r="F12" s="54">
        <v>325353</v>
      </c>
      <c r="G12" s="8">
        <v>0</v>
      </c>
      <c r="H12" s="8">
        <v>325353</v>
      </c>
      <c r="I12" s="126">
        <v>55548</v>
      </c>
      <c r="J12" s="8">
        <v>67798</v>
      </c>
      <c r="K12" s="8">
        <v>258550</v>
      </c>
      <c r="L12" s="8">
        <v>276793</v>
      </c>
      <c r="M12" s="8">
        <v>191059</v>
      </c>
      <c r="N12" s="8">
        <v>171841</v>
      </c>
      <c r="O12" s="8">
        <v>276793</v>
      </c>
      <c r="P12" s="8">
        <v>154241</v>
      </c>
      <c r="Q12" s="8">
        <v>127538</v>
      </c>
      <c r="R12" s="8">
        <v>67798</v>
      </c>
      <c r="S12" s="8">
        <v>67798</v>
      </c>
      <c r="T12" s="8">
        <v>276793</v>
      </c>
      <c r="U12" s="126">
        <v>4</v>
      </c>
      <c r="V12" s="8">
        <v>4</v>
      </c>
      <c r="W12" s="8">
        <v>4</v>
      </c>
      <c r="X12" s="8">
        <v>4</v>
      </c>
      <c r="Y12" s="8">
        <v>4</v>
      </c>
      <c r="Z12" s="8">
        <v>3</v>
      </c>
      <c r="AA12" s="8">
        <v>4</v>
      </c>
      <c r="AB12" s="8">
        <v>4</v>
      </c>
      <c r="AC12" s="8">
        <v>4</v>
      </c>
      <c r="AD12" s="8">
        <v>4</v>
      </c>
      <c r="AE12" s="8">
        <v>4</v>
      </c>
      <c r="AF12" s="8">
        <v>4</v>
      </c>
      <c r="AG12" s="54">
        <v>49993</v>
      </c>
      <c r="AH12" s="8">
        <v>65679</v>
      </c>
      <c r="AI12" s="8">
        <v>17482</v>
      </c>
      <c r="AJ12" s="8">
        <v>138397</v>
      </c>
      <c r="AK12" s="8">
        <v>18216</v>
      </c>
      <c r="AL12" s="8">
        <v>42960</v>
      </c>
      <c r="AM12" s="8">
        <v>138397</v>
      </c>
      <c r="AN12" s="8">
        <v>97525</v>
      </c>
      <c r="AO12" s="8">
        <v>38261</v>
      </c>
      <c r="AP12" s="8">
        <v>31780</v>
      </c>
      <c r="AQ12" s="8">
        <v>33899</v>
      </c>
      <c r="AR12" s="8">
        <v>15988</v>
      </c>
      <c r="AS12" s="202">
        <v>138397</v>
      </c>
      <c r="AT12" s="54">
        <v>49993</v>
      </c>
      <c r="AU12" s="8">
        <v>59323</v>
      </c>
      <c r="AV12" s="8">
        <v>17482</v>
      </c>
      <c r="AW12" s="8">
        <v>138397</v>
      </c>
      <c r="AX12" s="8">
        <v>18216</v>
      </c>
      <c r="AY12" s="8">
        <v>8592</v>
      </c>
      <c r="AZ12" s="8">
        <v>138397</v>
      </c>
      <c r="BA12" s="8">
        <v>97525</v>
      </c>
      <c r="BB12" s="8">
        <v>38261</v>
      </c>
      <c r="BC12" s="8">
        <v>31780</v>
      </c>
      <c r="BD12" s="8">
        <v>33899</v>
      </c>
      <c r="BE12" s="8">
        <v>15988</v>
      </c>
      <c r="BF12" s="202">
        <v>138397</v>
      </c>
    </row>
    <row r="13" spans="1:58" ht="14.25" x14ac:dyDescent="0.45">
      <c r="A13" t="s">
        <v>258</v>
      </c>
      <c r="B13" t="s">
        <v>259</v>
      </c>
      <c r="C13" t="s">
        <v>252</v>
      </c>
      <c r="D13" t="s">
        <v>193</v>
      </c>
      <c r="E13" t="s">
        <v>260</v>
      </c>
      <c r="F13" s="54">
        <v>28205</v>
      </c>
      <c r="G13" s="8">
        <v>152005</v>
      </c>
      <c r="H13" s="8">
        <v>180210</v>
      </c>
      <c r="I13" s="126">
        <v>0</v>
      </c>
      <c r="J13" s="8">
        <v>79143</v>
      </c>
      <c r="K13" s="8">
        <v>0</v>
      </c>
      <c r="L13" s="8">
        <v>0</v>
      </c>
      <c r="M13" s="8">
        <v>0</v>
      </c>
      <c r="N13" s="8">
        <v>0</v>
      </c>
      <c r="O13" s="8">
        <v>0</v>
      </c>
      <c r="P13" s="8">
        <v>0</v>
      </c>
      <c r="Q13" s="8">
        <v>0</v>
      </c>
      <c r="R13" s="8">
        <v>0</v>
      </c>
      <c r="S13" s="8">
        <v>79143</v>
      </c>
      <c r="T13" s="8">
        <v>79143</v>
      </c>
      <c r="U13" s="126">
        <v>0</v>
      </c>
      <c r="V13" s="8">
        <v>4</v>
      </c>
      <c r="W13" s="8">
        <v>0</v>
      </c>
      <c r="X13" s="8">
        <v>0</v>
      </c>
      <c r="Y13" s="8">
        <v>0</v>
      </c>
      <c r="Z13" s="8">
        <v>0</v>
      </c>
      <c r="AA13" s="8">
        <v>0</v>
      </c>
      <c r="AB13" s="8">
        <v>0</v>
      </c>
      <c r="AC13" s="8">
        <v>0</v>
      </c>
      <c r="AD13" s="8">
        <v>0</v>
      </c>
      <c r="AE13" s="8">
        <v>4</v>
      </c>
      <c r="AF13" s="8">
        <v>5</v>
      </c>
      <c r="AG13" s="54">
        <v>0</v>
      </c>
      <c r="AH13" s="8">
        <v>32596</v>
      </c>
      <c r="AI13" s="8">
        <v>0</v>
      </c>
      <c r="AJ13" s="8">
        <v>0</v>
      </c>
      <c r="AK13" s="8">
        <v>0</v>
      </c>
      <c r="AL13" s="8">
        <v>0</v>
      </c>
      <c r="AM13" s="8">
        <v>0</v>
      </c>
      <c r="AN13" s="8">
        <v>0</v>
      </c>
      <c r="AO13" s="8">
        <v>0</v>
      </c>
      <c r="AP13" s="8">
        <v>0</v>
      </c>
      <c r="AQ13" s="8">
        <v>32596</v>
      </c>
      <c r="AR13" s="8">
        <v>0</v>
      </c>
      <c r="AS13" s="202">
        <v>32596</v>
      </c>
      <c r="AT13" s="54">
        <v>0</v>
      </c>
      <c r="AU13" s="8">
        <v>32596</v>
      </c>
      <c r="AV13" s="8">
        <v>0</v>
      </c>
      <c r="AW13" s="8">
        <v>0</v>
      </c>
      <c r="AX13" s="8">
        <v>0</v>
      </c>
      <c r="AY13" s="8">
        <v>0</v>
      </c>
      <c r="AZ13" s="8">
        <v>0</v>
      </c>
      <c r="BA13" s="8">
        <v>0</v>
      </c>
      <c r="BB13" s="8">
        <v>0</v>
      </c>
      <c r="BC13" s="8">
        <v>0</v>
      </c>
      <c r="BD13" s="8">
        <v>32596</v>
      </c>
      <c r="BE13" s="8">
        <v>0</v>
      </c>
      <c r="BF13" s="202">
        <v>32596</v>
      </c>
    </row>
    <row r="14" spans="1:58" ht="14.25" x14ac:dyDescent="0.45">
      <c r="A14" t="s">
        <v>258</v>
      </c>
      <c r="B14" t="s">
        <v>259</v>
      </c>
      <c r="C14" t="s">
        <v>254</v>
      </c>
      <c r="D14" t="s">
        <v>196</v>
      </c>
      <c r="E14" t="s">
        <v>261</v>
      </c>
      <c r="F14" s="54">
        <v>7575</v>
      </c>
      <c r="G14" s="8">
        <v>35228</v>
      </c>
      <c r="H14" s="8">
        <v>42803</v>
      </c>
      <c r="I14" s="126">
        <v>834</v>
      </c>
      <c r="J14" s="8">
        <v>16818</v>
      </c>
      <c r="K14" s="8">
        <v>6019</v>
      </c>
      <c r="L14" s="8">
        <v>7196</v>
      </c>
      <c r="M14" s="8">
        <v>5705</v>
      </c>
      <c r="N14" s="8">
        <v>7236</v>
      </c>
      <c r="O14" s="8">
        <v>7196</v>
      </c>
      <c r="P14" s="8">
        <v>3168</v>
      </c>
      <c r="Q14" s="8">
        <v>3818</v>
      </c>
      <c r="R14" s="8">
        <v>6035</v>
      </c>
      <c r="S14" s="8">
        <v>16818</v>
      </c>
      <c r="T14" s="8">
        <v>18019</v>
      </c>
      <c r="U14" s="126">
        <v>5</v>
      </c>
      <c r="V14" s="8">
        <v>4</v>
      </c>
      <c r="W14" s="8">
        <v>4</v>
      </c>
      <c r="X14" s="8">
        <v>5</v>
      </c>
      <c r="Y14" s="8">
        <v>5</v>
      </c>
      <c r="Z14" s="8">
        <v>4</v>
      </c>
      <c r="AA14" s="8">
        <v>5</v>
      </c>
      <c r="AB14" s="8">
        <v>5</v>
      </c>
      <c r="AC14" s="8">
        <v>5</v>
      </c>
      <c r="AD14" s="8">
        <v>4</v>
      </c>
      <c r="AE14" s="8">
        <v>4</v>
      </c>
      <c r="AF14" s="8">
        <v>5</v>
      </c>
      <c r="AG14" s="54">
        <v>750</v>
      </c>
      <c r="AH14" s="8">
        <v>15535</v>
      </c>
      <c r="AI14" s="8">
        <v>1357</v>
      </c>
      <c r="AJ14" s="8">
        <v>4318</v>
      </c>
      <c r="AK14" s="8">
        <v>3205</v>
      </c>
      <c r="AL14" s="8">
        <v>3618</v>
      </c>
      <c r="AM14" s="8">
        <v>4318</v>
      </c>
      <c r="AN14" s="8">
        <v>2031</v>
      </c>
      <c r="AO14" s="8">
        <v>382</v>
      </c>
      <c r="AP14" s="8">
        <v>2652</v>
      </c>
      <c r="AQ14" s="8">
        <v>15535</v>
      </c>
      <c r="AR14" s="8">
        <v>0</v>
      </c>
      <c r="AS14" s="202">
        <v>15535</v>
      </c>
      <c r="AT14" s="54">
        <v>750</v>
      </c>
      <c r="AU14" s="8">
        <v>15535</v>
      </c>
      <c r="AV14" s="8">
        <v>1357</v>
      </c>
      <c r="AW14" s="8">
        <v>4318</v>
      </c>
      <c r="AX14" s="8">
        <v>3205</v>
      </c>
      <c r="AY14" s="8">
        <v>3618</v>
      </c>
      <c r="AZ14" s="8">
        <v>4318</v>
      </c>
      <c r="BA14" s="8">
        <v>2031</v>
      </c>
      <c r="BB14" s="8">
        <v>382</v>
      </c>
      <c r="BC14" s="8">
        <v>2652</v>
      </c>
      <c r="BD14" s="8">
        <v>15535</v>
      </c>
      <c r="BE14" s="8">
        <v>0</v>
      </c>
      <c r="BF14" s="202">
        <v>15535</v>
      </c>
    </row>
    <row r="15" spans="1:58" ht="14.25" x14ac:dyDescent="0.45">
      <c r="A15" t="s">
        <v>262</v>
      </c>
      <c r="B15" t="s">
        <v>263</v>
      </c>
      <c r="C15" t="s">
        <v>245</v>
      </c>
      <c r="D15" t="s">
        <v>199</v>
      </c>
      <c r="E15" t="s">
        <v>264</v>
      </c>
      <c r="F15" s="54">
        <v>53364</v>
      </c>
      <c r="G15" s="8">
        <v>0</v>
      </c>
      <c r="H15" s="8">
        <v>53364</v>
      </c>
      <c r="I15" s="126">
        <v>3915</v>
      </c>
      <c r="J15" s="8">
        <v>14429</v>
      </c>
      <c r="K15" s="8">
        <v>42407</v>
      </c>
      <c r="L15" s="8">
        <v>30493</v>
      </c>
      <c r="M15" s="8">
        <v>26240</v>
      </c>
      <c r="N15" s="8">
        <v>40427</v>
      </c>
      <c r="O15" s="8">
        <v>30493</v>
      </c>
      <c r="P15" s="8">
        <v>19084</v>
      </c>
      <c r="Q15" s="8">
        <v>14942</v>
      </c>
      <c r="R15" s="8">
        <v>14429</v>
      </c>
      <c r="S15" s="8">
        <v>14429</v>
      </c>
      <c r="T15" s="8">
        <v>42407</v>
      </c>
      <c r="U15" s="126">
        <v>3</v>
      </c>
      <c r="V15" s="8">
        <v>3</v>
      </c>
      <c r="W15" s="8">
        <v>3</v>
      </c>
      <c r="X15" s="8">
        <v>3</v>
      </c>
      <c r="Y15" s="8">
        <v>3</v>
      </c>
      <c r="Z15" s="8">
        <v>3</v>
      </c>
      <c r="AA15" s="8">
        <v>3</v>
      </c>
      <c r="AB15" s="8">
        <v>2</v>
      </c>
      <c r="AC15" s="8">
        <v>3</v>
      </c>
      <c r="AD15" s="8">
        <v>3</v>
      </c>
      <c r="AE15" s="8">
        <v>3</v>
      </c>
      <c r="AF15" s="8">
        <v>3</v>
      </c>
      <c r="AG15" s="54">
        <v>1762</v>
      </c>
      <c r="AH15" s="8">
        <v>5866</v>
      </c>
      <c r="AI15" s="8">
        <v>2867</v>
      </c>
      <c r="AJ15" s="8">
        <v>4574</v>
      </c>
      <c r="AK15" s="8">
        <v>1254</v>
      </c>
      <c r="AL15" s="8">
        <v>10107</v>
      </c>
      <c r="AM15" s="8">
        <v>4574</v>
      </c>
      <c r="AN15" s="8">
        <v>0</v>
      </c>
      <c r="AO15" s="8">
        <v>2988</v>
      </c>
      <c r="AP15" s="8">
        <v>2255</v>
      </c>
      <c r="AQ15" s="8">
        <v>3611</v>
      </c>
      <c r="AR15" s="8">
        <v>3839</v>
      </c>
      <c r="AS15" s="202">
        <v>10107</v>
      </c>
      <c r="AT15" s="54">
        <v>352</v>
      </c>
      <c r="AU15" s="8">
        <v>1082.8</v>
      </c>
      <c r="AV15" s="8">
        <v>573</v>
      </c>
      <c r="AW15" s="8">
        <v>915</v>
      </c>
      <c r="AX15" s="8">
        <v>251</v>
      </c>
      <c r="AY15" s="8">
        <v>2021</v>
      </c>
      <c r="AZ15" s="8">
        <v>915</v>
      </c>
      <c r="BA15" s="8">
        <v>0</v>
      </c>
      <c r="BB15" s="8">
        <v>598</v>
      </c>
      <c r="BC15" s="8">
        <v>451</v>
      </c>
      <c r="BD15" s="8">
        <v>722</v>
      </c>
      <c r="BE15" s="8">
        <v>768</v>
      </c>
      <c r="BF15" s="202">
        <v>2021</v>
      </c>
    </row>
    <row r="16" spans="1:58" ht="14.25" x14ac:dyDescent="0.45">
      <c r="A16" t="s">
        <v>265</v>
      </c>
      <c r="B16" t="s">
        <v>266</v>
      </c>
      <c r="C16" t="s">
        <v>245</v>
      </c>
      <c r="D16" t="s">
        <v>199</v>
      </c>
      <c r="E16" t="s">
        <v>267</v>
      </c>
      <c r="F16" s="54">
        <v>59270</v>
      </c>
      <c r="G16" s="8">
        <v>0</v>
      </c>
      <c r="H16" s="8">
        <v>59270</v>
      </c>
      <c r="I16" s="126">
        <v>225</v>
      </c>
      <c r="J16" s="8">
        <v>16026</v>
      </c>
      <c r="K16" s="8">
        <v>47101</v>
      </c>
      <c r="L16" s="8">
        <v>52751</v>
      </c>
      <c r="M16" s="8">
        <v>29144</v>
      </c>
      <c r="N16" s="8">
        <v>42806</v>
      </c>
      <c r="O16" s="8">
        <v>52751</v>
      </c>
      <c r="P16" s="8">
        <v>23942</v>
      </c>
      <c r="Q16" s="8">
        <v>16596</v>
      </c>
      <c r="R16" s="8">
        <v>16026</v>
      </c>
      <c r="S16" s="8">
        <v>16026</v>
      </c>
      <c r="T16" s="8">
        <v>52751</v>
      </c>
      <c r="U16" s="126">
        <v>2</v>
      </c>
      <c r="V16" s="8">
        <v>3</v>
      </c>
      <c r="W16" s="8">
        <v>3</v>
      </c>
      <c r="X16" s="8">
        <v>3</v>
      </c>
      <c r="Y16" s="8">
        <v>3</v>
      </c>
      <c r="Z16" s="8">
        <v>3</v>
      </c>
      <c r="AA16" s="8">
        <v>3</v>
      </c>
      <c r="AB16" s="8">
        <v>3</v>
      </c>
      <c r="AC16" s="8">
        <v>3</v>
      </c>
      <c r="AD16" s="8">
        <v>3</v>
      </c>
      <c r="AE16" s="8">
        <v>3</v>
      </c>
      <c r="AF16" s="8">
        <v>3</v>
      </c>
      <c r="AG16" s="54">
        <v>0</v>
      </c>
      <c r="AH16" s="8">
        <v>6514</v>
      </c>
      <c r="AI16" s="8">
        <v>3185</v>
      </c>
      <c r="AJ16" s="8">
        <v>7913</v>
      </c>
      <c r="AK16" s="8">
        <v>1457</v>
      </c>
      <c r="AL16" s="8">
        <v>10702</v>
      </c>
      <c r="AM16" s="8">
        <v>7913</v>
      </c>
      <c r="AN16" s="8">
        <v>6242</v>
      </c>
      <c r="AO16" s="8">
        <v>3319</v>
      </c>
      <c r="AP16" s="8">
        <v>2504</v>
      </c>
      <c r="AQ16" s="8">
        <v>4010</v>
      </c>
      <c r="AR16" s="8">
        <v>1026</v>
      </c>
      <c r="AS16" s="202">
        <v>10702</v>
      </c>
      <c r="AT16" s="54">
        <v>0</v>
      </c>
      <c r="AU16" s="8">
        <v>1202.8</v>
      </c>
      <c r="AV16" s="8">
        <v>637</v>
      </c>
      <c r="AW16" s="8">
        <v>1583</v>
      </c>
      <c r="AX16" s="8">
        <v>291</v>
      </c>
      <c r="AY16" s="8">
        <v>2140</v>
      </c>
      <c r="AZ16" s="8">
        <v>1583</v>
      </c>
      <c r="BA16" s="8">
        <v>1248</v>
      </c>
      <c r="BB16" s="8">
        <v>664</v>
      </c>
      <c r="BC16" s="8">
        <v>501</v>
      </c>
      <c r="BD16" s="8">
        <v>802</v>
      </c>
      <c r="BE16" s="8">
        <v>205</v>
      </c>
      <c r="BF16" s="202">
        <v>2140</v>
      </c>
    </row>
    <row r="17" spans="1:58" ht="14.25" x14ac:dyDescent="0.45">
      <c r="A17" t="s">
        <v>268</v>
      </c>
      <c r="B17" t="s">
        <v>269</v>
      </c>
      <c r="C17" t="s">
        <v>252</v>
      </c>
      <c r="D17" t="s">
        <v>193</v>
      </c>
      <c r="E17" t="s">
        <v>270</v>
      </c>
      <c r="F17" s="54">
        <v>7270</v>
      </c>
      <c r="G17" s="8">
        <v>50450</v>
      </c>
      <c r="H17" s="8">
        <v>57720</v>
      </c>
      <c r="I17" s="126">
        <v>0</v>
      </c>
      <c r="J17" s="8">
        <v>25078</v>
      </c>
      <c r="K17" s="8">
        <v>0</v>
      </c>
      <c r="L17" s="8">
        <v>0</v>
      </c>
      <c r="M17" s="8">
        <v>0</v>
      </c>
      <c r="N17" s="8">
        <v>0</v>
      </c>
      <c r="O17" s="8">
        <v>0</v>
      </c>
      <c r="P17" s="8">
        <v>0</v>
      </c>
      <c r="Q17" s="8">
        <v>0</v>
      </c>
      <c r="R17" s="8">
        <v>0</v>
      </c>
      <c r="S17" s="8">
        <v>25078</v>
      </c>
      <c r="T17" s="8">
        <v>25078</v>
      </c>
      <c r="U17" s="126">
        <v>0</v>
      </c>
      <c r="V17" s="8">
        <v>4</v>
      </c>
      <c r="W17" s="8">
        <v>0</v>
      </c>
      <c r="X17" s="8">
        <v>0</v>
      </c>
      <c r="Y17" s="8">
        <v>0</v>
      </c>
      <c r="Z17" s="8">
        <v>0</v>
      </c>
      <c r="AA17" s="8">
        <v>0</v>
      </c>
      <c r="AB17" s="8">
        <v>0</v>
      </c>
      <c r="AC17" s="8">
        <v>0</v>
      </c>
      <c r="AD17" s="8">
        <v>0</v>
      </c>
      <c r="AE17" s="8">
        <v>4</v>
      </c>
      <c r="AF17" s="8">
        <v>5</v>
      </c>
      <c r="AG17" s="54">
        <v>0</v>
      </c>
      <c r="AH17" s="8">
        <v>11040</v>
      </c>
      <c r="AI17" s="8">
        <v>0</v>
      </c>
      <c r="AJ17" s="8">
        <v>0</v>
      </c>
      <c r="AK17" s="8">
        <v>0</v>
      </c>
      <c r="AL17" s="8">
        <v>0</v>
      </c>
      <c r="AM17" s="8">
        <v>0</v>
      </c>
      <c r="AN17" s="8">
        <v>0</v>
      </c>
      <c r="AO17" s="8">
        <v>0</v>
      </c>
      <c r="AP17" s="8">
        <v>0</v>
      </c>
      <c r="AQ17" s="8">
        <v>11040</v>
      </c>
      <c r="AR17" s="8">
        <v>0</v>
      </c>
      <c r="AS17" s="202">
        <v>11040</v>
      </c>
      <c r="AT17" s="54">
        <v>0</v>
      </c>
      <c r="AU17" s="8">
        <v>11040</v>
      </c>
      <c r="AV17" s="8">
        <v>0</v>
      </c>
      <c r="AW17" s="8">
        <v>0</v>
      </c>
      <c r="AX17" s="8">
        <v>0</v>
      </c>
      <c r="AY17" s="8">
        <v>0</v>
      </c>
      <c r="AZ17" s="8">
        <v>0</v>
      </c>
      <c r="BA17" s="8">
        <v>0</v>
      </c>
      <c r="BB17" s="8">
        <v>0</v>
      </c>
      <c r="BC17" s="8">
        <v>0</v>
      </c>
      <c r="BD17" s="8">
        <v>11040</v>
      </c>
      <c r="BE17" s="8">
        <v>0</v>
      </c>
      <c r="BF17" s="202">
        <v>11040</v>
      </c>
    </row>
    <row r="18" spans="1:58" ht="14.25" x14ac:dyDescent="0.45">
      <c r="A18" t="s">
        <v>268</v>
      </c>
      <c r="B18" t="s">
        <v>269</v>
      </c>
      <c r="C18" t="s">
        <v>271</v>
      </c>
      <c r="D18" t="s">
        <v>196</v>
      </c>
      <c r="E18" t="s">
        <v>272</v>
      </c>
      <c r="F18" s="54">
        <v>16083</v>
      </c>
      <c r="G18" s="8">
        <v>20057</v>
      </c>
      <c r="H18" s="8">
        <v>36140</v>
      </c>
      <c r="I18" s="126">
        <v>843</v>
      </c>
      <c r="J18" s="8">
        <v>19160</v>
      </c>
      <c r="K18" s="8">
        <v>12780</v>
      </c>
      <c r="L18" s="8">
        <v>13718</v>
      </c>
      <c r="M18" s="8">
        <v>12113</v>
      </c>
      <c r="N18" s="8">
        <v>14621</v>
      </c>
      <c r="O18" s="8">
        <v>13718</v>
      </c>
      <c r="P18" s="8">
        <v>7787</v>
      </c>
      <c r="Q18" s="8">
        <v>6304</v>
      </c>
      <c r="R18" s="8">
        <v>12922</v>
      </c>
      <c r="S18" s="8">
        <v>19160</v>
      </c>
      <c r="T18" s="8">
        <v>20859</v>
      </c>
      <c r="U18" s="126">
        <v>4</v>
      </c>
      <c r="V18" s="8">
        <v>4</v>
      </c>
      <c r="W18" s="8">
        <v>4</v>
      </c>
      <c r="X18" s="8">
        <v>4</v>
      </c>
      <c r="Y18" s="8">
        <v>4</v>
      </c>
      <c r="Z18" s="8">
        <v>4</v>
      </c>
      <c r="AA18" s="8">
        <v>4</v>
      </c>
      <c r="AB18" s="8">
        <v>4</v>
      </c>
      <c r="AC18" s="8">
        <v>4</v>
      </c>
      <c r="AD18" s="8">
        <v>4</v>
      </c>
      <c r="AE18" s="8">
        <v>4</v>
      </c>
      <c r="AF18" s="8">
        <v>4</v>
      </c>
      <c r="AG18" s="54">
        <v>759</v>
      </c>
      <c r="AH18" s="8">
        <v>13391</v>
      </c>
      <c r="AI18" s="8">
        <v>2881</v>
      </c>
      <c r="AJ18" s="8">
        <v>8231</v>
      </c>
      <c r="AK18" s="8">
        <v>8380</v>
      </c>
      <c r="AL18" s="8">
        <v>7310</v>
      </c>
      <c r="AM18" s="8">
        <v>8231</v>
      </c>
      <c r="AN18" s="8">
        <v>4881</v>
      </c>
      <c r="AO18" s="8">
        <v>1891</v>
      </c>
      <c r="AP18" s="8">
        <v>5632</v>
      </c>
      <c r="AQ18" s="8">
        <v>13391</v>
      </c>
      <c r="AR18" s="8">
        <v>0</v>
      </c>
      <c r="AS18" s="202">
        <v>14618</v>
      </c>
      <c r="AT18" s="54">
        <v>759</v>
      </c>
      <c r="AU18" s="8">
        <v>13391</v>
      </c>
      <c r="AV18" s="8">
        <v>2881</v>
      </c>
      <c r="AW18" s="8">
        <v>8231</v>
      </c>
      <c r="AX18" s="8">
        <v>8380</v>
      </c>
      <c r="AY18" s="8">
        <v>7310</v>
      </c>
      <c r="AZ18" s="8">
        <v>8231</v>
      </c>
      <c r="BA18" s="8">
        <v>4881</v>
      </c>
      <c r="BB18" s="8">
        <v>1891</v>
      </c>
      <c r="BC18" s="8">
        <v>5632</v>
      </c>
      <c r="BD18" s="8">
        <v>13391</v>
      </c>
      <c r="BE18" s="8">
        <v>0</v>
      </c>
      <c r="BF18" s="202">
        <v>14618</v>
      </c>
    </row>
    <row r="19" spans="1:58" ht="14.25" x14ac:dyDescent="0.45">
      <c r="A19" t="s">
        <v>268</v>
      </c>
      <c r="B19" t="s">
        <v>269</v>
      </c>
      <c r="C19" t="s">
        <v>256</v>
      </c>
      <c r="D19" t="s">
        <v>199</v>
      </c>
      <c r="E19" t="s">
        <v>273</v>
      </c>
      <c r="F19" s="54">
        <v>1034</v>
      </c>
      <c r="G19" s="8">
        <v>0</v>
      </c>
      <c r="H19" s="8">
        <v>1034</v>
      </c>
      <c r="I19" s="126">
        <v>54</v>
      </c>
      <c r="J19" s="8">
        <v>215</v>
      </c>
      <c r="K19" s="8">
        <v>821</v>
      </c>
      <c r="L19" s="8">
        <v>517</v>
      </c>
      <c r="M19" s="8">
        <v>607</v>
      </c>
      <c r="N19" s="8">
        <v>672</v>
      </c>
      <c r="O19" s="8">
        <v>517</v>
      </c>
      <c r="P19" s="8">
        <v>491</v>
      </c>
      <c r="Q19" s="8">
        <v>405</v>
      </c>
      <c r="R19" s="8">
        <v>215</v>
      </c>
      <c r="S19" s="8">
        <v>215</v>
      </c>
      <c r="T19" s="8">
        <v>821</v>
      </c>
      <c r="U19" s="126">
        <v>4</v>
      </c>
      <c r="V19" s="8">
        <v>4</v>
      </c>
      <c r="W19" s="8">
        <v>4</v>
      </c>
      <c r="X19" s="8">
        <v>4</v>
      </c>
      <c r="Y19" s="8">
        <v>4</v>
      </c>
      <c r="Z19" s="8">
        <v>3</v>
      </c>
      <c r="AA19" s="8">
        <v>4</v>
      </c>
      <c r="AB19" s="8">
        <v>4</v>
      </c>
      <c r="AC19" s="8">
        <v>4</v>
      </c>
      <c r="AD19" s="8">
        <v>4</v>
      </c>
      <c r="AE19" s="8">
        <v>4</v>
      </c>
      <c r="AF19" s="8">
        <v>4</v>
      </c>
      <c r="AG19" s="54">
        <v>49</v>
      </c>
      <c r="AH19" s="8">
        <v>209</v>
      </c>
      <c r="AI19" s="8">
        <v>56</v>
      </c>
      <c r="AJ19" s="8">
        <v>290</v>
      </c>
      <c r="AK19" s="8">
        <v>61</v>
      </c>
      <c r="AL19" s="8">
        <v>168</v>
      </c>
      <c r="AM19" s="8">
        <v>259</v>
      </c>
      <c r="AN19" s="8">
        <v>290</v>
      </c>
      <c r="AO19" s="8">
        <v>122</v>
      </c>
      <c r="AP19" s="8">
        <v>101</v>
      </c>
      <c r="AQ19" s="8">
        <v>108</v>
      </c>
      <c r="AR19" s="8">
        <v>15</v>
      </c>
      <c r="AS19" s="202">
        <v>290</v>
      </c>
      <c r="AT19" s="54">
        <v>49</v>
      </c>
      <c r="AU19" s="8">
        <v>188.8</v>
      </c>
      <c r="AV19" s="8">
        <v>56</v>
      </c>
      <c r="AW19" s="8">
        <v>290</v>
      </c>
      <c r="AX19" s="8">
        <v>61</v>
      </c>
      <c r="AY19" s="8">
        <v>34</v>
      </c>
      <c r="AZ19" s="8">
        <v>259</v>
      </c>
      <c r="BA19" s="8">
        <v>290</v>
      </c>
      <c r="BB19" s="8">
        <v>122</v>
      </c>
      <c r="BC19" s="8">
        <v>101</v>
      </c>
      <c r="BD19" s="8">
        <v>108</v>
      </c>
      <c r="BE19" s="8">
        <v>15</v>
      </c>
      <c r="BF19" s="202">
        <v>290</v>
      </c>
    </row>
    <row r="20" spans="1:58" ht="14.25" x14ac:dyDescent="0.45">
      <c r="A20" t="s">
        <v>268</v>
      </c>
      <c r="B20" t="s">
        <v>269</v>
      </c>
      <c r="C20" t="s">
        <v>274</v>
      </c>
      <c r="D20" t="s">
        <v>196</v>
      </c>
      <c r="E20" t="s">
        <v>275</v>
      </c>
      <c r="F20" s="54">
        <v>94917</v>
      </c>
      <c r="G20" s="8">
        <v>246953</v>
      </c>
      <c r="H20" s="8">
        <v>341870</v>
      </c>
      <c r="I20" s="126">
        <v>8356</v>
      </c>
      <c r="J20" s="8">
        <v>154006</v>
      </c>
      <c r="K20" s="8">
        <v>75428</v>
      </c>
      <c r="L20" s="8">
        <v>77452</v>
      </c>
      <c r="M20" s="8">
        <v>71491</v>
      </c>
      <c r="N20" s="8">
        <v>78781</v>
      </c>
      <c r="O20" s="8">
        <v>77452</v>
      </c>
      <c r="P20" s="8">
        <v>43823</v>
      </c>
      <c r="Q20" s="8">
        <v>37207</v>
      </c>
      <c r="R20" s="8">
        <v>76589</v>
      </c>
      <c r="S20" s="8">
        <v>154006</v>
      </c>
      <c r="T20" s="8">
        <v>156198</v>
      </c>
      <c r="U20" s="126">
        <v>4</v>
      </c>
      <c r="V20" s="8">
        <v>4</v>
      </c>
      <c r="W20" s="8">
        <v>4</v>
      </c>
      <c r="X20" s="8">
        <v>4</v>
      </c>
      <c r="Y20" s="8">
        <v>4</v>
      </c>
      <c r="Z20" s="8">
        <v>4</v>
      </c>
      <c r="AA20" s="8">
        <v>4</v>
      </c>
      <c r="AB20" s="8">
        <v>4</v>
      </c>
      <c r="AC20" s="8">
        <v>4</v>
      </c>
      <c r="AD20" s="8">
        <v>4</v>
      </c>
      <c r="AE20" s="8">
        <v>4</v>
      </c>
      <c r="AF20" s="8">
        <v>4</v>
      </c>
      <c r="AG20" s="54">
        <v>7521</v>
      </c>
      <c r="AH20" s="8">
        <v>48720</v>
      </c>
      <c r="AI20" s="8">
        <v>17000</v>
      </c>
      <c r="AJ20" s="8">
        <v>46471</v>
      </c>
      <c r="AK20" s="8">
        <v>45600</v>
      </c>
      <c r="AL20" s="8">
        <v>39390</v>
      </c>
      <c r="AM20" s="8">
        <v>46471</v>
      </c>
      <c r="AN20" s="8">
        <v>27737</v>
      </c>
      <c r="AO20" s="8">
        <v>11162</v>
      </c>
      <c r="AP20" s="8">
        <v>33237</v>
      </c>
      <c r="AQ20" s="8">
        <v>41437</v>
      </c>
      <c r="AR20" s="8">
        <v>0</v>
      </c>
      <c r="AS20" s="202">
        <v>61954</v>
      </c>
      <c r="AT20" s="54">
        <v>7521</v>
      </c>
      <c r="AU20" s="8">
        <v>48720</v>
      </c>
      <c r="AV20" s="8">
        <v>17000</v>
      </c>
      <c r="AW20" s="8">
        <v>46471</v>
      </c>
      <c r="AX20" s="8">
        <v>45600</v>
      </c>
      <c r="AY20" s="8">
        <v>39390</v>
      </c>
      <c r="AZ20" s="8">
        <v>46471</v>
      </c>
      <c r="BA20" s="8">
        <v>27737</v>
      </c>
      <c r="BB20" s="8">
        <v>11162</v>
      </c>
      <c r="BC20" s="8">
        <v>33237</v>
      </c>
      <c r="BD20" s="8">
        <v>41437</v>
      </c>
      <c r="BE20" s="8">
        <v>0</v>
      </c>
      <c r="BF20" s="202">
        <v>61954</v>
      </c>
    </row>
    <row r="21" spans="1:58" ht="14.25" x14ac:dyDescent="0.45">
      <c r="A21" t="s">
        <v>276</v>
      </c>
      <c r="B21" t="s">
        <v>277</v>
      </c>
      <c r="C21" t="s">
        <v>245</v>
      </c>
      <c r="D21" t="s">
        <v>199</v>
      </c>
      <c r="E21" t="s">
        <v>278</v>
      </c>
      <c r="F21" s="54">
        <v>69755</v>
      </c>
      <c r="G21" s="8">
        <v>0</v>
      </c>
      <c r="H21" s="8">
        <v>69755</v>
      </c>
      <c r="I21" s="126">
        <v>6141</v>
      </c>
      <c r="J21" s="8">
        <v>18861</v>
      </c>
      <c r="K21" s="8">
        <v>55433</v>
      </c>
      <c r="L21" s="8">
        <v>62082</v>
      </c>
      <c r="M21" s="8">
        <v>34300</v>
      </c>
      <c r="N21" s="8">
        <v>39237</v>
      </c>
      <c r="O21" s="8">
        <v>62082</v>
      </c>
      <c r="P21" s="8">
        <v>22888</v>
      </c>
      <c r="Q21" s="8">
        <v>19532</v>
      </c>
      <c r="R21" s="8">
        <v>18861</v>
      </c>
      <c r="S21" s="8">
        <v>18861</v>
      </c>
      <c r="T21" s="8">
        <v>62082</v>
      </c>
      <c r="U21" s="126">
        <v>3</v>
      </c>
      <c r="V21" s="8">
        <v>3</v>
      </c>
      <c r="W21" s="8">
        <v>3</v>
      </c>
      <c r="X21" s="8">
        <v>3</v>
      </c>
      <c r="Y21" s="8">
        <v>2</v>
      </c>
      <c r="Z21" s="8">
        <v>3</v>
      </c>
      <c r="AA21" s="8">
        <v>3</v>
      </c>
      <c r="AB21" s="8">
        <v>2</v>
      </c>
      <c r="AC21" s="8">
        <v>3</v>
      </c>
      <c r="AD21" s="8">
        <v>3</v>
      </c>
      <c r="AE21" s="8">
        <v>3</v>
      </c>
      <c r="AF21" s="8">
        <v>3</v>
      </c>
      <c r="AG21" s="54">
        <v>2764</v>
      </c>
      <c r="AH21" s="8">
        <v>7664</v>
      </c>
      <c r="AI21" s="8">
        <v>3748</v>
      </c>
      <c r="AJ21" s="8">
        <v>9312</v>
      </c>
      <c r="AK21" s="8">
        <v>0</v>
      </c>
      <c r="AL21" s="8">
        <v>9809</v>
      </c>
      <c r="AM21" s="8">
        <v>9312</v>
      </c>
      <c r="AN21" s="8">
        <v>0</v>
      </c>
      <c r="AO21" s="8">
        <v>3906</v>
      </c>
      <c r="AP21" s="8">
        <v>2947</v>
      </c>
      <c r="AQ21" s="8">
        <v>4717</v>
      </c>
      <c r="AR21" s="8">
        <v>1241</v>
      </c>
      <c r="AS21" s="202">
        <v>9809</v>
      </c>
      <c r="AT21" s="54">
        <v>553</v>
      </c>
      <c r="AU21" s="8">
        <v>1414.2</v>
      </c>
      <c r="AV21" s="8">
        <v>750</v>
      </c>
      <c r="AW21" s="8">
        <v>1862</v>
      </c>
      <c r="AX21" s="8">
        <v>0</v>
      </c>
      <c r="AY21" s="8">
        <v>1962</v>
      </c>
      <c r="AZ21" s="8">
        <v>1862</v>
      </c>
      <c r="BA21" s="8">
        <v>0</v>
      </c>
      <c r="BB21" s="8">
        <v>781</v>
      </c>
      <c r="BC21" s="8">
        <v>589</v>
      </c>
      <c r="BD21" s="8">
        <v>943</v>
      </c>
      <c r="BE21" s="8">
        <v>248</v>
      </c>
      <c r="BF21" s="202">
        <v>1962</v>
      </c>
    </row>
    <row r="22" spans="1:58" ht="14.25" x14ac:dyDescent="0.45">
      <c r="A22" t="s">
        <v>279</v>
      </c>
      <c r="B22" t="s">
        <v>280</v>
      </c>
      <c r="C22" t="s">
        <v>245</v>
      </c>
      <c r="D22" t="s">
        <v>199</v>
      </c>
      <c r="E22" t="s">
        <v>281</v>
      </c>
      <c r="F22" s="54">
        <v>198646</v>
      </c>
      <c r="G22" s="8">
        <v>0</v>
      </c>
      <c r="H22" s="8">
        <v>198646</v>
      </c>
      <c r="I22" s="126">
        <v>37476</v>
      </c>
      <c r="J22" s="8">
        <v>53711</v>
      </c>
      <c r="K22" s="8">
        <v>157859</v>
      </c>
      <c r="L22" s="8">
        <v>168417</v>
      </c>
      <c r="M22" s="8">
        <v>97678</v>
      </c>
      <c r="N22" s="8">
        <v>168548</v>
      </c>
      <c r="O22" s="8">
        <v>168417</v>
      </c>
      <c r="P22" s="8">
        <v>71154</v>
      </c>
      <c r="Q22" s="8">
        <v>55621</v>
      </c>
      <c r="R22" s="8">
        <v>53711</v>
      </c>
      <c r="S22" s="8">
        <v>53711</v>
      </c>
      <c r="T22" s="8">
        <v>168548</v>
      </c>
      <c r="U22" s="126">
        <v>3</v>
      </c>
      <c r="V22" s="8">
        <v>3</v>
      </c>
      <c r="W22" s="8">
        <v>4</v>
      </c>
      <c r="X22" s="8">
        <v>3</v>
      </c>
      <c r="Y22" s="8">
        <v>3</v>
      </c>
      <c r="Z22" s="8">
        <v>3</v>
      </c>
      <c r="AA22" s="8">
        <v>4</v>
      </c>
      <c r="AB22" s="8">
        <v>3</v>
      </c>
      <c r="AC22" s="8">
        <v>3</v>
      </c>
      <c r="AD22" s="8">
        <v>3</v>
      </c>
      <c r="AE22" s="8">
        <v>3</v>
      </c>
      <c r="AF22" s="8">
        <v>3</v>
      </c>
      <c r="AG22" s="54">
        <v>16864</v>
      </c>
      <c r="AH22" s="8">
        <v>21822</v>
      </c>
      <c r="AI22" s="8">
        <v>10674</v>
      </c>
      <c r="AJ22" s="8">
        <v>84209</v>
      </c>
      <c r="AK22" s="8">
        <v>4884</v>
      </c>
      <c r="AL22" s="8">
        <v>42137</v>
      </c>
      <c r="AM22" s="8">
        <v>84209</v>
      </c>
      <c r="AN22" s="8">
        <v>18345</v>
      </c>
      <c r="AO22" s="8">
        <v>11124</v>
      </c>
      <c r="AP22" s="8">
        <v>8392</v>
      </c>
      <c r="AQ22" s="8">
        <v>13430</v>
      </c>
      <c r="AR22" s="8">
        <v>9357</v>
      </c>
      <c r="AS22" s="202">
        <v>84209</v>
      </c>
      <c r="AT22" s="54">
        <v>3373</v>
      </c>
      <c r="AU22" s="8">
        <v>4028.4</v>
      </c>
      <c r="AV22" s="8">
        <v>10674</v>
      </c>
      <c r="AW22" s="8">
        <v>84209</v>
      </c>
      <c r="AX22" s="8">
        <v>977</v>
      </c>
      <c r="AY22" s="8">
        <v>8427</v>
      </c>
      <c r="AZ22" s="8">
        <v>84209</v>
      </c>
      <c r="BA22" s="8">
        <v>3669</v>
      </c>
      <c r="BB22" s="8">
        <v>2225</v>
      </c>
      <c r="BC22" s="8">
        <v>1678</v>
      </c>
      <c r="BD22" s="8">
        <v>2686</v>
      </c>
      <c r="BE22" s="8">
        <v>1871</v>
      </c>
      <c r="BF22" s="202">
        <v>84209</v>
      </c>
    </row>
    <row r="23" spans="1:58" ht="14.25" x14ac:dyDescent="0.45">
      <c r="A23" t="s">
        <v>282</v>
      </c>
      <c r="B23" t="s">
        <v>283</v>
      </c>
      <c r="C23" t="s">
        <v>245</v>
      </c>
      <c r="D23" t="s">
        <v>199</v>
      </c>
      <c r="E23" t="s">
        <v>284</v>
      </c>
      <c r="F23" s="54">
        <v>61952</v>
      </c>
      <c r="G23" s="8">
        <v>0</v>
      </c>
      <c r="H23" s="8">
        <v>61952</v>
      </c>
      <c r="I23" s="126">
        <v>13636</v>
      </c>
      <c r="J23" s="8">
        <v>16751</v>
      </c>
      <c r="K23" s="8">
        <v>49232</v>
      </c>
      <c r="L23" s="8">
        <v>52171</v>
      </c>
      <c r="M23" s="8">
        <v>30463</v>
      </c>
      <c r="N23" s="8">
        <v>38942</v>
      </c>
      <c r="O23" s="8">
        <v>52171</v>
      </c>
      <c r="P23" s="8">
        <v>27027</v>
      </c>
      <c r="Q23" s="8">
        <v>17347</v>
      </c>
      <c r="R23" s="8">
        <v>16751</v>
      </c>
      <c r="S23" s="8">
        <v>16751</v>
      </c>
      <c r="T23" s="8">
        <v>52171</v>
      </c>
      <c r="U23" s="126">
        <v>3</v>
      </c>
      <c r="V23" s="8">
        <v>3</v>
      </c>
      <c r="W23" s="8">
        <v>4</v>
      </c>
      <c r="X23" s="8">
        <v>3</v>
      </c>
      <c r="Y23" s="8">
        <v>3</v>
      </c>
      <c r="Z23" s="8">
        <v>3</v>
      </c>
      <c r="AA23" s="8">
        <v>4</v>
      </c>
      <c r="AB23" s="8">
        <v>3</v>
      </c>
      <c r="AC23" s="8">
        <v>3</v>
      </c>
      <c r="AD23" s="8">
        <v>3</v>
      </c>
      <c r="AE23" s="8">
        <v>3</v>
      </c>
      <c r="AF23" s="8">
        <v>3</v>
      </c>
      <c r="AG23" s="54">
        <v>6136</v>
      </c>
      <c r="AH23" s="8">
        <v>6807</v>
      </c>
      <c r="AI23" s="8">
        <v>3329</v>
      </c>
      <c r="AJ23" s="8">
        <v>26086</v>
      </c>
      <c r="AK23" s="8">
        <v>1458</v>
      </c>
      <c r="AL23" s="8">
        <v>9735</v>
      </c>
      <c r="AM23" s="8">
        <v>26086</v>
      </c>
      <c r="AN23" s="8">
        <v>6942</v>
      </c>
      <c r="AO23" s="8">
        <v>3469</v>
      </c>
      <c r="AP23" s="8">
        <v>2617</v>
      </c>
      <c r="AQ23" s="8">
        <v>4190</v>
      </c>
      <c r="AR23" s="8">
        <v>5167</v>
      </c>
      <c r="AS23" s="202">
        <v>26086</v>
      </c>
      <c r="AT23" s="54">
        <v>1227</v>
      </c>
      <c r="AU23" s="8">
        <v>1256.4000000000001</v>
      </c>
      <c r="AV23" s="8">
        <v>3329</v>
      </c>
      <c r="AW23" s="8">
        <v>26086</v>
      </c>
      <c r="AX23" s="8">
        <v>292</v>
      </c>
      <c r="AY23" s="8">
        <v>1947</v>
      </c>
      <c r="AZ23" s="8">
        <v>26086</v>
      </c>
      <c r="BA23" s="8">
        <v>1388</v>
      </c>
      <c r="BB23" s="8">
        <v>694</v>
      </c>
      <c r="BC23" s="8">
        <v>523</v>
      </c>
      <c r="BD23" s="8">
        <v>838</v>
      </c>
      <c r="BE23" s="8">
        <v>1033</v>
      </c>
      <c r="BF23" s="202">
        <v>26086</v>
      </c>
    </row>
    <row r="24" spans="1:58" ht="14.25" x14ac:dyDescent="0.45">
      <c r="A24" t="s">
        <v>285</v>
      </c>
      <c r="B24" t="s">
        <v>286</v>
      </c>
      <c r="C24" t="s">
        <v>245</v>
      </c>
      <c r="D24" t="s">
        <v>199</v>
      </c>
      <c r="E24" t="s">
        <v>287</v>
      </c>
      <c r="F24" s="54">
        <v>131461</v>
      </c>
      <c r="G24" s="8">
        <v>0</v>
      </c>
      <c r="H24" s="8">
        <v>131461</v>
      </c>
      <c r="I24" s="126">
        <v>6972</v>
      </c>
      <c r="J24" s="8">
        <v>35546</v>
      </c>
      <c r="K24" s="8">
        <v>104469</v>
      </c>
      <c r="L24" s="8">
        <v>117001</v>
      </c>
      <c r="M24" s="8">
        <v>64642</v>
      </c>
      <c r="N24" s="8">
        <v>100161</v>
      </c>
      <c r="O24" s="8">
        <v>117001</v>
      </c>
      <c r="P24" s="8">
        <v>55761</v>
      </c>
      <c r="Q24" s="8">
        <v>36809</v>
      </c>
      <c r="R24" s="8">
        <v>35546</v>
      </c>
      <c r="S24" s="8">
        <v>35546</v>
      </c>
      <c r="T24" s="8">
        <v>117001</v>
      </c>
      <c r="U24" s="126">
        <v>3</v>
      </c>
      <c r="V24" s="8">
        <v>3</v>
      </c>
      <c r="W24" s="8">
        <v>3</v>
      </c>
      <c r="X24" s="8">
        <v>3</v>
      </c>
      <c r="Y24" s="8">
        <v>3</v>
      </c>
      <c r="Z24" s="8">
        <v>3</v>
      </c>
      <c r="AA24" s="8">
        <v>4</v>
      </c>
      <c r="AB24" s="8">
        <v>3</v>
      </c>
      <c r="AC24" s="8">
        <v>3</v>
      </c>
      <c r="AD24" s="8">
        <v>3</v>
      </c>
      <c r="AE24" s="8">
        <v>3</v>
      </c>
      <c r="AF24" s="8">
        <v>3</v>
      </c>
      <c r="AG24" s="54">
        <v>3137</v>
      </c>
      <c r="AH24" s="8">
        <v>14443</v>
      </c>
      <c r="AI24" s="8">
        <v>7064</v>
      </c>
      <c r="AJ24" s="8">
        <v>58501</v>
      </c>
      <c r="AK24" s="8">
        <v>3232</v>
      </c>
      <c r="AL24" s="8">
        <v>25040</v>
      </c>
      <c r="AM24" s="8">
        <v>58501</v>
      </c>
      <c r="AN24" s="8">
        <v>14464</v>
      </c>
      <c r="AO24" s="8">
        <v>7362</v>
      </c>
      <c r="AP24" s="8">
        <v>5554</v>
      </c>
      <c r="AQ24" s="8">
        <v>8889</v>
      </c>
      <c r="AR24" s="8">
        <v>2789</v>
      </c>
      <c r="AS24" s="202">
        <v>58501</v>
      </c>
      <c r="AT24" s="54">
        <v>627</v>
      </c>
      <c r="AU24" s="8">
        <v>2666.8</v>
      </c>
      <c r="AV24" s="8">
        <v>1413</v>
      </c>
      <c r="AW24" s="8">
        <v>58501</v>
      </c>
      <c r="AX24" s="8">
        <v>646</v>
      </c>
      <c r="AY24" s="8">
        <v>5008</v>
      </c>
      <c r="AZ24" s="8">
        <v>58501</v>
      </c>
      <c r="BA24" s="8">
        <v>2893</v>
      </c>
      <c r="BB24" s="8">
        <v>1472</v>
      </c>
      <c r="BC24" s="8">
        <v>1111</v>
      </c>
      <c r="BD24" s="8">
        <v>1778</v>
      </c>
      <c r="BE24" s="8">
        <v>558</v>
      </c>
      <c r="BF24" s="202">
        <v>58501</v>
      </c>
    </row>
    <row r="25" spans="1:58" ht="14.25" x14ac:dyDescent="0.45">
      <c r="A25" t="s">
        <v>288</v>
      </c>
      <c r="B25" t="s">
        <v>289</v>
      </c>
      <c r="C25" t="s">
        <v>252</v>
      </c>
      <c r="D25" t="s">
        <v>193</v>
      </c>
      <c r="E25" t="s">
        <v>290</v>
      </c>
      <c r="F25" s="54">
        <v>5384</v>
      </c>
      <c r="G25" s="8">
        <v>20407</v>
      </c>
      <c r="H25" s="8">
        <v>25791</v>
      </c>
      <c r="I25" s="126">
        <v>0</v>
      </c>
      <c r="J25" s="8">
        <v>8926</v>
      </c>
      <c r="K25" s="8">
        <v>0</v>
      </c>
      <c r="L25" s="8">
        <v>0</v>
      </c>
      <c r="M25" s="8">
        <v>0</v>
      </c>
      <c r="N25" s="8">
        <v>0</v>
      </c>
      <c r="O25" s="8">
        <v>0</v>
      </c>
      <c r="P25" s="8">
        <v>0</v>
      </c>
      <c r="Q25" s="8">
        <v>0</v>
      </c>
      <c r="R25" s="8">
        <v>0</v>
      </c>
      <c r="S25" s="8">
        <v>8926</v>
      </c>
      <c r="T25" s="8">
        <v>8926</v>
      </c>
      <c r="U25" s="126">
        <v>0</v>
      </c>
      <c r="V25" s="8">
        <v>4</v>
      </c>
      <c r="W25" s="8">
        <v>0</v>
      </c>
      <c r="X25" s="8">
        <v>0</v>
      </c>
      <c r="Y25" s="8">
        <v>0</v>
      </c>
      <c r="Z25" s="8">
        <v>0</v>
      </c>
      <c r="AA25" s="8">
        <v>0</v>
      </c>
      <c r="AB25" s="8">
        <v>0</v>
      </c>
      <c r="AC25" s="8">
        <v>0</v>
      </c>
      <c r="AD25" s="8">
        <v>0</v>
      </c>
      <c r="AE25" s="8">
        <v>4</v>
      </c>
      <c r="AF25" s="8">
        <v>5</v>
      </c>
      <c r="AG25" s="54">
        <v>0</v>
      </c>
      <c r="AH25" s="8">
        <v>2373</v>
      </c>
      <c r="AI25" s="8">
        <v>0</v>
      </c>
      <c r="AJ25" s="8">
        <v>0</v>
      </c>
      <c r="AK25" s="8">
        <v>0</v>
      </c>
      <c r="AL25" s="8">
        <v>0</v>
      </c>
      <c r="AM25" s="8">
        <v>0</v>
      </c>
      <c r="AN25" s="8">
        <v>0</v>
      </c>
      <c r="AO25" s="8">
        <v>0</v>
      </c>
      <c r="AP25" s="8">
        <v>0</v>
      </c>
      <c r="AQ25" s="8">
        <v>2373</v>
      </c>
      <c r="AR25" s="8">
        <v>0</v>
      </c>
      <c r="AS25" s="202">
        <v>2373</v>
      </c>
      <c r="AT25" s="54">
        <v>0</v>
      </c>
      <c r="AU25" s="8">
        <v>2373</v>
      </c>
      <c r="AV25" s="8">
        <v>0</v>
      </c>
      <c r="AW25" s="8">
        <v>0</v>
      </c>
      <c r="AX25" s="8">
        <v>0</v>
      </c>
      <c r="AY25" s="8">
        <v>0</v>
      </c>
      <c r="AZ25" s="8">
        <v>0</v>
      </c>
      <c r="BA25" s="8">
        <v>0</v>
      </c>
      <c r="BB25" s="8">
        <v>0</v>
      </c>
      <c r="BC25" s="8">
        <v>0</v>
      </c>
      <c r="BD25" s="8">
        <v>2373</v>
      </c>
      <c r="BE25" s="8">
        <v>0</v>
      </c>
      <c r="BF25" s="202">
        <v>2373</v>
      </c>
    </row>
    <row r="26" spans="1:58" ht="14.25" x14ac:dyDescent="0.45">
      <c r="A26" t="s">
        <v>288</v>
      </c>
      <c r="B26" t="s">
        <v>289</v>
      </c>
      <c r="C26" t="s">
        <v>291</v>
      </c>
      <c r="D26" t="s">
        <v>196</v>
      </c>
      <c r="E26" t="s">
        <v>292</v>
      </c>
      <c r="F26" s="54">
        <v>5982</v>
      </c>
      <c r="G26" s="8">
        <v>24449</v>
      </c>
      <c r="H26" s="8">
        <v>30431</v>
      </c>
      <c r="I26" s="126">
        <v>878</v>
      </c>
      <c r="J26" s="8">
        <v>7990</v>
      </c>
      <c r="K26" s="8">
        <v>4754</v>
      </c>
      <c r="L26" s="8">
        <v>4387</v>
      </c>
      <c r="M26" s="8">
        <v>4506</v>
      </c>
      <c r="N26" s="8">
        <v>5982</v>
      </c>
      <c r="O26" s="8">
        <v>4387</v>
      </c>
      <c r="P26" s="8">
        <v>2891</v>
      </c>
      <c r="Q26" s="8">
        <v>2345</v>
      </c>
      <c r="R26" s="8">
        <v>3689</v>
      </c>
      <c r="S26" s="8">
        <v>7990</v>
      </c>
      <c r="T26" s="8">
        <v>10283</v>
      </c>
      <c r="U26" s="126">
        <v>4</v>
      </c>
      <c r="V26" s="8">
        <v>4</v>
      </c>
      <c r="W26" s="8">
        <v>4</v>
      </c>
      <c r="X26" s="8">
        <v>4</v>
      </c>
      <c r="Y26" s="8">
        <v>4</v>
      </c>
      <c r="Z26" s="8">
        <v>4</v>
      </c>
      <c r="AA26" s="8">
        <v>4</v>
      </c>
      <c r="AB26" s="8">
        <v>4</v>
      </c>
      <c r="AC26" s="8">
        <v>4</v>
      </c>
      <c r="AD26" s="8">
        <v>4</v>
      </c>
      <c r="AE26" s="8">
        <v>4</v>
      </c>
      <c r="AF26" s="8">
        <v>4</v>
      </c>
      <c r="AG26" s="54">
        <v>790</v>
      </c>
      <c r="AH26" s="8">
        <v>7408</v>
      </c>
      <c r="AI26" s="8">
        <v>1071</v>
      </c>
      <c r="AJ26" s="8">
        <v>2632</v>
      </c>
      <c r="AK26" s="8">
        <v>3073</v>
      </c>
      <c r="AL26" s="8">
        <v>2991</v>
      </c>
      <c r="AM26" s="8">
        <v>2632</v>
      </c>
      <c r="AN26" s="8">
        <v>1820</v>
      </c>
      <c r="AO26" s="8">
        <v>703</v>
      </c>
      <c r="AP26" s="8">
        <v>2095</v>
      </c>
      <c r="AQ26" s="8">
        <v>7408</v>
      </c>
      <c r="AR26" s="8">
        <v>0</v>
      </c>
      <c r="AS26" s="202">
        <v>7408</v>
      </c>
      <c r="AT26" s="54">
        <v>790</v>
      </c>
      <c r="AU26" s="8">
        <v>3967</v>
      </c>
      <c r="AV26" s="8">
        <v>1071</v>
      </c>
      <c r="AW26" s="8">
        <v>2632</v>
      </c>
      <c r="AX26" s="8">
        <v>3073</v>
      </c>
      <c r="AY26" s="8">
        <v>2991</v>
      </c>
      <c r="AZ26" s="8">
        <v>2632</v>
      </c>
      <c r="BA26" s="8">
        <v>1820</v>
      </c>
      <c r="BB26" s="8">
        <v>703</v>
      </c>
      <c r="BC26" s="8">
        <v>2095</v>
      </c>
      <c r="BD26" s="8">
        <v>3967</v>
      </c>
      <c r="BE26" s="8">
        <v>0</v>
      </c>
      <c r="BF26" s="202">
        <v>3967</v>
      </c>
    </row>
    <row r="27" spans="1:58" ht="14.25" x14ac:dyDescent="0.45">
      <c r="A27" t="s">
        <v>288</v>
      </c>
      <c r="B27" t="s">
        <v>289</v>
      </c>
      <c r="C27" t="s">
        <v>256</v>
      </c>
      <c r="D27" t="s">
        <v>199</v>
      </c>
      <c r="E27" t="s">
        <v>293</v>
      </c>
      <c r="F27" s="54">
        <v>25821</v>
      </c>
      <c r="G27" s="8">
        <v>0</v>
      </c>
      <c r="H27" s="8">
        <v>25821</v>
      </c>
      <c r="I27" s="126">
        <v>4547</v>
      </c>
      <c r="J27" s="8">
        <v>5381</v>
      </c>
      <c r="K27" s="8">
        <v>20520</v>
      </c>
      <c r="L27" s="8">
        <v>22133</v>
      </c>
      <c r="M27" s="8">
        <v>15163</v>
      </c>
      <c r="N27" s="8">
        <v>16258</v>
      </c>
      <c r="O27" s="8">
        <v>22133</v>
      </c>
      <c r="P27" s="8">
        <v>11529</v>
      </c>
      <c r="Q27" s="8">
        <v>10122</v>
      </c>
      <c r="R27" s="8">
        <v>5381</v>
      </c>
      <c r="S27" s="8">
        <v>5381</v>
      </c>
      <c r="T27" s="8">
        <v>22133</v>
      </c>
      <c r="U27" s="126">
        <v>3</v>
      </c>
      <c r="V27" s="8">
        <v>3</v>
      </c>
      <c r="W27" s="8">
        <v>4</v>
      </c>
      <c r="X27" s="8">
        <v>4</v>
      </c>
      <c r="Y27" s="8">
        <v>4</v>
      </c>
      <c r="Z27" s="8">
        <v>3</v>
      </c>
      <c r="AA27" s="8">
        <v>4</v>
      </c>
      <c r="AB27" s="8">
        <v>4</v>
      </c>
      <c r="AC27" s="8">
        <v>4</v>
      </c>
      <c r="AD27" s="8">
        <v>3</v>
      </c>
      <c r="AE27" s="8">
        <v>3</v>
      </c>
      <c r="AF27" s="8">
        <v>3</v>
      </c>
      <c r="AG27" s="54">
        <v>2046</v>
      </c>
      <c r="AH27" s="8">
        <v>5212</v>
      </c>
      <c r="AI27" s="8">
        <v>1387</v>
      </c>
      <c r="AJ27" s="8">
        <v>11067</v>
      </c>
      <c r="AK27" s="8">
        <v>1474</v>
      </c>
      <c r="AL27" s="8">
        <v>4065</v>
      </c>
      <c r="AM27" s="8">
        <v>11067</v>
      </c>
      <c r="AN27" s="8">
        <v>7222</v>
      </c>
      <c r="AO27" s="8">
        <v>3037</v>
      </c>
      <c r="AP27" s="8">
        <v>2522</v>
      </c>
      <c r="AQ27" s="8">
        <v>2690</v>
      </c>
      <c r="AR27" s="8">
        <v>515</v>
      </c>
      <c r="AS27" s="202">
        <v>11067</v>
      </c>
      <c r="AT27" s="54">
        <v>409</v>
      </c>
      <c r="AU27" s="8">
        <v>941.2</v>
      </c>
      <c r="AV27" s="8">
        <v>1387</v>
      </c>
      <c r="AW27" s="8">
        <v>11067</v>
      </c>
      <c r="AX27" s="8">
        <v>1474</v>
      </c>
      <c r="AY27" s="8">
        <v>813</v>
      </c>
      <c r="AZ27" s="8">
        <v>11067</v>
      </c>
      <c r="BA27" s="8">
        <v>7222</v>
      </c>
      <c r="BB27" s="8">
        <v>3037</v>
      </c>
      <c r="BC27" s="8">
        <v>504</v>
      </c>
      <c r="BD27" s="8">
        <v>538</v>
      </c>
      <c r="BE27" s="8">
        <v>103</v>
      </c>
      <c r="BF27" s="202">
        <v>11067</v>
      </c>
    </row>
    <row r="28" spans="1:58" ht="14.25" x14ac:dyDescent="0.45">
      <c r="A28" t="s">
        <v>288</v>
      </c>
      <c r="B28" t="s">
        <v>289</v>
      </c>
      <c r="C28" t="s">
        <v>294</v>
      </c>
      <c r="D28" t="s">
        <v>196</v>
      </c>
      <c r="E28" t="s">
        <v>295</v>
      </c>
      <c r="F28" s="54">
        <v>28649</v>
      </c>
      <c r="G28" s="8">
        <v>139010</v>
      </c>
      <c r="H28" s="8">
        <v>167659</v>
      </c>
      <c r="I28" s="126">
        <v>3153</v>
      </c>
      <c r="J28" s="8">
        <v>39014</v>
      </c>
      <c r="K28" s="8">
        <v>22767</v>
      </c>
      <c r="L28" s="8">
        <v>25131</v>
      </c>
      <c r="M28" s="8">
        <v>21579</v>
      </c>
      <c r="N28" s="8">
        <v>24925</v>
      </c>
      <c r="O28" s="8">
        <v>25131</v>
      </c>
      <c r="P28" s="8">
        <v>13042</v>
      </c>
      <c r="Q28" s="8">
        <v>11231</v>
      </c>
      <c r="R28" s="8">
        <v>16958</v>
      </c>
      <c r="S28" s="8">
        <v>39014</v>
      </c>
      <c r="T28" s="8">
        <v>47187</v>
      </c>
      <c r="U28" s="126">
        <v>4</v>
      </c>
      <c r="V28" s="8">
        <v>4</v>
      </c>
      <c r="W28" s="8">
        <v>4</v>
      </c>
      <c r="X28" s="8">
        <v>4</v>
      </c>
      <c r="Y28" s="8">
        <v>4</v>
      </c>
      <c r="Z28" s="8">
        <v>4</v>
      </c>
      <c r="AA28" s="8">
        <v>4</v>
      </c>
      <c r="AB28" s="8">
        <v>4</v>
      </c>
      <c r="AC28" s="8">
        <v>4</v>
      </c>
      <c r="AD28" s="8">
        <v>4</v>
      </c>
      <c r="AE28" s="8">
        <v>4</v>
      </c>
      <c r="AF28" s="8">
        <v>4</v>
      </c>
      <c r="AG28" s="54">
        <v>2838</v>
      </c>
      <c r="AH28" s="8">
        <v>14443</v>
      </c>
      <c r="AI28" s="8">
        <v>5131</v>
      </c>
      <c r="AJ28" s="8">
        <v>15079</v>
      </c>
      <c r="AK28" s="8">
        <v>13568</v>
      </c>
      <c r="AL28" s="8">
        <v>12463</v>
      </c>
      <c r="AM28" s="8">
        <v>15079</v>
      </c>
      <c r="AN28" s="8">
        <v>8222</v>
      </c>
      <c r="AO28" s="8">
        <v>3369</v>
      </c>
      <c r="AP28" s="8">
        <v>10032</v>
      </c>
      <c r="AQ28" s="8">
        <v>11013</v>
      </c>
      <c r="AR28" s="8">
        <v>0</v>
      </c>
      <c r="AS28" s="202">
        <v>19490</v>
      </c>
      <c r="AT28" s="54">
        <v>2838</v>
      </c>
      <c r="AU28" s="8">
        <v>14443</v>
      </c>
      <c r="AV28" s="8">
        <v>5131</v>
      </c>
      <c r="AW28" s="8">
        <v>15079</v>
      </c>
      <c r="AX28" s="8">
        <v>13568</v>
      </c>
      <c r="AY28" s="8">
        <v>12463</v>
      </c>
      <c r="AZ28" s="8">
        <v>15079</v>
      </c>
      <c r="BA28" s="8">
        <v>8222</v>
      </c>
      <c r="BB28" s="8">
        <v>3369</v>
      </c>
      <c r="BC28" s="8">
        <v>10032</v>
      </c>
      <c r="BD28" s="8">
        <v>11013</v>
      </c>
      <c r="BE28" s="8">
        <v>0</v>
      </c>
      <c r="BF28" s="202">
        <v>19490</v>
      </c>
    </row>
    <row r="29" spans="1:58" ht="14.25" x14ac:dyDescent="0.45">
      <c r="A29" t="s">
        <v>296</v>
      </c>
      <c r="B29" t="s">
        <v>297</v>
      </c>
      <c r="C29" t="s">
        <v>245</v>
      </c>
      <c r="D29" t="s">
        <v>199</v>
      </c>
      <c r="E29" t="s">
        <v>298</v>
      </c>
      <c r="F29" s="54">
        <v>155031</v>
      </c>
      <c r="G29" s="8">
        <v>0</v>
      </c>
      <c r="H29" s="8">
        <v>155031</v>
      </c>
      <c r="I29" s="126">
        <v>14624</v>
      </c>
      <c r="J29" s="8">
        <v>41919</v>
      </c>
      <c r="K29" s="8">
        <v>123199</v>
      </c>
      <c r="L29" s="8">
        <v>137977</v>
      </c>
      <c r="M29" s="8">
        <v>76232</v>
      </c>
      <c r="N29" s="8">
        <v>109773</v>
      </c>
      <c r="O29" s="8">
        <v>137977</v>
      </c>
      <c r="P29" s="8">
        <v>68629</v>
      </c>
      <c r="Q29" s="8">
        <v>43409</v>
      </c>
      <c r="R29" s="8">
        <v>41919</v>
      </c>
      <c r="S29" s="8">
        <v>41919</v>
      </c>
      <c r="T29" s="8">
        <v>137977</v>
      </c>
      <c r="U29" s="126">
        <v>3</v>
      </c>
      <c r="V29" s="8">
        <v>3</v>
      </c>
      <c r="W29" s="8">
        <v>4</v>
      </c>
      <c r="X29" s="8">
        <v>3</v>
      </c>
      <c r="Y29" s="8">
        <v>4</v>
      </c>
      <c r="Z29" s="8">
        <v>3</v>
      </c>
      <c r="AA29" s="8">
        <v>4</v>
      </c>
      <c r="AB29" s="8">
        <v>3</v>
      </c>
      <c r="AC29" s="8">
        <v>3</v>
      </c>
      <c r="AD29" s="8">
        <v>3</v>
      </c>
      <c r="AE29" s="8">
        <v>3</v>
      </c>
      <c r="AF29" s="8">
        <v>3</v>
      </c>
      <c r="AG29" s="54">
        <v>6581</v>
      </c>
      <c r="AH29" s="8">
        <v>17030</v>
      </c>
      <c r="AI29" s="8">
        <v>8330</v>
      </c>
      <c r="AJ29" s="8">
        <v>68989</v>
      </c>
      <c r="AK29" s="8">
        <v>6989</v>
      </c>
      <c r="AL29" s="8">
        <v>27443</v>
      </c>
      <c r="AM29" s="8">
        <v>68989</v>
      </c>
      <c r="AN29" s="8">
        <v>17735</v>
      </c>
      <c r="AO29" s="8">
        <v>8682</v>
      </c>
      <c r="AP29" s="8">
        <v>6550</v>
      </c>
      <c r="AQ29" s="8">
        <v>10480</v>
      </c>
      <c r="AR29" s="8">
        <v>9885</v>
      </c>
      <c r="AS29" s="202">
        <v>68989</v>
      </c>
      <c r="AT29" s="54">
        <v>1316</v>
      </c>
      <c r="AU29" s="8">
        <v>3144</v>
      </c>
      <c r="AV29" s="8">
        <v>8330</v>
      </c>
      <c r="AW29" s="8">
        <v>68989</v>
      </c>
      <c r="AX29" s="8">
        <v>6989</v>
      </c>
      <c r="AY29" s="8">
        <v>5489</v>
      </c>
      <c r="AZ29" s="8">
        <v>68989</v>
      </c>
      <c r="BA29" s="8">
        <v>3547</v>
      </c>
      <c r="BB29" s="8">
        <v>1736</v>
      </c>
      <c r="BC29" s="8">
        <v>1310</v>
      </c>
      <c r="BD29" s="8">
        <v>2096</v>
      </c>
      <c r="BE29" s="8">
        <v>1977</v>
      </c>
      <c r="BF29" s="202">
        <v>68989</v>
      </c>
    </row>
    <row r="30" spans="1:58" ht="14.25" x14ac:dyDescent="0.45">
      <c r="A30" t="s">
        <v>299</v>
      </c>
      <c r="B30" t="s">
        <v>300</v>
      </c>
      <c r="C30" t="s">
        <v>245</v>
      </c>
      <c r="D30" t="s">
        <v>199</v>
      </c>
      <c r="E30" t="s">
        <v>301</v>
      </c>
      <c r="F30" s="54">
        <v>125118</v>
      </c>
      <c r="G30" s="8">
        <v>0</v>
      </c>
      <c r="H30" s="8">
        <v>125118</v>
      </c>
      <c r="I30" s="126">
        <v>18359</v>
      </c>
      <c r="J30" s="8">
        <v>33830</v>
      </c>
      <c r="K30" s="8">
        <v>99428</v>
      </c>
      <c r="L30" s="8">
        <v>108114</v>
      </c>
      <c r="M30" s="8">
        <v>61523</v>
      </c>
      <c r="N30" s="8">
        <v>91232</v>
      </c>
      <c r="O30" s="8">
        <v>108114</v>
      </c>
      <c r="P30" s="8">
        <v>45489</v>
      </c>
      <c r="Q30" s="8">
        <v>35033</v>
      </c>
      <c r="R30" s="8">
        <v>33830</v>
      </c>
      <c r="S30" s="8">
        <v>33830</v>
      </c>
      <c r="T30" s="8">
        <v>108114</v>
      </c>
      <c r="U30" s="126">
        <v>3</v>
      </c>
      <c r="V30" s="8">
        <v>3</v>
      </c>
      <c r="W30" s="8">
        <v>3</v>
      </c>
      <c r="X30" s="8">
        <v>3</v>
      </c>
      <c r="Y30" s="8">
        <v>3</v>
      </c>
      <c r="Z30" s="8">
        <v>3</v>
      </c>
      <c r="AA30" s="8">
        <v>4</v>
      </c>
      <c r="AB30" s="8">
        <v>3</v>
      </c>
      <c r="AC30" s="8">
        <v>3</v>
      </c>
      <c r="AD30" s="8">
        <v>3</v>
      </c>
      <c r="AE30" s="8">
        <v>3</v>
      </c>
      <c r="AF30" s="8">
        <v>3</v>
      </c>
      <c r="AG30" s="54">
        <v>8262</v>
      </c>
      <c r="AH30" s="8">
        <v>13747</v>
      </c>
      <c r="AI30" s="8">
        <v>6723</v>
      </c>
      <c r="AJ30" s="8">
        <v>54057</v>
      </c>
      <c r="AK30" s="8">
        <v>2993</v>
      </c>
      <c r="AL30" s="8">
        <v>22808</v>
      </c>
      <c r="AM30" s="8">
        <v>54057</v>
      </c>
      <c r="AN30" s="8">
        <v>11713</v>
      </c>
      <c r="AO30" s="8">
        <v>7007</v>
      </c>
      <c r="AP30" s="8">
        <v>5286</v>
      </c>
      <c r="AQ30" s="8">
        <v>8461</v>
      </c>
      <c r="AR30" s="8">
        <v>8319</v>
      </c>
      <c r="AS30" s="202">
        <v>54057</v>
      </c>
      <c r="AT30" s="54">
        <v>1652</v>
      </c>
      <c r="AU30" s="8">
        <v>2537.6</v>
      </c>
      <c r="AV30" s="8">
        <v>1345</v>
      </c>
      <c r="AW30" s="8">
        <v>54057</v>
      </c>
      <c r="AX30" s="8">
        <v>599</v>
      </c>
      <c r="AY30" s="8">
        <v>4562</v>
      </c>
      <c r="AZ30" s="8">
        <v>54057</v>
      </c>
      <c r="BA30" s="8">
        <v>2343</v>
      </c>
      <c r="BB30" s="8">
        <v>1401</v>
      </c>
      <c r="BC30" s="8">
        <v>1057</v>
      </c>
      <c r="BD30" s="8">
        <v>1692</v>
      </c>
      <c r="BE30" s="8">
        <v>1664</v>
      </c>
      <c r="BF30" s="202">
        <v>54057</v>
      </c>
    </row>
    <row r="31" spans="1:58" ht="14.25" x14ac:dyDescent="0.45">
      <c r="A31" t="s">
        <v>302</v>
      </c>
      <c r="B31" t="s">
        <v>303</v>
      </c>
      <c r="C31" t="s">
        <v>245</v>
      </c>
      <c r="D31" t="s">
        <v>199</v>
      </c>
      <c r="E31" t="s">
        <v>304</v>
      </c>
      <c r="F31" s="54">
        <v>39571</v>
      </c>
      <c r="G31" s="8">
        <v>0</v>
      </c>
      <c r="H31" s="8">
        <v>39571</v>
      </c>
      <c r="I31" s="126">
        <v>719</v>
      </c>
      <c r="J31" s="8">
        <v>10699</v>
      </c>
      <c r="K31" s="8">
        <v>31446</v>
      </c>
      <c r="L31" s="8">
        <v>35218</v>
      </c>
      <c r="M31" s="8">
        <v>19458</v>
      </c>
      <c r="N31" s="8">
        <v>27699</v>
      </c>
      <c r="O31" s="8">
        <v>35218</v>
      </c>
      <c r="P31" s="8">
        <v>15983</v>
      </c>
      <c r="Q31" s="8">
        <v>11080</v>
      </c>
      <c r="R31" s="8">
        <v>10699</v>
      </c>
      <c r="S31" s="8">
        <v>10699</v>
      </c>
      <c r="T31" s="8">
        <v>35218</v>
      </c>
      <c r="U31" s="126">
        <v>3</v>
      </c>
      <c r="V31" s="8">
        <v>3</v>
      </c>
      <c r="W31" s="8">
        <v>3</v>
      </c>
      <c r="X31" s="8">
        <v>3</v>
      </c>
      <c r="Y31" s="8">
        <v>2</v>
      </c>
      <c r="Z31" s="8">
        <v>3</v>
      </c>
      <c r="AA31" s="8">
        <v>3</v>
      </c>
      <c r="AB31" s="8">
        <v>2</v>
      </c>
      <c r="AC31" s="8">
        <v>3</v>
      </c>
      <c r="AD31" s="8">
        <v>3</v>
      </c>
      <c r="AE31" s="8">
        <v>3</v>
      </c>
      <c r="AF31" s="8">
        <v>3</v>
      </c>
      <c r="AG31" s="54">
        <v>324</v>
      </c>
      <c r="AH31" s="8">
        <v>4350</v>
      </c>
      <c r="AI31" s="8">
        <v>2126</v>
      </c>
      <c r="AJ31" s="8">
        <v>5283</v>
      </c>
      <c r="AK31" s="8">
        <v>0</v>
      </c>
      <c r="AL31" s="8">
        <v>6925</v>
      </c>
      <c r="AM31" s="8">
        <v>5283</v>
      </c>
      <c r="AN31" s="8">
        <v>0</v>
      </c>
      <c r="AO31" s="8">
        <v>2216</v>
      </c>
      <c r="AP31" s="8">
        <v>1672</v>
      </c>
      <c r="AQ31" s="8">
        <v>2678</v>
      </c>
      <c r="AR31" s="8">
        <v>1169</v>
      </c>
      <c r="AS31" s="202">
        <v>6925</v>
      </c>
      <c r="AT31" s="54">
        <v>65</v>
      </c>
      <c r="AU31" s="8">
        <v>803.2</v>
      </c>
      <c r="AV31" s="8">
        <v>425</v>
      </c>
      <c r="AW31" s="8">
        <v>1057</v>
      </c>
      <c r="AX31" s="8">
        <v>0</v>
      </c>
      <c r="AY31" s="8">
        <v>1385</v>
      </c>
      <c r="AZ31" s="8">
        <v>1057</v>
      </c>
      <c r="BA31" s="8">
        <v>0</v>
      </c>
      <c r="BB31" s="8">
        <v>443</v>
      </c>
      <c r="BC31" s="8">
        <v>334</v>
      </c>
      <c r="BD31" s="8">
        <v>536</v>
      </c>
      <c r="BE31" s="8">
        <v>234</v>
      </c>
      <c r="BF31" s="202">
        <v>1385</v>
      </c>
    </row>
    <row r="32" spans="1:58" ht="14.25" x14ac:dyDescent="0.45">
      <c r="A32" t="s">
        <v>305</v>
      </c>
      <c r="B32" t="s">
        <v>306</v>
      </c>
      <c r="C32" t="s">
        <v>307</v>
      </c>
      <c r="D32" t="s">
        <v>193</v>
      </c>
      <c r="E32" t="s">
        <v>308</v>
      </c>
      <c r="F32" s="54">
        <v>14447</v>
      </c>
      <c r="G32" s="8">
        <v>107044</v>
      </c>
      <c r="H32" s="8">
        <v>121491</v>
      </c>
      <c r="I32" s="126">
        <v>0</v>
      </c>
      <c r="J32" s="8">
        <v>21375</v>
      </c>
      <c r="K32" s="8">
        <v>0</v>
      </c>
      <c r="L32" s="8">
        <v>0</v>
      </c>
      <c r="M32" s="8">
        <v>0</v>
      </c>
      <c r="N32" s="8">
        <v>0</v>
      </c>
      <c r="O32" s="8">
        <v>0</v>
      </c>
      <c r="P32" s="8">
        <v>0</v>
      </c>
      <c r="Q32" s="8">
        <v>0</v>
      </c>
      <c r="R32" s="8">
        <v>0</v>
      </c>
      <c r="S32" s="8">
        <v>21375</v>
      </c>
      <c r="T32" s="8">
        <v>21375</v>
      </c>
      <c r="U32" s="126">
        <v>0</v>
      </c>
      <c r="V32" s="8">
        <v>4</v>
      </c>
      <c r="W32" s="8">
        <v>0</v>
      </c>
      <c r="X32" s="8">
        <v>0</v>
      </c>
      <c r="Y32" s="8">
        <v>0</v>
      </c>
      <c r="Z32" s="8">
        <v>0</v>
      </c>
      <c r="AA32" s="8">
        <v>0</v>
      </c>
      <c r="AB32" s="8">
        <v>0</v>
      </c>
      <c r="AC32" s="8">
        <v>0</v>
      </c>
      <c r="AD32" s="8">
        <v>0</v>
      </c>
      <c r="AE32" s="8">
        <v>4</v>
      </c>
      <c r="AF32" s="8">
        <v>5</v>
      </c>
      <c r="AG32" s="54">
        <v>0</v>
      </c>
      <c r="AH32" s="8">
        <v>9925</v>
      </c>
      <c r="AI32" s="8">
        <v>0</v>
      </c>
      <c r="AJ32" s="8">
        <v>0</v>
      </c>
      <c r="AK32" s="8">
        <v>0</v>
      </c>
      <c r="AL32" s="8">
        <v>0</v>
      </c>
      <c r="AM32" s="8">
        <v>0</v>
      </c>
      <c r="AN32" s="8">
        <v>0</v>
      </c>
      <c r="AO32" s="8">
        <v>0</v>
      </c>
      <c r="AP32" s="8">
        <v>0</v>
      </c>
      <c r="AQ32" s="8">
        <v>9925</v>
      </c>
      <c r="AR32" s="8">
        <v>0</v>
      </c>
      <c r="AS32" s="202">
        <v>9925</v>
      </c>
      <c r="AT32" s="54">
        <v>0</v>
      </c>
      <c r="AU32" s="8">
        <v>9925</v>
      </c>
      <c r="AV32" s="8">
        <v>0</v>
      </c>
      <c r="AW32" s="8">
        <v>0</v>
      </c>
      <c r="AX32" s="8">
        <v>0</v>
      </c>
      <c r="AY32" s="8">
        <v>0</v>
      </c>
      <c r="AZ32" s="8">
        <v>0</v>
      </c>
      <c r="BA32" s="8">
        <v>0</v>
      </c>
      <c r="BB32" s="8">
        <v>0</v>
      </c>
      <c r="BC32" s="8">
        <v>0</v>
      </c>
      <c r="BD32" s="8">
        <v>9925</v>
      </c>
      <c r="BE32" s="8">
        <v>0</v>
      </c>
      <c r="BF32" s="202">
        <v>9925</v>
      </c>
    </row>
    <row r="33" spans="1:58" ht="14.25" x14ac:dyDescent="0.45">
      <c r="A33" t="s">
        <v>305</v>
      </c>
      <c r="B33" t="s">
        <v>306</v>
      </c>
      <c r="C33" t="s">
        <v>254</v>
      </c>
      <c r="D33" t="s">
        <v>196</v>
      </c>
      <c r="E33" t="s">
        <v>309</v>
      </c>
      <c r="F33" s="54">
        <v>18606</v>
      </c>
      <c r="G33" s="8">
        <v>93192</v>
      </c>
      <c r="H33" s="8">
        <v>111798</v>
      </c>
      <c r="I33" s="126">
        <v>1365</v>
      </c>
      <c r="J33" s="8">
        <v>25360</v>
      </c>
      <c r="K33" s="8">
        <v>14785</v>
      </c>
      <c r="L33" s="8">
        <v>9850</v>
      </c>
      <c r="M33" s="8">
        <v>14014</v>
      </c>
      <c r="N33" s="8">
        <v>18606</v>
      </c>
      <c r="O33" s="8">
        <v>9850</v>
      </c>
      <c r="P33" s="8">
        <v>8417</v>
      </c>
      <c r="Q33" s="8">
        <v>7293</v>
      </c>
      <c r="R33" s="8">
        <v>10932</v>
      </c>
      <c r="S33" s="8">
        <v>25360</v>
      </c>
      <c r="T33" s="8">
        <v>33034</v>
      </c>
      <c r="U33" s="126">
        <v>4</v>
      </c>
      <c r="V33" s="8">
        <v>4</v>
      </c>
      <c r="W33" s="8">
        <v>4</v>
      </c>
      <c r="X33" s="8">
        <v>4</v>
      </c>
      <c r="Y33" s="8">
        <v>4</v>
      </c>
      <c r="Z33" s="8">
        <v>4</v>
      </c>
      <c r="AA33" s="8">
        <v>4</v>
      </c>
      <c r="AB33" s="8">
        <v>4</v>
      </c>
      <c r="AC33" s="8">
        <v>4</v>
      </c>
      <c r="AD33" s="8">
        <v>4</v>
      </c>
      <c r="AE33" s="8">
        <v>4</v>
      </c>
      <c r="AF33" s="8">
        <v>4</v>
      </c>
      <c r="AG33" s="54">
        <v>1229</v>
      </c>
      <c r="AH33" s="8">
        <v>13729</v>
      </c>
      <c r="AI33" s="8">
        <v>3332</v>
      </c>
      <c r="AJ33" s="8">
        <v>5910</v>
      </c>
      <c r="AK33" s="8">
        <v>9093</v>
      </c>
      <c r="AL33" s="8">
        <v>9303</v>
      </c>
      <c r="AM33" s="8">
        <v>5910</v>
      </c>
      <c r="AN33" s="8">
        <v>5311</v>
      </c>
      <c r="AO33" s="8">
        <v>2188</v>
      </c>
      <c r="AP33" s="8">
        <v>6515</v>
      </c>
      <c r="AQ33" s="8">
        <v>11485</v>
      </c>
      <c r="AR33" s="8">
        <v>0</v>
      </c>
      <c r="AS33" s="202">
        <v>16517</v>
      </c>
      <c r="AT33" s="54">
        <v>1229</v>
      </c>
      <c r="AU33" s="8">
        <v>7958</v>
      </c>
      <c r="AV33" s="8">
        <v>3332</v>
      </c>
      <c r="AW33" s="8">
        <v>5910</v>
      </c>
      <c r="AX33" s="8">
        <v>9093</v>
      </c>
      <c r="AY33" s="8">
        <v>9303</v>
      </c>
      <c r="AZ33" s="8">
        <v>5910</v>
      </c>
      <c r="BA33" s="8">
        <v>5311</v>
      </c>
      <c r="BB33" s="8">
        <v>2188</v>
      </c>
      <c r="BC33" s="8">
        <v>6515</v>
      </c>
      <c r="BD33" s="8">
        <v>5714</v>
      </c>
      <c r="BE33" s="8">
        <v>0</v>
      </c>
      <c r="BF33" s="202">
        <v>10746</v>
      </c>
    </row>
    <row r="34" spans="1:58" ht="14.25" x14ac:dyDescent="0.45">
      <c r="A34" t="s">
        <v>305</v>
      </c>
      <c r="B34" t="s">
        <v>306</v>
      </c>
      <c r="C34" t="s">
        <v>256</v>
      </c>
      <c r="D34" t="s">
        <v>199</v>
      </c>
      <c r="E34" t="s">
        <v>310</v>
      </c>
      <c r="F34" s="54">
        <v>8838</v>
      </c>
      <c r="G34" s="8">
        <v>0</v>
      </c>
      <c r="H34" s="8">
        <v>8838</v>
      </c>
      <c r="I34" s="126">
        <v>1945</v>
      </c>
      <c r="J34" s="8">
        <v>1842</v>
      </c>
      <c r="K34" s="8">
        <v>7023</v>
      </c>
      <c r="L34" s="8">
        <v>4643</v>
      </c>
      <c r="M34" s="8">
        <v>6010</v>
      </c>
      <c r="N34" s="8">
        <v>5800</v>
      </c>
      <c r="O34" s="8">
        <v>2209</v>
      </c>
      <c r="P34" s="8">
        <v>4643</v>
      </c>
      <c r="Q34" s="8">
        <v>3464</v>
      </c>
      <c r="R34" s="8">
        <v>1842</v>
      </c>
      <c r="S34" s="8">
        <v>1842</v>
      </c>
      <c r="T34" s="8">
        <v>7023</v>
      </c>
      <c r="U34" s="126">
        <v>3</v>
      </c>
      <c r="V34" s="8">
        <v>3</v>
      </c>
      <c r="W34" s="8">
        <v>4</v>
      </c>
      <c r="X34" s="8">
        <v>4</v>
      </c>
      <c r="Y34" s="8">
        <v>4</v>
      </c>
      <c r="Z34" s="8">
        <v>3</v>
      </c>
      <c r="AA34" s="8">
        <v>4</v>
      </c>
      <c r="AB34" s="8">
        <v>4</v>
      </c>
      <c r="AC34" s="8">
        <v>4</v>
      </c>
      <c r="AD34" s="8">
        <v>3</v>
      </c>
      <c r="AE34" s="8">
        <v>3</v>
      </c>
      <c r="AF34" s="8">
        <v>3</v>
      </c>
      <c r="AG34" s="54">
        <v>875</v>
      </c>
      <c r="AH34" s="8">
        <v>1784</v>
      </c>
      <c r="AI34" s="8">
        <v>475</v>
      </c>
      <c r="AJ34" s="8">
        <v>2921</v>
      </c>
      <c r="AK34" s="8">
        <v>582</v>
      </c>
      <c r="AL34" s="8">
        <v>1450</v>
      </c>
      <c r="AM34" s="8">
        <v>1105</v>
      </c>
      <c r="AN34" s="8">
        <v>2921</v>
      </c>
      <c r="AO34" s="8">
        <v>1039</v>
      </c>
      <c r="AP34" s="8">
        <v>863</v>
      </c>
      <c r="AQ34" s="8">
        <v>921</v>
      </c>
      <c r="AR34" s="8">
        <v>272</v>
      </c>
      <c r="AS34" s="202">
        <v>2921</v>
      </c>
      <c r="AT34" s="54">
        <v>175</v>
      </c>
      <c r="AU34" s="8">
        <v>322.39999999999998</v>
      </c>
      <c r="AV34" s="8">
        <v>475</v>
      </c>
      <c r="AW34" s="8">
        <v>2921</v>
      </c>
      <c r="AX34" s="8">
        <v>582</v>
      </c>
      <c r="AY34" s="8">
        <v>290</v>
      </c>
      <c r="AZ34" s="8">
        <v>1105</v>
      </c>
      <c r="BA34" s="8">
        <v>2921</v>
      </c>
      <c r="BB34" s="8">
        <v>1039</v>
      </c>
      <c r="BC34" s="8">
        <v>173</v>
      </c>
      <c r="BD34" s="8">
        <v>184</v>
      </c>
      <c r="BE34" s="8">
        <v>54</v>
      </c>
      <c r="BF34" s="202">
        <v>2921</v>
      </c>
    </row>
    <row r="35" spans="1:58" ht="14.25" x14ac:dyDescent="0.45">
      <c r="A35" t="s">
        <v>305</v>
      </c>
      <c r="B35" t="s">
        <v>306</v>
      </c>
      <c r="C35" t="s">
        <v>311</v>
      </c>
      <c r="D35" t="s">
        <v>193</v>
      </c>
      <c r="E35" t="s">
        <v>312</v>
      </c>
      <c r="F35" s="54">
        <v>25799</v>
      </c>
      <c r="G35" s="8">
        <v>231388</v>
      </c>
      <c r="H35" s="8">
        <v>257187</v>
      </c>
      <c r="I35" s="126">
        <v>0</v>
      </c>
      <c r="J35" s="8">
        <v>33264</v>
      </c>
      <c r="K35" s="8">
        <v>0</v>
      </c>
      <c r="L35" s="8">
        <v>0</v>
      </c>
      <c r="M35" s="8">
        <v>0</v>
      </c>
      <c r="N35" s="8">
        <v>0</v>
      </c>
      <c r="O35" s="8">
        <v>0</v>
      </c>
      <c r="P35" s="8">
        <v>0</v>
      </c>
      <c r="Q35" s="8">
        <v>0</v>
      </c>
      <c r="R35" s="8">
        <v>0</v>
      </c>
      <c r="S35" s="8">
        <v>33264</v>
      </c>
      <c r="T35" s="8">
        <v>33264</v>
      </c>
      <c r="U35" s="126">
        <v>0</v>
      </c>
      <c r="V35" s="8">
        <v>4</v>
      </c>
      <c r="W35" s="8">
        <v>0</v>
      </c>
      <c r="X35" s="8">
        <v>0</v>
      </c>
      <c r="Y35" s="8">
        <v>0</v>
      </c>
      <c r="Z35" s="8">
        <v>0</v>
      </c>
      <c r="AA35" s="8">
        <v>0</v>
      </c>
      <c r="AB35" s="8">
        <v>0</v>
      </c>
      <c r="AC35" s="8">
        <v>0</v>
      </c>
      <c r="AD35" s="8">
        <v>0</v>
      </c>
      <c r="AE35" s="8">
        <v>4</v>
      </c>
      <c r="AF35" s="8">
        <v>5</v>
      </c>
      <c r="AG35" s="54">
        <v>0</v>
      </c>
      <c r="AH35" s="8">
        <v>3326</v>
      </c>
      <c r="AI35" s="8">
        <v>0</v>
      </c>
      <c r="AJ35" s="8">
        <v>0</v>
      </c>
      <c r="AK35" s="8">
        <v>0</v>
      </c>
      <c r="AL35" s="8">
        <v>0</v>
      </c>
      <c r="AM35" s="8">
        <v>0</v>
      </c>
      <c r="AN35" s="8">
        <v>0</v>
      </c>
      <c r="AO35" s="8">
        <v>0</v>
      </c>
      <c r="AP35" s="8">
        <v>0</v>
      </c>
      <c r="AQ35" s="8">
        <v>3326</v>
      </c>
      <c r="AR35" s="8">
        <v>0</v>
      </c>
      <c r="AS35" s="202">
        <v>3326</v>
      </c>
      <c r="AT35" s="54">
        <v>0</v>
      </c>
      <c r="AU35" s="8">
        <v>3326</v>
      </c>
      <c r="AV35" s="8">
        <v>0</v>
      </c>
      <c r="AW35" s="8">
        <v>0</v>
      </c>
      <c r="AX35" s="8">
        <v>0</v>
      </c>
      <c r="AY35" s="8">
        <v>0</v>
      </c>
      <c r="AZ35" s="8">
        <v>0</v>
      </c>
      <c r="BA35" s="8">
        <v>0</v>
      </c>
      <c r="BB35" s="8">
        <v>0</v>
      </c>
      <c r="BC35" s="8">
        <v>0</v>
      </c>
      <c r="BD35" s="8">
        <v>3326</v>
      </c>
      <c r="BE35" s="8">
        <v>0</v>
      </c>
      <c r="BF35" s="202">
        <v>3326</v>
      </c>
    </row>
    <row r="36" spans="1:58" ht="14.25" x14ac:dyDescent="0.45">
      <c r="A36" t="s">
        <v>313</v>
      </c>
      <c r="B36" t="s">
        <v>314</v>
      </c>
      <c r="C36" t="s">
        <v>245</v>
      </c>
      <c r="D36" t="s">
        <v>199</v>
      </c>
      <c r="E36" t="s">
        <v>315</v>
      </c>
      <c r="F36" s="54">
        <v>53239</v>
      </c>
      <c r="G36" s="8">
        <v>0</v>
      </c>
      <c r="H36" s="8">
        <v>53239</v>
      </c>
      <c r="I36" s="126">
        <v>7812</v>
      </c>
      <c r="J36" s="8">
        <v>14395</v>
      </c>
      <c r="K36" s="8">
        <v>42308</v>
      </c>
      <c r="L36" s="8">
        <v>47383</v>
      </c>
      <c r="M36" s="8">
        <v>26179</v>
      </c>
      <c r="N36" s="8">
        <v>40953</v>
      </c>
      <c r="O36" s="8">
        <v>47383</v>
      </c>
      <c r="P36" s="8">
        <v>18566</v>
      </c>
      <c r="Q36" s="8">
        <v>14907</v>
      </c>
      <c r="R36" s="8">
        <v>14395</v>
      </c>
      <c r="S36" s="8">
        <v>14395</v>
      </c>
      <c r="T36" s="8">
        <v>47383</v>
      </c>
      <c r="U36" s="126">
        <v>3</v>
      </c>
      <c r="V36" s="8">
        <v>3</v>
      </c>
      <c r="W36" s="8">
        <v>3</v>
      </c>
      <c r="X36" s="8">
        <v>3</v>
      </c>
      <c r="Y36" s="8">
        <v>3</v>
      </c>
      <c r="Z36" s="8">
        <v>3</v>
      </c>
      <c r="AA36" s="8">
        <v>3</v>
      </c>
      <c r="AB36" s="8">
        <v>2</v>
      </c>
      <c r="AC36" s="8">
        <v>3</v>
      </c>
      <c r="AD36" s="8">
        <v>3</v>
      </c>
      <c r="AE36" s="8">
        <v>3</v>
      </c>
      <c r="AF36" s="8">
        <v>3</v>
      </c>
      <c r="AG36" s="54">
        <v>3515</v>
      </c>
      <c r="AH36" s="8">
        <v>5848</v>
      </c>
      <c r="AI36" s="8">
        <v>2861</v>
      </c>
      <c r="AJ36" s="8">
        <v>7107</v>
      </c>
      <c r="AK36" s="8">
        <v>1309</v>
      </c>
      <c r="AL36" s="8">
        <v>10238</v>
      </c>
      <c r="AM36" s="8">
        <v>7107</v>
      </c>
      <c r="AN36" s="8">
        <v>0</v>
      </c>
      <c r="AO36" s="8">
        <v>2981</v>
      </c>
      <c r="AP36" s="8">
        <v>2249</v>
      </c>
      <c r="AQ36" s="8">
        <v>3599</v>
      </c>
      <c r="AR36" s="8">
        <v>889</v>
      </c>
      <c r="AS36" s="202">
        <v>10238</v>
      </c>
      <c r="AT36" s="54">
        <v>703</v>
      </c>
      <c r="AU36" s="8">
        <v>1080</v>
      </c>
      <c r="AV36" s="8">
        <v>572</v>
      </c>
      <c r="AW36" s="8">
        <v>1421</v>
      </c>
      <c r="AX36" s="8">
        <v>262</v>
      </c>
      <c r="AY36" s="8">
        <v>2048</v>
      </c>
      <c r="AZ36" s="8">
        <v>1421</v>
      </c>
      <c r="BA36" s="8">
        <v>0</v>
      </c>
      <c r="BB36" s="8">
        <v>596</v>
      </c>
      <c r="BC36" s="8">
        <v>450</v>
      </c>
      <c r="BD36" s="8">
        <v>720</v>
      </c>
      <c r="BE36" s="8">
        <v>178</v>
      </c>
      <c r="BF36" s="202">
        <v>2048</v>
      </c>
    </row>
    <row r="37" spans="1:58" ht="14.25" x14ac:dyDescent="0.45">
      <c r="A37" t="s">
        <v>316</v>
      </c>
      <c r="B37" t="s">
        <v>317</v>
      </c>
      <c r="C37" t="s">
        <v>252</v>
      </c>
      <c r="D37" t="s">
        <v>193</v>
      </c>
      <c r="E37" t="s">
        <v>318</v>
      </c>
      <c r="F37" s="54">
        <v>29217</v>
      </c>
      <c r="G37" s="8">
        <v>173398</v>
      </c>
      <c r="H37" s="8">
        <v>202615</v>
      </c>
      <c r="I37" s="126">
        <v>0</v>
      </c>
      <c r="J37" s="8">
        <v>74880</v>
      </c>
      <c r="K37" s="8">
        <v>0</v>
      </c>
      <c r="L37" s="8">
        <v>0</v>
      </c>
      <c r="M37" s="8">
        <v>0</v>
      </c>
      <c r="N37" s="8">
        <v>0</v>
      </c>
      <c r="O37" s="8">
        <v>0</v>
      </c>
      <c r="P37" s="8">
        <v>0</v>
      </c>
      <c r="Q37" s="8">
        <v>0</v>
      </c>
      <c r="R37" s="8">
        <v>0</v>
      </c>
      <c r="S37" s="8">
        <v>74880</v>
      </c>
      <c r="T37" s="8">
        <v>74880</v>
      </c>
      <c r="U37" s="126">
        <v>0</v>
      </c>
      <c r="V37" s="8">
        <v>4</v>
      </c>
      <c r="W37" s="8">
        <v>0</v>
      </c>
      <c r="X37" s="8">
        <v>0</v>
      </c>
      <c r="Y37" s="8">
        <v>0</v>
      </c>
      <c r="Z37" s="8">
        <v>0</v>
      </c>
      <c r="AA37" s="8">
        <v>0</v>
      </c>
      <c r="AB37" s="8">
        <v>0</v>
      </c>
      <c r="AC37" s="8">
        <v>0</v>
      </c>
      <c r="AD37" s="8">
        <v>0</v>
      </c>
      <c r="AE37" s="8">
        <v>4</v>
      </c>
      <c r="AF37" s="8">
        <v>5</v>
      </c>
      <c r="AG37" s="54">
        <v>0</v>
      </c>
      <c r="AH37" s="8">
        <v>26469</v>
      </c>
      <c r="AI37" s="8">
        <v>0</v>
      </c>
      <c r="AJ37" s="8">
        <v>0</v>
      </c>
      <c r="AK37" s="8">
        <v>0</v>
      </c>
      <c r="AL37" s="8">
        <v>0</v>
      </c>
      <c r="AM37" s="8">
        <v>0</v>
      </c>
      <c r="AN37" s="8">
        <v>0</v>
      </c>
      <c r="AO37" s="8">
        <v>0</v>
      </c>
      <c r="AP37" s="8">
        <v>0</v>
      </c>
      <c r="AQ37" s="8">
        <v>26469</v>
      </c>
      <c r="AR37" s="8">
        <v>0</v>
      </c>
      <c r="AS37" s="202">
        <v>26469</v>
      </c>
      <c r="AT37" s="54">
        <v>0</v>
      </c>
      <c r="AU37" s="8">
        <v>26469</v>
      </c>
      <c r="AV37" s="8">
        <v>0</v>
      </c>
      <c r="AW37" s="8">
        <v>0</v>
      </c>
      <c r="AX37" s="8">
        <v>0</v>
      </c>
      <c r="AY37" s="8">
        <v>0</v>
      </c>
      <c r="AZ37" s="8">
        <v>0</v>
      </c>
      <c r="BA37" s="8">
        <v>0</v>
      </c>
      <c r="BB37" s="8">
        <v>0</v>
      </c>
      <c r="BC37" s="8">
        <v>0</v>
      </c>
      <c r="BD37" s="8">
        <v>26469</v>
      </c>
      <c r="BE37" s="8">
        <v>0</v>
      </c>
      <c r="BF37" s="202">
        <v>26469</v>
      </c>
    </row>
    <row r="38" spans="1:58" ht="14.25" x14ac:dyDescent="0.45">
      <c r="A38" t="s">
        <v>316</v>
      </c>
      <c r="B38" t="s">
        <v>317</v>
      </c>
      <c r="C38" t="s">
        <v>319</v>
      </c>
      <c r="D38" t="s">
        <v>196</v>
      </c>
      <c r="E38" t="s">
        <v>320</v>
      </c>
      <c r="F38" s="54">
        <v>60371</v>
      </c>
      <c r="G38" s="8">
        <v>88205</v>
      </c>
      <c r="H38" s="8">
        <v>148576</v>
      </c>
      <c r="I38" s="126">
        <v>5695</v>
      </c>
      <c r="J38" s="8">
        <v>62766</v>
      </c>
      <c r="K38" s="8">
        <v>47975</v>
      </c>
      <c r="L38" s="8">
        <v>41635</v>
      </c>
      <c r="M38" s="8">
        <v>45471</v>
      </c>
      <c r="N38" s="8">
        <v>59405</v>
      </c>
      <c r="O38" s="8">
        <v>41635</v>
      </c>
      <c r="P38" s="8">
        <v>28593</v>
      </c>
      <c r="Q38" s="8">
        <v>23665</v>
      </c>
      <c r="R38" s="8">
        <v>42102</v>
      </c>
      <c r="S38" s="8">
        <v>62766</v>
      </c>
      <c r="T38" s="8">
        <v>80069</v>
      </c>
      <c r="U38" s="126">
        <v>4</v>
      </c>
      <c r="V38" s="8">
        <v>4</v>
      </c>
      <c r="W38" s="8">
        <v>4</v>
      </c>
      <c r="X38" s="8">
        <v>4</v>
      </c>
      <c r="Y38" s="8">
        <v>4</v>
      </c>
      <c r="Z38" s="8">
        <v>4</v>
      </c>
      <c r="AA38" s="8">
        <v>3</v>
      </c>
      <c r="AB38" s="8">
        <v>4</v>
      </c>
      <c r="AC38" s="8">
        <v>4</v>
      </c>
      <c r="AD38" s="8">
        <v>4</v>
      </c>
      <c r="AE38" s="8">
        <v>4</v>
      </c>
      <c r="AF38" s="8">
        <v>4</v>
      </c>
      <c r="AG38" s="54">
        <v>5125</v>
      </c>
      <c r="AH38" s="8">
        <v>36792</v>
      </c>
      <c r="AI38" s="8">
        <v>10813</v>
      </c>
      <c r="AJ38" s="8">
        <v>18035</v>
      </c>
      <c r="AK38" s="8">
        <v>29991</v>
      </c>
      <c r="AL38" s="8">
        <v>29703</v>
      </c>
      <c r="AM38" s="8">
        <v>8327</v>
      </c>
      <c r="AN38" s="8">
        <v>18035</v>
      </c>
      <c r="AO38" s="8">
        <v>10649</v>
      </c>
      <c r="AP38" s="8">
        <v>21140</v>
      </c>
      <c r="AQ38" s="8">
        <v>36792</v>
      </c>
      <c r="AR38" s="8">
        <v>0</v>
      </c>
      <c r="AS38" s="202">
        <v>40323</v>
      </c>
      <c r="AT38" s="54">
        <v>5125</v>
      </c>
      <c r="AU38" s="8">
        <v>36792</v>
      </c>
      <c r="AV38" s="8">
        <v>10813</v>
      </c>
      <c r="AW38" s="8">
        <v>18035</v>
      </c>
      <c r="AX38" s="8">
        <v>29991</v>
      </c>
      <c r="AY38" s="8">
        <v>29703</v>
      </c>
      <c r="AZ38" s="8">
        <v>1665</v>
      </c>
      <c r="BA38" s="8">
        <v>18035</v>
      </c>
      <c r="BB38" s="8">
        <v>10649</v>
      </c>
      <c r="BC38" s="8">
        <v>21140</v>
      </c>
      <c r="BD38" s="8">
        <v>36792</v>
      </c>
      <c r="BE38" s="8">
        <v>0</v>
      </c>
      <c r="BF38" s="202">
        <v>40323</v>
      </c>
    </row>
    <row r="39" spans="1:58" ht="14.25" x14ac:dyDescent="0.45">
      <c r="A39" t="s">
        <v>316</v>
      </c>
      <c r="B39" t="s">
        <v>317</v>
      </c>
      <c r="C39" t="s">
        <v>256</v>
      </c>
      <c r="D39" t="s">
        <v>199</v>
      </c>
      <c r="E39" t="s">
        <v>321</v>
      </c>
      <c r="F39" s="54">
        <v>48737</v>
      </c>
      <c r="G39" s="8">
        <v>0</v>
      </c>
      <c r="H39" s="8">
        <v>48737</v>
      </c>
      <c r="I39" s="126">
        <v>6601</v>
      </c>
      <c r="J39" s="8">
        <v>10156</v>
      </c>
      <c r="K39" s="8">
        <v>38730</v>
      </c>
      <c r="L39" s="8">
        <v>34116</v>
      </c>
      <c r="M39" s="8">
        <v>28620</v>
      </c>
      <c r="N39" s="8">
        <v>30980</v>
      </c>
      <c r="O39" s="8">
        <v>34116</v>
      </c>
      <c r="P39" s="8">
        <v>24916</v>
      </c>
      <c r="Q39" s="8">
        <v>19105</v>
      </c>
      <c r="R39" s="8">
        <v>10156</v>
      </c>
      <c r="S39" s="8">
        <v>10156</v>
      </c>
      <c r="T39" s="8">
        <v>38730</v>
      </c>
      <c r="U39" s="126">
        <v>3</v>
      </c>
      <c r="V39" s="8">
        <v>3</v>
      </c>
      <c r="W39" s="8">
        <v>4</v>
      </c>
      <c r="X39" s="8">
        <v>4</v>
      </c>
      <c r="Y39" s="8">
        <v>4</v>
      </c>
      <c r="Z39" s="8">
        <v>3</v>
      </c>
      <c r="AA39" s="8">
        <v>4</v>
      </c>
      <c r="AB39" s="8">
        <v>4</v>
      </c>
      <c r="AC39" s="8">
        <v>4</v>
      </c>
      <c r="AD39" s="8">
        <v>3</v>
      </c>
      <c r="AE39" s="8">
        <v>3</v>
      </c>
      <c r="AF39" s="8">
        <v>3</v>
      </c>
      <c r="AG39" s="54">
        <v>2971</v>
      </c>
      <c r="AH39" s="8">
        <v>9839</v>
      </c>
      <c r="AI39" s="8">
        <v>2619</v>
      </c>
      <c r="AJ39" s="8">
        <v>17058</v>
      </c>
      <c r="AK39" s="8">
        <v>2777</v>
      </c>
      <c r="AL39" s="8">
        <v>7745</v>
      </c>
      <c r="AM39" s="8">
        <v>17058</v>
      </c>
      <c r="AN39" s="8">
        <v>15694</v>
      </c>
      <c r="AO39" s="8">
        <v>8597</v>
      </c>
      <c r="AP39" s="8">
        <v>4761</v>
      </c>
      <c r="AQ39" s="8">
        <v>5078</v>
      </c>
      <c r="AR39" s="8">
        <v>887</v>
      </c>
      <c r="AS39" s="202">
        <v>17058</v>
      </c>
      <c r="AT39" s="54">
        <v>594</v>
      </c>
      <c r="AU39" s="8">
        <v>1777.6</v>
      </c>
      <c r="AV39" s="8">
        <v>2619</v>
      </c>
      <c r="AW39" s="8">
        <v>17058</v>
      </c>
      <c r="AX39" s="8">
        <v>2777</v>
      </c>
      <c r="AY39" s="8">
        <v>1549</v>
      </c>
      <c r="AZ39" s="8">
        <v>17058</v>
      </c>
      <c r="BA39" s="8">
        <v>15694</v>
      </c>
      <c r="BB39" s="8">
        <v>8597</v>
      </c>
      <c r="BC39" s="8">
        <v>952</v>
      </c>
      <c r="BD39" s="8">
        <v>1016</v>
      </c>
      <c r="BE39" s="8">
        <v>177</v>
      </c>
      <c r="BF39" s="202">
        <v>17058</v>
      </c>
    </row>
    <row r="40" spans="1:58" ht="14.25" x14ac:dyDescent="0.45">
      <c r="A40" t="s">
        <v>316</v>
      </c>
      <c r="B40" t="s">
        <v>317</v>
      </c>
      <c r="C40" t="s">
        <v>322</v>
      </c>
      <c r="D40" t="s">
        <v>196</v>
      </c>
      <c r="E40" t="s">
        <v>323</v>
      </c>
      <c r="F40" s="54">
        <v>96642</v>
      </c>
      <c r="G40" s="8">
        <v>511155</v>
      </c>
      <c r="H40" s="8">
        <v>607797</v>
      </c>
      <c r="I40" s="126">
        <v>21271</v>
      </c>
      <c r="J40" s="8">
        <v>171367</v>
      </c>
      <c r="K40" s="8">
        <v>76799</v>
      </c>
      <c r="L40" s="8">
        <v>81713</v>
      </c>
      <c r="M40" s="8">
        <v>72790</v>
      </c>
      <c r="N40" s="8">
        <v>70548</v>
      </c>
      <c r="O40" s="8">
        <v>81713</v>
      </c>
      <c r="P40" s="8">
        <v>46843</v>
      </c>
      <c r="Q40" s="8">
        <v>37884</v>
      </c>
      <c r="R40" s="8">
        <v>64128</v>
      </c>
      <c r="S40" s="8">
        <v>171367</v>
      </c>
      <c r="T40" s="8">
        <v>188952</v>
      </c>
      <c r="U40" s="126">
        <v>4</v>
      </c>
      <c r="V40" s="8">
        <v>4</v>
      </c>
      <c r="W40" s="8">
        <v>4</v>
      </c>
      <c r="X40" s="8">
        <v>4</v>
      </c>
      <c r="Y40" s="8">
        <v>4</v>
      </c>
      <c r="Z40" s="8">
        <v>4</v>
      </c>
      <c r="AA40" s="8">
        <v>4</v>
      </c>
      <c r="AB40" s="8">
        <v>4</v>
      </c>
      <c r="AC40" s="8">
        <v>4</v>
      </c>
      <c r="AD40" s="8">
        <v>4</v>
      </c>
      <c r="AE40" s="8">
        <v>4</v>
      </c>
      <c r="AF40" s="8">
        <v>4</v>
      </c>
      <c r="AG40" s="54">
        <v>19144</v>
      </c>
      <c r="AH40" s="8">
        <v>55289</v>
      </c>
      <c r="AI40" s="8">
        <v>17309</v>
      </c>
      <c r="AJ40" s="8">
        <v>49028</v>
      </c>
      <c r="AK40" s="8">
        <v>47099</v>
      </c>
      <c r="AL40" s="8">
        <v>35274</v>
      </c>
      <c r="AM40" s="8">
        <v>49028</v>
      </c>
      <c r="AN40" s="8">
        <v>29618</v>
      </c>
      <c r="AO40" s="8">
        <v>17048</v>
      </c>
      <c r="AP40" s="8">
        <v>33841</v>
      </c>
      <c r="AQ40" s="8">
        <v>45103</v>
      </c>
      <c r="AR40" s="8">
        <v>0</v>
      </c>
      <c r="AS40" s="202">
        <v>70476</v>
      </c>
      <c r="AT40" s="54">
        <v>19144</v>
      </c>
      <c r="AU40" s="8">
        <v>55289</v>
      </c>
      <c r="AV40" s="8">
        <v>17309</v>
      </c>
      <c r="AW40" s="8">
        <v>49028</v>
      </c>
      <c r="AX40" s="8">
        <v>47099</v>
      </c>
      <c r="AY40" s="8">
        <v>35274</v>
      </c>
      <c r="AZ40" s="8">
        <v>49028</v>
      </c>
      <c r="BA40" s="8">
        <v>29618</v>
      </c>
      <c r="BB40" s="8">
        <v>17048</v>
      </c>
      <c r="BC40" s="8">
        <v>33841</v>
      </c>
      <c r="BD40" s="8">
        <v>45103</v>
      </c>
      <c r="BE40" s="8">
        <v>0</v>
      </c>
      <c r="BF40" s="202">
        <v>70476</v>
      </c>
    </row>
    <row r="41" spans="1:58" ht="14.25" x14ac:dyDescent="0.45">
      <c r="A41" t="s">
        <v>324</v>
      </c>
      <c r="B41" t="s">
        <v>325</v>
      </c>
      <c r="C41" t="s">
        <v>326</v>
      </c>
      <c r="D41" t="s">
        <v>193</v>
      </c>
      <c r="E41" t="s">
        <v>327</v>
      </c>
      <c r="F41" s="54">
        <v>5315</v>
      </c>
      <c r="G41" s="8">
        <v>18255</v>
      </c>
      <c r="H41" s="8">
        <v>23570</v>
      </c>
      <c r="I41" s="126">
        <v>0</v>
      </c>
      <c r="J41" s="8">
        <v>7812</v>
      </c>
      <c r="K41" s="8">
        <v>0</v>
      </c>
      <c r="L41" s="8">
        <v>0</v>
      </c>
      <c r="M41" s="8">
        <v>0</v>
      </c>
      <c r="N41" s="8">
        <v>0</v>
      </c>
      <c r="O41" s="8">
        <v>0</v>
      </c>
      <c r="P41" s="8">
        <v>0</v>
      </c>
      <c r="Q41" s="8">
        <v>0</v>
      </c>
      <c r="R41" s="8">
        <v>0</v>
      </c>
      <c r="S41" s="8">
        <v>7812</v>
      </c>
      <c r="T41" s="8">
        <v>7812</v>
      </c>
      <c r="U41" s="126">
        <v>0</v>
      </c>
      <c r="V41" s="8">
        <v>4</v>
      </c>
      <c r="W41" s="8">
        <v>0</v>
      </c>
      <c r="X41" s="8">
        <v>0</v>
      </c>
      <c r="Y41" s="8">
        <v>0</v>
      </c>
      <c r="Z41" s="8">
        <v>0</v>
      </c>
      <c r="AA41" s="8">
        <v>0</v>
      </c>
      <c r="AB41" s="8">
        <v>0</v>
      </c>
      <c r="AC41" s="8">
        <v>0</v>
      </c>
      <c r="AD41" s="8">
        <v>0</v>
      </c>
      <c r="AE41" s="8">
        <v>4</v>
      </c>
      <c r="AF41" s="8">
        <v>5</v>
      </c>
      <c r="AG41" s="54">
        <v>0</v>
      </c>
      <c r="AH41" s="8">
        <v>3906</v>
      </c>
      <c r="AI41" s="8">
        <v>0</v>
      </c>
      <c r="AJ41" s="8">
        <v>0</v>
      </c>
      <c r="AK41" s="8">
        <v>0</v>
      </c>
      <c r="AL41" s="8">
        <v>0</v>
      </c>
      <c r="AM41" s="8">
        <v>0</v>
      </c>
      <c r="AN41" s="8">
        <v>0</v>
      </c>
      <c r="AO41" s="8">
        <v>0</v>
      </c>
      <c r="AP41" s="8">
        <v>0</v>
      </c>
      <c r="AQ41" s="8">
        <v>3906</v>
      </c>
      <c r="AR41" s="8">
        <v>0</v>
      </c>
      <c r="AS41" s="202">
        <v>3906</v>
      </c>
      <c r="AT41" s="54">
        <v>0</v>
      </c>
      <c r="AU41" s="8">
        <v>3906</v>
      </c>
      <c r="AV41" s="8">
        <v>0</v>
      </c>
      <c r="AW41" s="8">
        <v>0</v>
      </c>
      <c r="AX41" s="8">
        <v>0</v>
      </c>
      <c r="AY41" s="8">
        <v>0</v>
      </c>
      <c r="AZ41" s="8">
        <v>0</v>
      </c>
      <c r="BA41" s="8">
        <v>0</v>
      </c>
      <c r="BB41" s="8">
        <v>0</v>
      </c>
      <c r="BC41" s="8">
        <v>0</v>
      </c>
      <c r="BD41" s="8">
        <v>3906</v>
      </c>
      <c r="BE41" s="8">
        <v>0</v>
      </c>
      <c r="BF41" s="202">
        <v>3906</v>
      </c>
    </row>
    <row r="42" spans="1:58" ht="14.25" x14ac:dyDescent="0.45">
      <c r="A42" t="s">
        <v>324</v>
      </c>
      <c r="B42" t="s">
        <v>325</v>
      </c>
      <c r="C42" t="s">
        <v>254</v>
      </c>
      <c r="D42" t="s">
        <v>196</v>
      </c>
      <c r="E42" t="s">
        <v>328</v>
      </c>
      <c r="F42" s="54">
        <v>1396</v>
      </c>
      <c r="G42" s="8">
        <v>3344</v>
      </c>
      <c r="H42" s="8">
        <v>4740</v>
      </c>
      <c r="I42" s="126">
        <v>205</v>
      </c>
      <c r="J42" s="8">
        <v>2253</v>
      </c>
      <c r="K42" s="8">
        <v>1109</v>
      </c>
      <c r="L42" s="8">
        <v>1326</v>
      </c>
      <c r="M42" s="8">
        <v>1284</v>
      </c>
      <c r="N42" s="8">
        <v>1396</v>
      </c>
      <c r="O42" s="8">
        <v>1326</v>
      </c>
      <c r="P42" s="8">
        <v>610</v>
      </c>
      <c r="Q42" s="8">
        <v>704</v>
      </c>
      <c r="R42" s="8">
        <v>1155</v>
      </c>
      <c r="S42" s="8">
        <v>2253</v>
      </c>
      <c r="T42" s="8">
        <v>2494</v>
      </c>
      <c r="U42" s="126">
        <v>4</v>
      </c>
      <c r="V42" s="8">
        <v>4</v>
      </c>
      <c r="W42" s="8">
        <v>4</v>
      </c>
      <c r="X42" s="8">
        <v>4</v>
      </c>
      <c r="Y42" s="8">
        <v>4</v>
      </c>
      <c r="Z42" s="8">
        <v>4</v>
      </c>
      <c r="AA42" s="8">
        <v>4</v>
      </c>
      <c r="AB42" s="8">
        <v>4</v>
      </c>
      <c r="AC42" s="8">
        <v>4</v>
      </c>
      <c r="AD42" s="8">
        <v>4</v>
      </c>
      <c r="AE42" s="8">
        <v>4</v>
      </c>
      <c r="AF42" s="8">
        <v>4</v>
      </c>
      <c r="AG42" s="54">
        <v>184</v>
      </c>
      <c r="AH42" s="8">
        <v>2253</v>
      </c>
      <c r="AI42" s="8">
        <v>250</v>
      </c>
      <c r="AJ42" s="8">
        <v>796</v>
      </c>
      <c r="AK42" s="8">
        <v>886</v>
      </c>
      <c r="AL42" s="8">
        <v>698</v>
      </c>
      <c r="AM42" s="8">
        <v>796</v>
      </c>
      <c r="AN42" s="8">
        <v>330</v>
      </c>
      <c r="AO42" s="8">
        <v>317</v>
      </c>
      <c r="AP42" s="8">
        <v>489</v>
      </c>
      <c r="AQ42" s="8">
        <v>2253</v>
      </c>
      <c r="AR42" s="8">
        <v>0</v>
      </c>
      <c r="AS42" s="202">
        <v>2253</v>
      </c>
      <c r="AT42" s="54">
        <v>184</v>
      </c>
      <c r="AU42" s="8">
        <v>2253</v>
      </c>
      <c r="AV42" s="8">
        <v>250</v>
      </c>
      <c r="AW42" s="8">
        <v>796</v>
      </c>
      <c r="AX42" s="8">
        <v>886</v>
      </c>
      <c r="AY42" s="8">
        <v>698</v>
      </c>
      <c r="AZ42" s="8">
        <v>796</v>
      </c>
      <c r="BA42" s="8">
        <v>330</v>
      </c>
      <c r="BB42" s="8">
        <v>317</v>
      </c>
      <c r="BC42" s="8">
        <v>489</v>
      </c>
      <c r="BD42" s="8">
        <v>2253</v>
      </c>
      <c r="BE42" s="8">
        <v>0</v>
      </c>
      <c r="BF42" s="202">
        <v>2253</v>
      </c>
    </row>
    <row r="43" spans="1:58" ht="14.25" x14ac:dyDescent="0.45">
      <c r="A43" t="s">
        <v>324</v>
      </c>
      <c r="B43" t="s">
        <v>325</v>
      </c>
      <c r="C43" t="s">
        <v>256</v>
      </c>
      <c r="D43" t="s">
        <v>199</v>
      </c>
      <c r="E43" t="s">
        <v>329</v>
      </c>
      <c r="F43" s="54">
        <v>72</v>
      </c>
      <c r="G43" s="8">
        <v>0</v>
      </c>
      <c r="H43" s="8">
        <v>72</v>
      </c>
      <c r="I43" s="126">
        <v>11</v>
      </c>
      <c r="J43" s="8">
        <v>15</v>
      </c>
      <c r="K43" s="8">
        <v>57</v>
      </c>
      <c r="L43" s="8">
        <v>69</v>
      </c>
      <c r="M43" s="8">
        <v>42</v>
      </c>
      <c r="N43" s="8">
        <v>48</v>
      </c>
      <c r="O43" s="8">
        <v>69</v>
      </c>
      <c r="P43" s="8">
        <v>26</v>
      </c>
      <c r="Q43" s="8">
        <v>28</v>
      </c>
      <c r="R43" s="8">
        <v>15</v>
      </c>
      <c r="S43" s="8">
        <v>15</v>
      </c>
      <c r="T43" s="8">
        <v>69</v>
      </c>
      <c r="U43" s="126">
        <v>4</v>
      </c>
      <c r="V43" s="8">
        <v>4</v>
      </c>
      <c r="W43" s="8">
        <v>4</v>
      </c>
      <c r="X43" s="8">
        <v>4</v>
      </c>
      <c r="Y43" s="8">
        <v>4</v>
      </c>
      <c r="Z43" s="8">
        <v>3</v>
      </c>
      <c r="AA43" s="8">
        <v>4</v>
      </c>
      <c r="AB43" s="8">
        <v>4</v>
      </c>
      <c r="AC43" s="8">
        <v>4</v>
      </c>
      <c r="AD43" s="8">
        <v>4</v>
      </c>
      <c r="AE43" s="8">
        <v>4</v>
      </c>
      <c r="AF43" s="8">
        <v>4</v>
      </c>
      <c r="AG43" s="54">
        <v>10</v>
      </c>
      <c r="AH43" s="8">
        <v>15</v>
      </c>
      <c r="AI43" s="8">
        <v>4</v>
      </c>
      <c r="AJ43" s="8">
        <v>35</v>
      </c>
      <c r="AK43" s="8">
        <v>4</v>
      </c>
      <c r="AL43" s="8">
        <v>12</v>
      </c>
      <c r="AM43" s="8">
        <v>35</v>
      </c>
      <c r="AN43" s="8">
        <v>10</v>
      </c>
      <c r="AO43" s="8">
        <v>13</v>
      </c>
      <c r="AP43" s="8">
        <v>7</v>
      </c>
      <c r="AQ43" s="8">
        <v>8</v>
      </c>
      <c r="AR43" s="8">
        <v>1</v>
      </c>
      <c r="AS43" s="202">
        <v>35</v>
      </c>
      <c r="AT43" s="54">
        <v>10</v>
      </c>
      <c r="AU43" s="8">
        <v>13.6</v>
      </c>
      <c r="AV43" s="8">
        <v>4</v>
      </c>
      <c r="AW43" s="8">
        <v>35</v>
      </c>
      <c r="AX43" s="8">
        <v>4</v>
      </c>
      <c r="AY43" s="8">
        <v>2</v>
      </c>
      <c r="AZ43" s="8">
        <v>35</v>
      </c>
      <c r="BA43" s="8">
        <v>10</v>
      </c>
      <c r="BB43" s="8">
        <v>13</v>
      </c>
      <c r="BC43" s="8">
        <v>7</v>
      </c>
      <c r="BD43" s="8">
        <v>8</v>
      </c>
      <c r="BE43" s="8">
        <v>1</v>
      </c>
      <c r="BF43" s="202">
        <v>35</v>
      </c>
    </row>
    <row r="44" spans="1:58" ht="14.25" x14ac:dyDescent="0.45">
      <c r="A44" t="s">
        <v>324</v>
      </c>
      <c r="B44" t="s">
        <v>325</v>
      </c>
      <c r="C44" t="s">
        <v>330</v>
      </c>
      <c r="D44" t="s">
        <v>193</v>
      </c>
      <c r="E44" t="s">
        <v>331</v>
      </c>
      <c r="F44" s="54">
        <v>9908</v>
      </c>
      <c r="G44" s="8">
        <v>67022</v>
      </c>
      <c r="H44" s="8">
        <v>76930</v>
      </c>
      <c r="I44" s="126">
        <v>0</v>
      </c>
      <c r="J44" s="8">
        <v>25798</v>
      </c>
      <c r="K44" s="8">
        <v>0</v>
      </c>
      <c r="L44" s="8">
        <v>0</v>
      </c>
      <c r="M44" s="8">
        <v>0</v>
      </c>
      <c r="N44" s="8">
        <v>0</v>
      </c>
      <c r="O44" s="8">
        <v>0</v>
      </c>
      <c r="P44" s="8">
        <v>0</v>
      </c>
      <c r="Q44" s="8">
        <v>0</v>
      </c>
      <c r="R44" s="8">
        <v>0</v>
      </c>
      <c r="S44" s="8">
        <v>25798</v>
      </c>
      <c r="T44" s="8">
        <v>25798</v>
      </c>
      <c r="U44" s="126">
        <v>0</v>
      </c>
      <c r="V44" s="8">
        <v>4</v>
      </c>
      <c r="W44" s="8">
        <v>0</v>
      </c>
      <c r="X44" s="8">
        <v>0</v>
      </c>
      <c r="Y44" s="8">
        <v>0</v>
      </c>
      <c r="Z44" s="8">
        <v>0</v>
      </c>
      <c r="AA44" s="8">
        <v>0</v>
      </c>
      <c r="AB44" s="8">
        <v>0</v>
      </c>
      <c r="AC44" s="8">
        <v>0</v>
      </c>
      <c r="AD44" s="8">
        <v>0</v>
      </c>
      <c r="AE44" s="8">
        <v>4</v>
      </c>
      <c r="AF44" s="8">
        <v>5</v>
      </c>
      <c r="AG44" s="54">
        <v>0</v>
      </c>
      <c r="AH44" s="8">
        <v>11902</v>
      </c>
      <c r="AI44" s="8">
        <v>0</v>
      </c>
      <c r="AJ44" s="8">
        <v>0</v>
      </c>
      <c r="AK44" s="8">
        <v>0</v>
      </c>
      <c r="AL44" s="8">
        <v>0</v>
      </c>
      <c r="AM44" s="8">
        <v>0</v>
      </c>
      <c r="AN44" s="8">
        <v>0</v>
      </c>
      <c r="AO44" s="8">
        <v>0</v>
      </c>
      <c r="AP44" s="8">
        <v>0</v>
      </c>
      <c r="AQ44" s="8">
        <v>11902</v>
      </c>
      <c r="AR44" s="8">
        <v>0</v>
      </c>
      <c r="AS44" s="202">
        <v>11902</v>
      </c>
      <c r="AT44" s="54">
        <v>0</v>
      </c>
      <c r="AU44" s="8">
        <v>11902</v>
      </c>
      <c r="AV44" s="8">
        <v>0</v>
      </c>
      <c r="AW44" s="8">
        <v>0</v>
      </c>
      <c r="AX44" s="8">
        <v>0</v>
      </c>
      <c r="AY44" s="8">
        <v>0</v>
      </c>
      <c r="AZ44" s="8">
        <v>0</v>
      </c>
      <c r="BA44" s="8">
        <v>0</v>
      </c>
      <c r="BB44" s="8">
        <v>0</v>
      </c>
      <c r="BC44" s="8">
        <v>0</v>
      </c>
      <c r="BD44" s="8">
        <v>11902</v>
      </c>
      <c r="BE44" s="8">
        <v>0</v>
      </c>
      <c r="BF44" s="202">
        <v>11902</v>
      </c>
    </row>
    <row r="45" spans="1:58" ht="14.25" x14ac:dyDescent="0.45">
      <c r="A45" t="s">
        <v>332</v>
      </c>
      <c r="B45" t="s">
        <v>333</v>
      </c>
      <c r="C45" t="s">
        <v>245</v>
      </c>
      <c r="D45" t="s">
        <v>199</v>
      </c>
      <c r="E45" t="s">
        <v>334</v>
      </c>
      <c r="F45" s="54">
        <v>65112</v>
      </c>
      <c r="G45" s="8">
        <v>0</v>
      </c>
      <c r="H45" s="8">
        <v>65112</v>
      </c>
      <c r="I45" s="126">
        <v>9554</v>
      </c>
      <c r="J45" s="8">
        <v>17606</v>
      </c>
      <c r="K45" s="8">
        <v>51743</v>
      </c>
      <c r="L45" s="8">
        <v>59480</v>
      </c>
      <c r="M45" s="8">
        <v>32017</v>
      </c>
      <c r="N45" s="8">
        <v>60289</v>
      </c>
      <c r="O45" s="8">
        <v>59480</v>
      </c>
      <c r="P45" s="8">
        <v>27354</v>
      </c>
      <c r="Q45" s="8">
        <v>5469</v>
      </c>
      <c r="R45" s="8">
        <v>17606</v>
      </c>
      <c r="S45" s="8">
        <v>17606</v>
      </c>
      <c r="T45" s="8">
        <v>60289</v>
      </c>
      <c r="U45" s="126">
        <v>3</v>
      </c>
      <c r="V45" s="8">
        <v>3</v>
      </c>
      <c r="W45" s="8">
        <v>3</v>
      </c>
      <c r="X45" s="8">
        <v>3</v>
      </c>
      <c r="Y45" s="8">
        <v>3</v>
      </c>
      <c r="Z45" s="8">
        <v>3</v>
      </c>
      <c r="AA45" s="8">
        <v>3</v>
      </c>
      <c r="AB45" s="8">
        <v>3</v>
      </c>
      <c r="AC45" s="8">
        <v>2</v>
      </c>
      <c r="AD45" s="8">
        <v>3</v>
      </c>
      <c r="AE45" s="8">
        <v>3</v>
      </c>
      <c r="AF45" s="8">
        <v>3</v>
      </c>
      <c r="AG45" s="54">
        <v>4299</v>
      </c>
      <c r="AH45" s="8">
        <v>7154</v>
      </c>
      <c r="AI45" s="8">
        <v>3499</v>
      </c>
      <c r="AJ45" s="8">
        <v>8922</v>
      </c>
      <c r="AK45" s="8">
        <v>1601</v>
      </c>
      <c r="AL45" s="8">
        <v>15072</v>
      </c>
      <c r="AM45" s="8">
        <v>8922</v>
      </c>
      <c r="AN45" s="8">
        <v>7082</v>
      </c>
      <c r="AO45" s="8">
        <v>0</v>
      </c>
      <c r="AP45" s="8">
        <v>2751</v>
      </c>
      <c r="AQ45" s="8">
        <v>4403</v>
      </c>
      <c r="AR45" s="8">
        <v>1281</v>
      </c>
      <c r="AS45" s="202">
        <v>15072</v>
      </c>
      <c r="AT45" s="54">
        <v>860</v>
      </c>
      <c r="AU45" s="8">
        <v>1321</v>
      </c>
      <c r="AV45" s="8">
        <v>700</v>
      </c>
      <c r="AW45" s="8">
        <v>1784</v>
      </c>
      <c r="AX45" s="8">
        <v>320</v>
      </c>
      <c r="AY45" s="8">
        <v>3014</v>
      </c>
      <c r="AZ45" s="8">
        <v>1784</v>
      </c>
      <c r="BA45" s="8">
        <v>1416</v>
      </c>
      <c r="BB45" s="8">
        <v>0</v>
      </c>
      <c r="BC45" s="8">
        <v>550</v>
      </c>
      <c r="BD45" s="8">
        <v>881</v>
      </c>
      <c r="BE45" s="8">
        <v>256</v>
      </c>
      <c r="BF45" s="202">
        <v>3014</v>
      </c>
    </row>
    <row r="46" spans="1:58" ht="14.25" x14ac:dyDescent="0.45">
      <c r="A46" t="s">
        <v>335</v>
      </c>
      <c r="B46" t="s">
        <v>336</v>
      </c>
      <c r="C46" t="s">
        <v>245</v>
      </c>
      <c r="D46" t="s">
        <v>199</v>
      </c>
      <c r="E46" t="s">
        <v>337</v>
      </c>
      <c r="F46" s="54">
        <v>92461</v>
      </c>
      <c r="G46" s="8">
        <v>0</v>
      </c>
      <c r="H46" s="8">
        <v>92461</v>
      </c>
      <c r="I46" s="126">
        <v>12210</v>
      </c>
      <c r="J46" s="8">
        <v>25000</v>
      </c>
      <c r="K46" s="8">
        <v>73476</v>
      </c>
      <c r="L46" s="8">
        <v>78628</v>
      </c>
      <c r="M46" s="8">
        <v>45465</v>
      </c>
      <c r="N46" s="8">
        <v>42378</v>
      </c>
      <c r="O46" s="8">
        <v>78628</v>
      </c>
      <c r="P46" s="8">
        <v>44819</v>
      </c>
      <c r="Q46" s="8">
        <v>25889</v>
      </c>
      <c r="R46" s="8">
        <v>25000</v>
      </c>
      <c r="S46" s="8">
        <v>25000</v>
      </c>
      <c r="T46" s="8">
        <v>78628</v>
      </c>
      <c r="U46" s="126">
        <v>3</v>
      </c>
      <c r="V46" s="8">
        <v>3</v>
      </c>
      <c r="W46" s="8">
        <v>3</v>
      </c>
      <c r="X46" s="8">
        <v>3</v>
      </c>
      <c r="Y46" s="8">
        <v>3</v>
      </c>
      <c r="Z46" s="8">
        <v>3</v>
      </c>
      <c r="AA46" s="8">
        <v>3</v>
      </c>
      <c r="AB46" s="8">
        <v>3</v>
      </c>
      <c r="AC46" s="8">
        <v>3</v>
      </c>
      <c r="AD46" s="8">
        <v>3</v>
      </c>
      <c r="AE46" s="8">
        <v>3</v>
      </c>
      <c r="AF46" s="8">
        <v>3</v>
      </c>
      <c r="AG46" s="54">
        <v>5495</v>
      </c>
      <c r="AH46" s="8">
        <v>10156</v>
      </c>
      <c r="AI46" s="8">
        <v>4968</v>
      </c>
      <c r="AJ46" s="8">
        <v>11794</v>
      </c>
      <c r="AK46" s="8">
        <v>2249</v>
      </c>
      <c r="AL46" s="8">
        <v>10595</v>
      </c>
      <c r="AM46" s="8">
        <v>11794</v>
      </c>
      <c r="AN46" s="8">
        <v>11613</v>
      </c>
      <c r="AO46" s="8">
        <v>5178</v>
      </c>
      <c r="AP46" s="8">
        <v>3906</v>
      </c>
      <c r="AQ46" s="8">
        <v>6250</v>
      </c>
      <c r="AR46" s="8">
        <v>7110</v>
      </c>
      <c r="AS46" s="202">
        <v>11794</v>
      </c>
      <c r="AT46" s="54">
        <v>1099</v>
      </c>
      <c r="AU46" s="8">
        <v>1874.8</v>
      </c>
      <c r="AV46" s="8">
        <v>994</v>
      </c>
      <c r="AW46" s="8">
        <v>2359</v>
      </c>
      <c r="AX46" s="8">
        <v>450</v>
      </c>
      <c r="AY46" s="8">
        <v>2119</v>
      </c>
      <c r="AZ46" s="8">
        <v>2359</v>
      </c>
      <c r="BA46" s="8">
        <v>2323</v>
      </c>
      <c r="BB46" s="8">
        <v>1036</v>
      </c>
      <c r="BC46" s="8">
        <v>781</v>
      </c>
      <c r="BD46" s="8">
        <v>1250</v>
      </c>
      <c r="BE46" s="8">
        <v>1422</v>
      </c>
      <c r="BF46" s="202">
        <v>2359</v>
      </c>
    </row>
    <row r="47" spans="1:58" ht="14.25" x14ac:dyDescent="0.45">
      <c r="A47" t="s">
        <v>338</v>
      </c>
      <c r="B47" t="s">
        <v>339</v>
      </c>
      <c r="C47" t="s">
        <v>245</v>
      </c>
      <c r="D47" t="s">
        <v>199</v>
      </c>
      <c r="E47" t="s">
        <v>340</v>
      </c>
      <c r="F47" s="54">
        <v>40403</v>
      </c>
      <c r="G47" s="8">
        <v>0</v>
      </c>
      <c r="H47" s="8">
        <v>40403</v>
      </c>
      <c r="I47" s="126">
        <v>6299</v>
      </c>
      <c r="J47" s="8">
        <v>10925</v>
      </c>
      <c r="K47" s="8">
        <v>32107</v>
      </c>
      <c r="L47" s="8">
        <v>34246</v>
      </c>
      <c r="M47" s="8">
        <v>19867</v>
      </c>
      <c r="N47" s="8">
        <v>32322</v>
      </c>
      <c r="O47" s="8">
        <v>34246</v>
      </c>
      <c r="P47" s="8">
        <v>17208</v>
      </c>
      <c r="Q47" s="8">
        <v>11313</v>
      </c>
      <c r="R47" s="8">
        <v>10925</v>
      </c>
      <c r="S47" s="8">
        <v>10925</v>
      </c>
      <c r="T47" s="8">
        <v>34246</v>
      </c>
      <c r="U47" s="126">
        <v>3</v>
      </c>
      <c r="V47" s="8">
        <v>3</v>
      </c>
      <c r="W47" s="8">
        <v>3</v>
      </c>
      <c r="X47" s="8">
        <v>3</v>
      </c>
      <c r="Y47" s="8">
        <v>3</v>
      </c>
      <c r="Z47" s="8">
        <v>4</v>
      </c>
      <c r="AA47" s="8">
        <v>3</v>
      </c>
      <c r="AB47" s="8">
        <v>3</v>
      </c>
      <c r="AC47" s="8">
        <v>3</v>
      </c>
      <c r="AD47" s="8">
        <v>3</v>
      </c>
      <c r="AE47" s="8">
        <v>3</v>
      </c>
      <c r="AF47" s="8">
        <v>3</v>
      </c>
      <c r="AG47" s="54">
        <v>2835</v>
      </c>
      <c r="AH47" s="8">
        <v>4439</v>
      </c>
      <c r="AI47" s="8">
        <v>2171</v>
      </c>
      <c r="AJ47" s="8">
        <v>5137</v>
      </c>
      <c r="AK47" s="8">
        <v>992</v>
      </c>
      <c r="AL47" s="8">
        <v>16161</v>
      </c>
      <c r="AM47" s="8">
        <v>5137</v>
      </c>
      <c r="AN47" s="8">
        <v>4451</v>
      </c>
      <c r="AO47" s="8">
        <v>2263</v>
      </c>
      <c r="AP47" s="8">
        <v>1707</v>
      </c>
      <c r="AQ47" s="8">
        <v>2732</v>
      </c>
      <c r="AR47" s="8">
        <v>798</v>
      </c>
      <c r="AS47" s="202">
        <v>16161</v>
      </c>
      <c r="AT47" s="54">
        <v>567</v>
      </c>
      <c r="AU47" s="8">
        <v>818.8</v>
      </c>
      <c r="AV47" s="8">
        <v>434</v>
      </c>
      <c r="AW47" s="8">
        <v>1027</v>
      </c>
      <c r="AX47" s="8">
        <v>198</v>
      </c>
      <c r="AY47" s="8">
        <v>16161</v>
      </c>
      <c r="AZ47" s="8">
        <v>1027</v>
      </c>
      <c r="BA47" s="8">
        <v>890</v>
      </c>
      <c r="BB47" s="8">
        <v>453</v>
      </c>
      <c r="BC47" s="8">
        <v>341</v>
      </c>
      <c r="BD47" s="8">
        <v>546</v>
      </c>
      <c r="BE47" s="8">
        <v>160</v>
      </c>
      <c r="BF47" s="202">
        <v>16161</v>
      </c>
    </row>
    <row r="48" spans="1:58" ht="14.25" x14ac:dyDescent="0.45">
      <c r="A48" t="s">
        <v>341</v>
      </c>
      <c r="B48" t="s">
        <v>342</v>
      </c>
      <c r="C48" t="s">
        <v>252</v>
      </c>
      <c r="D48" t="s">
        <v>193</v>
      </c>
      <c r="E48" t="s">
        <v>343</v>
      </c>
      <c r="F48" s="54">
        <v>4864</v>
      </c>
      <c r="G48" s="8">
        <v>79652</v>
      </c>
      <c r="H48" s="8">
        <v>84516</v>
      </c>
      <c r="I48" s="126">
        <v>0</v>
      </c>
      <c r="J48" s="8">
        <v>11991</v>
      </c>
      <c r="K48" s="8">
        <v>0</v>
      </c>
      <c r="L48" s="8">
        <v>0</v>
      </c>
      <c r="M48" s="8">
        <v>0</v>
      </c>
      <c r="N48" s="8">
        <v>0</v>
      </c>
      <c r="O48" s="8">
        <v>0</v>
      </c>
      <c r="P48" s="8">
        <v>0</v>
      </c>
      <c r="Q48" s="8">
        <v>0</v>
      </c>
      <c r="R48" s="8">
        <v>0</v>
      </c>
      <c r="S48" s="8">
        <v>11991</v>
      </c>
      <c r="T48" s="8">
        <v>11991</v>
      </c>
      <c r="U48" s="126">
        <v>0</v>
      </c>
      <c r="V48" s="8">
        <v>4</v>
      </c>
      <c r="W48" s="8">
        <v>0</v>
      </c>
      <c r="X48" s="8">
        <v>0</v>
      </c>
      <c r="Y48" s="8">
        <v>0</v>
      </c>
      <c r="Z48" s="8">
        <v>0</v>
      </c>
      <c r="AA48" s="8">
        <v>0</v>
      </c>
      <c r="AB48" s="8">
        <v>0</v>
      </c>
      <c r="AC48" s="8">
        <v>0</v>
      </c>
      <c r="AD48" s="8">
        <v>0</v>
      </c>
      <c r="AE48" s="8">
        <v>4</v>
      </c>
      <c r="AF48" s="8">
        <v>5</v>
      </c>
      <c r="AG48" s="54">
        <v>0</v>
      </c>
      <c r="AH48" s="8">
        <v>2855</v>
      </c>
      <c r="AI48" s="8">
        <v>0</v>
      </c>
      <c r="AJ48" s="8">
        <v>0</v>
      </c>
      <c r="AK48" s="8">
        <v>0</v>
      </c>
      <c r="AL48" s="8">
        <v>0</v>
      </c>
      <c r="AM48" s="8">
        <v>0</v>
      </c>
      <c r="AN48" s="8">
        <v>0</v>
      </c>
      <c r="AO48" s="8">
        <v>0</v>
      </c>
      <c r="AP48" s="8">
        <v>0</v>
      </c>
      <c r="AQ48" s="8">
        <v>2855</v>
      </c>
      <c r="AR48" s="8">
        <v>0</v>
      </c>
      <c r="AS48" s="202">
        <v>2855</v>
      </c>
      <c r="AT48" s="54">
        <v>0</v>
      </c>
      <c r="AU48" s="8">
        <v>2855</v>
      </c>
      <c r="AV48" s="8">
        <v>0</v>
      </c>
      <c r="AW48" s="8">
        <v>0</v>
      </c>
      <c r="AX48" s="8">
        <v>0</v>
      </c>
      <c r="AY48" s="8">
        <v>0</v>
      </c>
      <c r="AZ48" s="8">
        <v>0</v>
      </c>
      <c r="BA48" s="8">
        <v>0</v>
      </c>
      <c r="BB48" s="8">
        <v>0</v>
      </c>
      <c r="BC48" s="8">
        <v>0</v>
      </c>
      <c r="BD48" s="8">
        <v>2855</v>
      </c>
      <c r="BE48" s="8">
        <v>0</v>
      </c>
      <c r="BF48" s="202">
        <v>2855</v>
      </c>
    </row>
    <row r="49" spans="1:58" ht="14.25" x14ac:dyDescent="0.45">
      <c r="A49" t="s">
        <v>341</v>
      </c>
      <c r="B49" t="s">
        <v>342</v>
      </c>
      <c r="C49" t="s">
        <v>254</v>
      </c>
      <c r="D49" t="s">
        <v>196</v>
      </c>
      <c r="E49" t="s">
        <v>344</v>
      </c>
      <c r="F49" s="54">
        <v>509</v>
      </c>
      <c r="G49" s="8">
        <v>5332</v>
      </c>
      <c r="H49" s="8">
        <v>5841</v>
      </c>
      <c r="I49" s="126">
        <v>63</v>
      </c>
      <c r="J49" s="8">
        <v>695</v>
      </c>
      <c r="K49" s="8">
        <v>405</v>
      </c>
      <c r="L49" s="8">
        <v>484</v>
      </c>
      <c r="M49" s="8">
        <v>384</v>
      </c>
      <c r="N49" s="8">
        <v>509</v>
      </c>
      <c r="O49" s="8">
        <v>484</v>
      </c>
      <c r="P49" s="8">
        <v>216</v>
      </c>
      <c r="Q49" s="8">
        <v>143</v>
      </c>
      <c r="R49" s="8">
        <v>249</v>
      </c>
      <c r="S49" s="8">
        <v>695</v>
      </c>
      <c r="T49" s="8">
        <v>955</v>
      </c>
      <c r="U49" s="126">
        <v>4</v>
      </c>
      <c r="V49" s="8">
        <v>4</v>
      </c>
      <c r="W49" s="8">
        <v>4</v>
      </c>
      <c r="X49" s="8">
        <v>4</v>
      </c>
      <c r="Y49" s="8">
        <v>4</v>
      </c>
      <c r="Z49" s="8">
        <v>3</v>
      </c>
      <c r="AA49" s="8">
        <v>4</v>
      </c>
      <c r="AB49" s="8">
        <v>4</v>
      </c>
      <c r="AC49" s="8">
        <v>3</v>
      </c>
      <c r="AD49" s="8">
        <v>4</v>
      </c>
      <c r="AE49" s="8">
        <v>4</v>
      </c>
      <c r="AF49" s="8">
        <v>4</v>
      </c>
      <c r="AG49" s="54">
        <v>57</v>
      </c>
      <c r="AH49" s="8">
        <v>401</v>
      </c>
      <c r="AI49" s="8">
        <v>91</v>
      </c>
      <c r="AJ49" s="8">
        <v>290</v>
      </c>
      <c r="AK49" s="8">
        <v>261</v>
      </c>
      <c r="AL49" s="8">
        <v>127</v>
      </c>
      <c r="AM49" s="8">
        <v>290</v>
      </c>
      <c r="AN49" s="8">
        <v>90</v>
      </c>
      <c r="AO49" s="8">
        <v>29</v>
      </c>
      <c r="AP49" s="8">
        <v>178</v>
      </c>
      <c r="AQ49" s="8">
        <v>330</v>
      </c>
      <c r="AR49" s="8">
        <v>0</v>
      </c>
      <c r="AS49" s="202">
        <v>513</v>
      </c>
      <c r="AT49" s="54">
        <v>57</v>
      </c>
      <c r="AU49" s="8">
        <v>223</v>
      </c>
      <c r="AV49" s="8">
        <v>91</v>
      </c>
      <c r="AW49" s="8">
        <v>290</v>
      </c>
      <c r="AX49" s="8">
        <v>261</v>
      </c>
      <c r="AY49" s="8">
        <v>25</v>
      </c>
      <c r="AZ49" s="8">
        <v>290</v>
      </c>
      <c r="BA49" s="8">
        <v>90</v>
      </c>
      <c r="BB49" s="8">
        <v>6</v>
      </c>
      <c r="BC49" s="8">
        <v>178</v>
      </c>
      <c r="BD49" s="8">
        <v>152</v>
      </c>
      <c r="BE49" s="8">
        <v>0</v>
      </c>
      <c r="BF49" s="202">
        <v>335</v>
      </c>
    </row>
    <row r="50" spans="1:58" ht="14.25" x14ac:dyDescent="0.45">
      <c r="A50" t="s">
        <v>341</v>
      </c>
      <c r="B50" t="s">
        <v>342</v>
      </c>
      <c r="C50" t="s">
        <v>256</v>
      </c>
      <c r="D50" t="s">
        <v>199</v>
      </c>
      <c r="E50" t="s">
        <v>345</v>
      </c>
      <c r="F50" s="54">
        <v>22199</v>
      </c>
      <c r="G50" s="8">
        <v>0</v>
      </c>
      <c r="H50" s="8">
        <v>22199</v>
      </c>
      <c r="I50" s="126">
        <v>4886</v>
      </c>
      <c r="J50" s="8">
        <v>4626</v>
      </c>
      <c r="K50" s="8">
        <v>17641</v>
      </c>
      <c r="L50" s="8">
        <v>19102</v>
      </c>
      <c r="M50" s="8">
        <v>13036</v>
      </c>
      <c r="N50" s="8">
        <v>15630</v>
      </c>
      <c r="O50" s="8">
        <v>19102</v>
      </c>
      <c r="P50" s="8">
        <v>10736</v>
      </c>
      <c r="Q50" s="8">
        <v>6216</v>
      </c>
      <c r="R50" s="8">
        <v>4626</v>
      </c>
      <c r="S50" s="8">
        <v>4626</v>
      </c>
      <c r="T50" s="8">
        <v>19102</v>
      </c>
      <c r="U50" s="126">
        <v>3</v>
      </c>
      <c r="V50" s="8">
        <v>3</v>
      </c>
      <c r="W50" s="8">
        <v>4</v>
      </c>
      <c r="X50" s="8">
        <v>3</v>
      </c>
      <c r="Y50" s="8">
        <v>4</v>
      </c>
      <c r="Z50" s="8">
        <v>3</v>
      </c>
      <c r="AA50" s="8">
        <v>3</v>
      </c>
      <c r="AB50" s="8">
        <v>3</v>
      </c>
      <c r="AC50" s="8">
        <v>3</v>
      </c>
      <c r="AD50" s="8">
        <v>3</v>
      </c>
      <c r="AE50" s="8">
        <v>3</v>
      </c>
      <c r="AF50" s="8">
        <v>3</v>
      </c>
      <c r="AG50" s="54">
        <v>2199</v>
      </c>
      <c r="AH50" s="8">
        <v>4481</v>
      </c>
      <c r="AI50" s="8">
        <v>1193</v>
      </c>
      <c r="AJ50" s="8">
        <v>3401</v>
      </c>
      <c r="AK50" s="8">
        <v>1242</v>
      </c>
      <c r="AL50" s="8">
        <v>3908</v>
      </c>
      <c r="AM50" s="8">
        <v>2865</v>
      </c>
      <c r="AN50" s="8">
        <v>3401</v>
      </c>
      <c r="AO50" s="8">
        <v>1243</v>
      </c>
      <c r="AP50" s="8">
        <v>2168</v>
      </c>
      <c r="AQ50" s="8">
        <v>2313</v>
      </c>
      <c r="AR50" s="8">
        <v>384</v>
      </c>
      <c r="AS50" s="202">
        <v>4481</v>
      </c>
      <c r="AT50" s="54">
        <v>440</v>
      </c>
      <c r="AU50" s="8">
        <v>810.2</v>
      </c>
      <c r="AV50" s="8">
        <v>1193</v>
      </c>
      <c r="AW50" s="8">
        <v>680</v>
      </c>
      <c r="AX50" s="8">
        <v>1242</v>
      </c>
      <c r="AY50" s="8">
        <v>782</v>
      </c>
      <c r="AZ50" s="8">
        <v>573</v>
      </c>
      <c r="BA50" s="8">
        <v>680</v>
      </c>
      <c r="BB50" s="8">
        <v>249</v>
      </c>
      <c r="BC50" s="8">
        <v>434</v>
      </c>
      <c r="BD50" s="8">
        <v>463</v>
      </c>
      <c r="BE50" s="8">
        <v>77</v>
      </c>
      <c r="BF50" s="202">
        <v>1242</v>
      </c>
    </row>
    <row r="51" spans="1:58" ht="14.25" x14ac:dyDescent="0.45">
      <c r="A51" t="s">
        <v>346</v>
      </c>
      <c r="B51" t="s">
        <v>347</v>
      </c>
      <c r="C51" t="s">
        <v>245</v>
      </c>
      <c r="D51" t="s">
        <v>199</v>
      </c>
      <c r="E51" t="s">
        <v>348</v>
      </c>
      <c r="F51" s="54">
        <v>213148</v>
      </c>
      <c r="G51" s="8">
        <v>0</v>
      </c>
      <c r="H51" s="8">
        <v>213148</v>
      </c>
      <c r="I51" s="126">
        <v>42649</v>
      </c>
      <c r="J51" s="8">
        <v>57633</v>
      </c>
      <c r="K51" s="8">
        <v>169383</v>
      </c>
      <c r="L51" s="8">
        <v>184996</v>
      </c>
      <c r="M51" s="8">
        <v>104809</v>
      </c>
      <c r="N51" s="8">
        <v>171498</v>
      </c>
      <c r="O51" s="8">
        <v>184996</v>
      </c>
      <c r="P51" s="8">
        <v>86104</v>
      </c>
      <c r="Q51" s="8">
        <v>59681</v>
      </c>
      <c r="R51" s="8">
        <v>57633</v>
      </c>
      <c r="S51" s="8">
        <v>57633</v>
      </c>
      <c r="T51" s="8">
        <v>184996</v>
      </c>
      <c r="U51" s="126">
        <v>3</v>
      </c>
      <c r="V51" s="8">
        <v>3</v>
      </c>
      <c r="W51" s="8">
        <v>4</v>
      </c>
      <c r="X51" s="8">
        <v>3</v>
      </c>
      <c r="Y51" s="8">
        <v>3</v>
      </c>
      <c r="Z51" s="8">
        <v>3</v>
      </c>
      <c r="AA51" s="8">
        <v>3</v>
      </c>
      <c r="AB51" s="8">
        <v>3</v>
      </c>
      <c r="AC51" s="8">
        <v>3</v>
      </c>
      <c r="AD51" s="8">
        <v>3</v>
      </c>
      <c r="AE51" s="8">
        <v>3</v>
      </c>
      <c r="AF51" s="8">
        <v>3</v>
      </c>
      <c r="AG51" s="54">
        <v>19192</v>
      </c>
      <c r="AH51" s="8">
        <v>23417</v>
      </c>
      <c r="AI51" s="8">
        <v>11453</v>
      </c>
      <c r="AJ51" s="8">
        <v>27749</v>
      </c>
      <c r="AK51" s="8">
        <v>5240</v>
      </c>
      <c r="AL51" s="8">
        <v>42875</v>
      </c>
      <c r="AM51" s="8">
        <v>27749</v>
      </c>
      <c r="AN51" s="8">
        <v>22236</v>
      </c>
      <c r="AO51" s="8">
        <v>11936</v>
      </c>
      <c r="AP51" s="8">
        <v>9005</v>
      </c>
      <c r="AQ51" s="8">
        <v>14412</v>
      </c>
      <c r="AR51" s="8">
        <v>3597</v>
      </c>
      <c r="AS51" s="202">
        <v>42875</v>
      </c>
      <c r="AT51" s="54">
        <v>3838</v>
      </c>
      <c r="AU51" s="8">
        <v>4322.8</v>
      </c>
      <c r="AV51" s="8">
        <v>11453</v>
      </c>
      <c r="AW51" s="8">
        <v>5550</v>
      </c>
      <c r="AX51" s="8">
        <v>1048</v>
      </c>
      <c r="AY51" s="8">
        <v>8575</v>
      </c>
      <c r="AZ51" s="8">
        <v>5550</v>
      </c>
      <c r="BA51" s="8">
        <v>4447</v>
      </c>
      <c r="BB51" s="8">
        <v>2387</v>
      </c>
      <c r="BC51" s="8">
        <v>1801</v>
      </c>
      <c r="BD51" s="8">
        <v>2882</v>
      </c>
      <c r="BE51" s="8">
        <v>719</v>
      </c>
      <c r="BF51" s="202">
        <v>11453</v>
      </c>
    </row>
    <row r="52" spans="1:58" ht="14.25" x14ac:dyDescent="0.45">
      <c r="A52" t="s">
        <v>33</v>
      </c>
      <c r="B52" t="s">
        <v>191</v>
      </c>
      <c r="C52" t="s">
        <v>192</v>
      </c>
      <c r="D52" t="s">
        <v>193</v>
      </c>
      <c r="E52" t="s">
        <v>194</v>
      </c>
      <c r="F52" s="54">
        <v>7414</v>
      </c>
      <c r="G52" s="8">
        <v>224914</v>
      </c>
      <c r="H52" s="8">
        <v>232328</v>
      </c>
      <c r="I52" s="126"/>
      <c r="J52" s="8"/>
      <c r="K52" s="8"/>
      <c r="L52" s="8"/>
      <c r="M52" s="8"/>
      <c r="N52" s="8"/>
      <c r="O52" s="8"/>
      <c r="P52" s="8"/>
      <c r="Q52" s="8"/>
      <c r="R52" s="8"/>
      <c r="S52" s="8"/>
      <c r="T52" s="8">
        <v>7414</v>
      </c>
      <c r="U52" s="126"/>
      <c r="V52" s="8"/>
      <c r="W52" s="8"/>
      <c r="X52" s="8"/>
      <c r="Y52" s="8"/>
      <c r="Z52" s="8"/>
      <c r="AA52" s="8"/>
      <c r="AB52" s="8"/>
      <c r="AC52" s="8"/>
      <c r="AD52" s="8"/>
      <c r="AE52" s="8"/>
      <c r="AF52" s="8">
        <v>5</v>
      </c>
      <c r="AG52" s="54"/>
      <c r="AH52" s="8"/>
      <c r="AI52" s="8"/>
      <c r="AJ52" s="8"/>
      <c r="AK52" s="8"/>
      <c r="AL52" s="8"/>
      <c r="AM52" s="8"/>
      <c r="AN52" s="8"/>
      <c r="AO52" s="8"/>
      <c r="AP52" s="8"/>
      <c r="AQ52" s="8"/>
      <c r="AR52" s="8"/>
      <c r="AS52" s="202">
        <v>1207</v>
      </c>
      <c r="AT52" s="54"/>
      <c r="AU52" s="8"/>
      <c r="AV52" s="8"/>
      <c r="AW52" s="8"/>
      <c r="AX52" s="8"/>
      <c r="AY52" s="8"/>
      <c r="AZ52" s="8"/>
      <c r="BA52" s="8"/>
      <c r="BB52" s="8"/>
      <c r="BC52" s="8"/>
      <c r="BD52" s="8"/>
      <c r="BE52" s="8"/>
      <c r="BF52" s="202">
        <v>1207</v>
      </c>
    </row>
    <row r="53" spans="1:58" ht="15" customHeight="1" x14ac:dyDescent="0.45">
      <c r="A53" t="s">
        <v>33</v>
      </c>
      <c r="B53" t="s">
        <v>191</v>
      </c>
      <c r="C53" t="s">
        <v>195</v>
      </c>
      <c r="D53" t="s">
        <v>196</v>
      </c>
      <c r="E53" t="s">
        <v>197</v>
      </c>
      <c r="F53" s="54">
        <v>10647</v>
      </c>
      <c r="G53" s="8">
        <v>225310</v>
      </c>
      <c r="H53" s="8">
        <v>235957</v>
      </c>
      <c r="I53" s="126"/>
      <c r="J53" s="8"/>
      <c r="K53" s="8"/>
      <c r="L53" s="8"/>
      <c r="M53" s="8"/>
      <c r="N53" s="8"/>
      <c r="O53" s="8"/>
      <c r="P53" s="8"/>
      <c r="Q53" s="8"/>
      <c r="R53" s="8"/>
      <c r="S53" s="8"/>
      <c r="T53" s="8">
        <v>10647</v>
      </c>
      <c r="U53" s="126"/>
      <c r="V53" s="8"/>
      <c r="W53" s="8"/>
      <c r="X53" s="8"/>
      <c r="Y53" s="8"/>
      <c r="Z53" s="8"/>
      <c r="AA53" s="8"/>
      <c r="AB53" s="8"/>
      <c r="AC53" s="8"/>
      <c r="AD53" s="8"/>
      <c r="AE53" s="8"/>
      <c r="AF53" s="8">
        <v>4</v>
      </c>
      <c r="AG53" s="54"/>
      <c r="AH53" s="8"/>
      <c r="AI53" s="8"/>
      <c r="AJ53" s="8"/>
      <c r="AK53" s="8"/>
      <c r="AL53" s="8"/>
      <c r="AM53" s="8"/>
      <c r="AN53" s="8"/>
      <c r="AO53" s="8"/>
      <c r="AP53" s="8"/>
      <c r="AQ53" s="8"/>
      <c r="AR53" s="8"/>
      <c r="AS53" s="202">
        <v>1734</v>
      </c>
      <c r="AT53" s="54"/>
      <c r="AU53" s="8"/>
      <c r="AV53" s="8"/>
      <c r="AW53" s="8"/>
      <c r="AX53" s="8"/>
      <c r="AY53" s="8"/>
      <c r="AZ53" s="8"/>
      <c r="BA53" s="8"/>
      <c r="BB53" s="8"/>
      <c r="BC53" s="8"/>
      <c r="BD53" s="8"/>
      <c r="BE53" s="8"/>
      <c r="BF53" s="202">
        <v>1734</v>
      </c>
    </row>
    <row r="54" spans="1:58" ht="15" customHeight="1" x14ac:dyDescent="0.45">
      <c r="A54" t="s">
        <v>33</v>
      </c>
      <c r="B54" t="s">
        <v>191</v>
      </c>
      <c r="C54" t="s">
        <v>198</v>
      </c>
      <c r="D54" t="s">
        <v>199</v>
      </c>
      <c r="E54" t="s">
        <v>200</v>
      </c>
      <c r="F54" s="54">
        <v>15802</v>
      </c>
      <c r="G54" s="8">
        <v>0</v>
      </c>
      <c r="H54" s="8">
        <v>15802</v>
      </c>
      <c r="I54" s="126"/>
      <c r="J54" s="8"/>
      <c r="K54" s="8"/>
      <c r="L54" s="8"/>
      <c r="M54" s="8"/>
      <c r="N54" s="8"/>
      <c r="O54" s="8"/>
      <c r="P54" s="8"/>
      <c r="Q54" s="8"/>
      <c r="R54" s="8"/>
      <c r="S54" s="8"/>
      <c r="T54" s="8">
        <v>15802</v>
      </c>
      <c r="U54" s="126"/>
      <c r="V54" s="8"/>
      <c r="W54" s="8"/>
      <c r="X54" s="8"/>
      <c r="Y54" s="8"/>
      <c r="Z54" s="8"/>
      <c r="AA54" s="8"/>
      <c r="AB54" s="8"/>
      <c r="AC54" s="8"/>
      <c r="AD54" s="8"/>
      <c r="AE54" s="8"/>
      <c r="AF54" s="8">
        <v>4</v>
      </c>
      <c r="AG54" s="54"/>
      <c r="AH54" s="8"/>
      <c r="AI54" s="8"/>
      <c r="AJ54" s="8"/>
      <c r="AK54" s="8"/>
      <c r="AL54" s="8"/>
      <c r="AM54" s="8"/>
      <c r="AN54" s="8"/>
      <c r="AO54" s="8"/>
      <c r="AP54" s="8"/>
      <c r="AQ54" s="8"/>
      <c r="AR54" s="8"/>
      <c r="AS54" s="202">
        <v>1350</v>
      </c>
      <c r="AT54" s="54"/>
      <c r="AU54" s="8"/>
      <c r="AV54" s="8"/>
      <c r="AW54" s="8"/>
      <c r="AX54" s="8"/>
      <c r="AY54" s="8"/>
      <c r="AZ54" s="8"/>
      <c r="BA54" s="8"/>
      <c r="BB54" s="8"/>
      <c r="BC54" s="8"/>
      <c r="BD54" s="8"/>
      <c r="BE54" s="8"/>
      <c r="BF54" s="202">
        <v>1350</v>
      </c>
    </row>
    <row r="55" spans="1:58" ht="15" customHeight="1" x14ac:dyDescent="0.45">
      <c r="A55" t="s">
        <v>33</v>
      </c>
      <c r="B55" t="s">
        <v>191</v>
      </c>
      <c r="C55" t="s">
        <v>201</v>
      </c>
      <c r="D55" t="s">
        <v>199</v>
      </c>
      <c r="E55" t="s">
        <v>202</v>
      </c>
      <c r="F55" s="54">
        <v>9893</v>
      </c>
      <c r="G55" s="8">
        <v>0</v>
      </c>
      <c r="H55" s="8">
        <v>9893</v>
      </c>
      <c r="I55" s="126"/>
      <c r="J55" s="8"/>
      <c r="K55" s="8"/>
      <c r="L55" s="8"/>
      <c r="M55" s="8"/>
      <c r="N55" s="8"/>
      <c r="O55" s="8"/>
      <c r="P55" s="8"/>
      <c r="Q55" s="8"/>
      <c r="R55" s="8"/>
      <c r="S55" s="8"/>
      <c r="T55" s="8">
        <v>9893</v>
      </c>
      <c r="U55" s="126"/>
      <c r="V55" s="8"/>
      <c r="W55" s="8"/>
      <c r="X55" s="8"/>
      <c r="Y55" s="8"/>
      <c r="Z55" s="8"/>
      <c r="AA55" s="8"/>
      <c r="AB55" s="8"/>
      <c r="AC55" s="8"/>
      <c r="AD55" s="8"/>
      <c r="AE55" s="8"/>
      <c r="AF55" s="8">
        <v>3</v>
      </c>
      <c r="AG55" s="54"/>
      <c r="AH55" s="8"/>
      <c r="AI55" s="8"/>
      <c r="AJ55" s="8"/>
      <c r="AK55" s="8"/>
      <c r="AL55" s="8"/>
      <c r="AM55" s="8"/>
      <c r="AN55" s="8"/>
      <c r="AO55" s="8"/>
      <c r="AP55" s="8"/>
      <c r="AQ55" s="8"/>
      <c r="AR55" s="8"/>
      <c r="AS55" s="202">
        <v>1979</v>
      </c>
      <c r="AT55" s="54"/>
      <c r="AU55" s="8"/>
      <c r="AV55" s="8"/>
      <c r="AW55" s="8"/>
      <c r="AX55" s="8"/>
      <c r="AY55" s="8"/>
      <c r="AZ55" s="8"/>
      <c r="BA55" s="8"/>
      <c r="BB55" s="8"/>
      <c r="BC55" s="8"/>
      <c r="BD55" s="8"/>
      <c r="BE55" s="8"/>
      <c r="BF55" s="202">
        <v>396</v>
      </c>
    </row>
    <row r="56" spans="1:58" ht="15" customHeight="1" x14ac:dyDescent="0.45">
      <c r="A56" t="s">
        <v>141</v>
      </c>
      <c r="F56" s="20">
        <f>SUBTOTAL(109,overall_SP4[idp_aff_sp4])</f>
        <v>2465936</v>
      </c>
      <c r="G56" s="13">
        <f>SUBTOTAL(109,overall_SP4[ndp_aff_sp4])</f>
        <v>2783028</v>
      </c>
      <c r="H56" s="13">
        <f>SUBTOTAL(109,overall_SP4[overall_aff_sp4])</f>
        <v>5248964</v>
      </c>
      <c r="I56" s="127"/>
      <c r="J56" s="14"/>
      <c r="K56" s="14"/>
      <c r="L56" s="14"/>
      <c r="M56" s="14"/>
      <c r="N56" s="14"/>
      <c r="O56" s="14"/>
      <c r="P56" s="14"/>
      <c r="Q56" s="14"/>
      <c r="R56" s="14"/>
      <c r="S56" s="14"/>
      <c r="T56" s="13">
        <f>SUBTOTAL(109,overall_SP4[sp4_overall_pin_adopted])</f>
        <v>2672383</v>
      </c>
      <c r="U56" s="123"/>
      <c r="V56" s="12"/>
      <c r="W56" s="12"/>
      <c r="X56" s="12"/>
      <c r="Y56" s="12"/>
      <c r="Z56" s="12"/>
      <c r="AA56" s="12"/>
      <c r="AB56" s="12"/>
      <c r="AC56" s="12"/>
      <c r="AD56" s="12"/>
      <c r="AE56" s="12"/>
      <c r="AF56" s="11"/>
      <c r="AG56" s="209"/>
      <c r="AH56" s="210"/>
      <c r="AI56" s="210"/>
      <c r="AJ56" s="210"/>
      <c r="AK56" s="210"/>
      <c r="AL56" s="210"/>
      <c r="AM56" s="210"/>
      <c r="AN56" s="210"/>
      <c r="AO56" s="210"/>
      <c r="AP56" s="210"/>
      <c r="AQ56" s="210"/>
      <c r="AR56" s="210"/>
      <c r="AS56" s="211">
        <f>SUBTOTAL(109,overall_SP4[sp4_overall_target_joint])</f>
        <v>1081961</v>
      </c>
      <c r="AT56" s="209"/>
      <c r="AU56" s="210"/>
      <c r="AV56" s="210"/>
      <c r="AW56" s="210"/>
      <c r="AX56" s="210"/>
      <c r="AY56" s="210"/>
      <c r="AZ56" s="210"/>
      <c r="BA56" s="210"/>
      <c r="BB56" s="210"/>
      <c r="BC56" s="210"/>
      <c r="BD56" s="210"/>
      <c r="BE56" s="210"/>
      <c r="BF56" s="211">
        <f>SUBTOTAL(109,overall_SP4[sp4_overall_targetPr_joint])</f>
        <v>976609</v>
      </c>
    </row>
    <row r="60" spans="1:58" s="66" customFormat="1" ht="15" customHeight="1" x14ac:dyDescent="0.5">
      <c r="AG60" s="98"/>
      <c r="AH60" s="98"/>
      <c r="AI60" s="98"/>
      <c r="AJ60" s="98"/>
      <c r="AK60" s="98"/>
      <c r="AL60" s="98"/>
      <c r="AM60" s="98"/>
      <c r="AN60" s="98"/>
      <c r="AO60" s="98"/>
      <c r="AP60" s="98"/>
      <c r="AQ60" s="98"/>
      <c r="AR60" s="98"/>
      <c r="AS60" s="98"/>
    </row>
    <row r="61" spans="1:58" s="66" customFormat="1" ht="15" customHeight="1" x14ac:dyDescent="0.5">
      <c r="AG61" s="99"/>
      <c r="AH61" s="99"/>
      <c r="AI61" s="99"/>
      <c r="AJ61" s="99"/>
      <c r="AK61" s="99"/>
      <c r="AL61" s="99"/>
      <c r="AM61" s="99"/>
      <c r="AN61" s="99"/>
      <c r="AO61" s="99"/>
      <c r="AP61" s="99"/>
      <c r="AQ61" s="99"/>
      <c r="AR61" s="99"/>
      <c r="AS61" s="99"/>
    </row>
  </sheetData>
  <mergeCells count="1">
    <mergeCell ref="T5:T6"/>
  </mergeCell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DEB72-C2BE-4336-9298-CFED866481D7}">
  <sheetPr codeName="Sheet19"/>
  <dimension ref="A1:BF56"/>
  <sheetViews>
    <sheetView showGridLines="0" zoomScaleNormal="100" workbookViewId="0">
      <pane xSplit="5" ySplit="7" topLeftCell="F8" activePane="bottomRight" state="frozenSplit"/>
      <selection pane="topRight" activeCell="F1" sqref="F1"/>
      <selection pane="bottomLeft" activeCell="A18" sqref="A18"/>
      <selection pane="bottomRight"/>
    </sheetView>
  </sheetViews>
  <sheetFormatPr defaultRowHeight="15" customHeight="1" x14ac:dyDescent="0.45"/>
  <cols>
    <col min="1" max="1" width="19.53125" customWidth="1"/>
    <col min="2" max="2" width="12.1328125" customWidth="1"/>
    <col min="3" max="3" width="14.3984375" customWidth="1"/>
    <col min="4" max="4" width="11.86328125" customWidth="1"/>
    <col min="5" max="5" width="14.1328125" customWidth="1"/>
    <col min="6" max="8" width="12.1328125" customWidth="1"/>
    <col min="9" max="9" width="7.53125" customWidth="1"/>
    <col min="10" max="10" width="10.3984375" customWidth="1"/>
    <col min="11" max="11" width="9.3984375" customWidth="1"/>
    <col min="12" max="12" width="9.53125" customWidth="1"/>
    <col min="13" max="13" width="8.6640625" customWidth="1"/>
    <col min="14" max="14" width="9.1328125" customWidth="1"/>
    <col min="15" max="17" width="9" customWidth="1"/>
    <col min="18" max="18" width="9.1328125" customWidth="1"/>
    <col min="19" max="19" width="9" customWidth="1"/>
    <col min="20" max="20" width="11.53125" customWidth="1"/>
    <col min="21" max="31" width="6.6640625" customWidth="1"/>
    <col min="32" max="32" width="10.6640625" customWidth="1"/>
    <col min="33" max="33" width="11.3984375" bestFit="1" customWidth="1"/>
    <col min="34" max="34" width="10.1328125" bestFit="1" customWidth="1"/>
    <col min="35" max="35" width="9.3984375" bestFit="1" customWidth="1"/>
    <col min="36" max="40" width="10.53125" bestFit="1" customWidth="1"/>
    <col min="41" max="41" width="9.3984375" bestFit="1" customWidth="1"/>
    <col min="42" max="42" width="10.1328125" customWidth="1"/>
    <col min="43" max="43" width="10.1328125" bestFit="1" customWidth="1"/>
    <col min="44" max="44" width="9.3984375" bestFit="1" customWidth="1"/>
    <col min="45" max="45" width="10.53125" bestFit="1" customWidth="1"/>
  </cols>
  <sheetData>
    <row r="1" spans="1:58" ht="15" customHeight="1" x14ac:dyDescent="0.45">
      <c r="A1" s="296" t="s">
        <v>730</v>
      </c>
    </row>
    <row r="2" spans="1:58" ht="19.899999999999999" x14ac:dyDescent="0.45">
      <c r="A2" s="297" t="s">
        <v>4286</v>
      </c>
      <c r="I2" s="50"/>
      <c r="J2" s="50"/>
      <c r="K2" s="50"/>
      <c r="L2" s="50"/>
      <c r="M2" s="50"/>
      <c r="N2" s="50"/>
      <c r="O2" s="50"/>
      <c r="P2" s="50"/>
      <c r="Q2" s="50"/>
      <c r="R2" s="50"/>
      <c r="S2" s="141"/>
    </row>
    <row r="3" spans="1:58" ht="14.25" x14ac:dyDescent="0.45">
      <c r="A3" s="5" t="str">
        <f>ActivityList!A3</f>
        <v>Release Date: 13 January 2026</v>
      </c>
      <c r="I3" s="48" t="str">
        <f>"sp1_overall_pin_"&amp;I4</f>
        <v>sp1_overall_pin_ed</v>
      </c>
      <c r="J3" s="48" t="str">
        <f t="shared" ref="J3:Q3" si="0">"sp1_overall_pin_"&amp;J4</f>
        <v>sp1_overall_pin_fs</v>
      </c>
      <c r="K3" s="48" t="str">
        <f t="shared" si="0"/>
        <v>sp1_overall_pin_he</v>
      </c>
      <c r="L3" s="48" t="str">
        <f t="shared" si="0"/>
        <v>sp1_overall_pin_pr</v>
      </c>
      <c r="M3" s="48" t="str">
        <f t="shared" si="0"/>
        <v>sp1_overall_pin_sn</v>
      </c>
      <c r="N3" s="48" t="str">
        <f t="shared" si="0"/>
        <v>sp1_overall_pin_wa</v>
      </c>
      <c r="O3" s="48" t="str">
        <f t="shared" si="0"/>
        <v>sp1_overall_pin_gp</v>
      </c>
      <c r="P3" s="48" t="str">
        <f t="shared" si="0"/>
        <v>sp1_overall_pin_cp</v>
      </c>
      <c r="Q3" s="48" t="str">
        <f t="shared" si="0"/>
        <v>sp1_overall_pin_gb</v>
      </c>
      <c r="R3" s="48"/>
      <c r="S3" s="141"/>
      <c r="AH3" s="145"/>
    </row>
    <row r="4" spans="1:58" ht="15.75" x14ac:dyDescent="0.5">
      <c r="F4" s="34"/>
      <c r="G4" s="34"/>
      <c r="H4" s="34"/>
      <c r="I4" s="49" t="s">
        <v>154</v>
      </c>
      <c r="J4" s="49" t="s">
        <v>155</v>
      </c>
      <c r="K4" s="49" t="s">
        <v>156</v>
      </c>
      <c r="L4" s="49" t="s">
        <v>157</v>
      </c>
      <c r="M4" s="49" t="s">
        <v>382</v>
      </c>
      <c r="N4" s="49" t="s">
        <v>158</v>
      </c>
      <c r="O4" s="49" t="s">
        <v>478</v>
      </c>
      <c r="P4" s="49" t="s">
        <v>479</v>
      </c>
      <c r="Q4" s="49" t="s">
        <v>480</v>
      </c>
      <c r="R4" s="49"/>
      <c r="S4" s="49"/>
      <c r="T4" s="34"/>
    </row>
    <row r="5" spans="1:58" ht="16.25" customHeight="1" x14ac:dyDescent="0.45">
      <c r="A5" s="2" t="s">
        <v>159</v>
      </c>
      <c r="B5" s="2"/>
      <c r="C5" s="2" t="s">
        <v>160</v>
      </c>
      <c r="D5" s="2"/>
      <c r="E5" s="2"/>
      <c r="F5" s="37" t="s">
        <v>481</v>
      </c>
      <c r="G5" s="38"/>
      <c r="H5" s="39"/>
      <c r="I5" s="43" t="s">
        <v>224</v>
      </c>
      <c r="J5" s="43"/>
      <c r="K5" s="43"/>
      <c r="L5" s="43"/>
      <c r="M5" s="43"/>
      <c r="N5" s="43"/>
      <c r="O5" s="102" t="s">
        <v>351</v>
      </c>
      <c r="P5" s="43"/>
      <c r="Q5" s="43"/>
      <c r="R5" s="102" t="s">
        <v>352</v>
      </c>
      <c r="S5" s="43"/>
      <c r="T5" s="379" t="s">
        <v>485</v>
      </c>
      <c r="U5" s="35" t="s">
        <v>350</v>
      </c>
      <c r="V5" s="35"/>
      <c r="W5" s="35"/>
      <c r="X5" s="35"/>
      <c r="Y5" s="35"/>
      <c r="Z5" s="35"/>
      <c r="AA5" s="119" t="s">
        <v>351</v>
      </c>
      <c r="AB5" s="35"/>
      <c r="AC5" s="35"/>
      <c r="AD5" s="94" t="s">
        <v>352</v>
      </c>
      <c r="AE5" s="35"/>
      <c r="AF5" s="381" t="s">
        <v>353</v>
      </c>
      <c r="AG5" s="67" t="s">
        <v>226</v>
      </c>
      <c r="AH5" s="67"/>
      <c r="AI5" s="67"/>
      <c r="AJ5" s="67"/>
      <c r="AK5" s="67"/>
      <c r="AL5" s="67"/>
      <c r="AM5" s="74" t="s">
        <v>351</v>
      </c>
      <c r="AN5" s="67"/>
      <c r="AO5" s="76"/>
      <c r="AP5" s="74" t="s">
        <v>352</v>
      </c>
      <c r="AQ5" s="67"/>
      <c r="AR5" s="78"/>
      <c r="AS5" s="93" t="s">
        <v>141</v>
      </c>
      <c r="AT5" s="189" t="s">
        <v>4035</v>
      </c>
      <c r="AU5" s="189"/>
      <c r="AV5" s="189"/>
      <c r="AW5" s="189"/>
      <c r="AX5" s="189"/>
      <c r="AY5" s="189"/>
      <c r="AZ5" s="190" t="s">
        <v>351</v>
      </c>
      <c r="BA5" s="189"/>
      <c r="BB5" s="191"/>
      <c r="BC5" s="190" t="s">
        <v>352</v>
      </c>
      <c r="BD5" s="189"/>
      <c r="BE5" s="192"/>
      <c r="BF5" s="193" t="s">
        <v>141</v>
      </c>
    </row>
    <row r="6" spans="1:58" ht="14.25" x14ac:dyDescent="0.45">
      <c r="A6" s="1" t="s">
        <v>161</v>
      </c>
      <c r="B6" s="1" t="s">
        <v>162</v>
      </c>
      <c r="C6" s="1" t="s">
        <v>211</v>
      </c>
      <c r="D6" s="1" t="s">
        <v>4252</v>
      </c>
      <c r="E6" s="1" t="s">
        <v>138</v>
      </c>
      <c r="F6" s="62" t="s">
        <v>153</v>
      </c>
      <c r="G6" s="63" t="s">
        <v>10</v>
      </c>
      <c r="H6" s="64" t="s">
        <v>11</v>
      </c>
      <c r="I6" s="44" t="s">
        <v>140</v>
      </c>
      <c r="J6" s="44" t="s">
        <v>368</v>
      </c>
      <c r="K6" s="44" t="s">
        <v>145</v>
      </c>
      <c r="L6" s="44" t="s">
        <v>146</v>
      </c>
      <c r="M6" s="44" t="s">
        <v>150</v>
      </c>
      <c r="N6" s="44" t="s">
        <v>148</v>
      </c>
      <c r="O6" s="109" t="s">
        <v>354</v>
      </c>
      <c r="P6" s="46" t="s">
        <v>143</v>
      </c>
      <c r="Q6" s="110" t="s">
        <v>149</v>
      </c>
      <c r="R6" s="46" t="s">
        <v>142</v>
      </c>
      <c r="S6" s="46" t="s">
        <v>144</v>
      </c>
      <c r="T6" s="380"/>
      <c r="U6" s="36" t="s">
        <v>140</v>
      </c>
      <c r="V6" s="36" t="s">
        <v>368</v>
      </c>
      <c r="W6" s="36" t="s">
        <v>145</v>
      </c>
      <c r="X6" s="36" t="s">
        <v>146</v>
      </c>
      <c r="Y6" s="36" t="s">
        <v>150</v>
      </c>
      <c r="Z6" s="36" t="s">
        <v>148</v>
      </c>
      <c r="AA6" s="107" t="s">
        <v>354</v>
      </c>
      <c r="AB6" s="46" t="s">
        <v>143</v>
      </c>
      <c r="AC6" s="46" t="s">
        <v>149</v>
      </c>
      <c r="AD6" s="75" t="s">
        <v>142</v>
      </c>
      <c r="AE6" s="46" t="s">
        <v>144</v>
      </c>
      <c r="AF6" s="381"/>
      <c r="AG6" s="68" t="s">
        <v>140</v>
      </c>
      <c r="AH6" s="68" t="s">
        <v>368</v>
      </c>
      <c r="AI6" s="68" t="s">
        <v>145</v>
      </c>
      <c r="AJ6" s="68" t="s">
        <v>146</v>
      </c>
      <c r="AK6" s="68" t="s">
        <v>150</v>
      </c>
      <c r="AL6" s="68" t="s">
        <v>148</v>
      </c>
      <c r="AM6" s="75" t="s">
        <v>354</v>
      </c>
      <c r="AN6" s="46" t="s">
        <v>143</v>
      </c>
      <c r="AO6" s="77" t="s">
        <v>149</v>
      </c>
      <c r="AP6" s="77" t="s">
        <v>142</v>
      </c>
      <c r="AQ6" s="77" t="s">
        <v>144</v>
      </c>
      <c r="AR6" s="78" t="s">
        <v>147</v>
      </c>
      <c r="AS6" s="111"/>
      <c r="AT6" s="194" t="s">
        <v>140</v>
      </c>
      <c r="AU6" s="194" t="s">
        <v>368</v>
      </c>
      <c r="AV6" s="194" t="s">
        <v>145</v>
      </c>
      <c r="AW6" s="194" t="s">
        <v>146</v>
      </c>
      <c r="AX6" s="194" t="s">
        <v>150</v>
      </c>
      <c r="AY6" s="194" t="s">
        <v>148</v>
      </c>
      <c r="AZ6" s="75" t="s">
        <v>354</v>
      </c>
      <c r="BA6" s="46" t="s">
        <v>143</v>
      </c>
      <c r="BB6" s="77" t="s">
        <v>149</v>
      </c>
      <c r="BC6" s="77" t="s">
        <v>142</v>
      </c>
      <c r="BD6" s="77" t="s">
        <v>144</v>
      </c>
      <c r="BE6" s="192" t="s">
        <v>147</v>
      </c>
      <c r="BF6" s="197"/>
    </row>
    <row r="7" spans="1:58" ht="14.25" x14ac:dyDescent="0.45">
      <c r="A7" s="3" t="s">
        <v>165</v>
      </c>
      <c r="B7" s="3" t="s">
        <v>166</v>
      </c>
      <c r="C7" s="3" t="s">
        <v>167</v>
      </c>
      <c r="D7" s="3" t="s">
        <v>168</v>
      </c>
      <c r="E7" s="3" t="s">
        <v>169</v>
      </c>
      <c r="F7" s="15" t="s">
        <v>640</v>
      </c>
      <c r="G7" s="16" t="s">
        <v>641</v>
      </c>
      <c r="H7" s="128" t="s">
        <v>642</v>
      </c>
      <c r="I7" s="129" t="s">
        <v>643</v>
      </c>
      <c r="J7" s="45" t="s">
        <v>4185</v>
      </c>
      <c r="K7" s="45" t="s">
        <v>645</v>
      </c>
      <c r="L7" s="45" t="s">
        <v>646</v>
      </c>
      <c r="M7" s="45" t="s">
        <v>647</v>
      </c>
      <c r="N7" s="45" t="s">
        <v>648</v>
      </c>
      <c r="O7" s="25" t="s">
        <v>649</v>
      </c>
      <c r="P7" s="25" t="s">
        <v>650</v>
      </c>
      <c r="Q7" s="53" t="s">
        <v>651</v>
      </c>
      <c r="R7" s="88" t="s">
        <v>644</v>
      </c>
      <c r="S7" s="89" t="s">
        <v>652</v>
      </c>
      <c r="T7" s="21" t="s">
        <v>653</v>
      </c>
      <c r="U7" s="120" t="s">
        <v>356</v>
      </c>
      <c r="V7" s="4" t="s">
        <v>4186</v>
      </c>
      <c r="W7" s="4" t="s">
        <v>358</v>
      </c>
      <c r="X7" s="4" t="s">
        <v>359</v>
      </c>
      <c r="Y7" s="4" t="s">
        <v>360</v>
      </c>
      <c r="Z7" s="4" t="s">
        <v>361</v>
      </c>
      <c r="AA7" s="4" t="s">
        <v>362</v>
      </c>
      <c r="AB7" s="4" t="s">
        <v>363</v>
      </c>
      <c r="AC7" s="4" t="s">
        <v>364</v>
      </c>
      <c r="AD7" s="7" t="s">
        <v>357</v>
      </c>
      <c r="AE7" s="7" t="s">
        <v>365</v>
      </c>
      <c r="AF7" s="7" t="s">
        <v>366</v>
      </c>
      <c r="AG7" s="206" t="s">
        <v>654</v>
      </c>
      <c r="AH7" s="207" t="s">
        <v>4187</v>
      </c>
      <c r="AI7" s="207" t="s">
        <v>656</v>
      </c>
      <c r="AJ7" s="207" t="s">
        <v>657</v>
      </c>
      <c r="AK7" s="207" t="s">
        <v>658</v>
      </c>
      <c r="AL7" s="207" t="s">
        <v>659</v>
      </c>
      <c r="AM7" s="207" t="s">
        <v>660</v>
      </c>
      <c r="AN7" s="207" t="s">
        <v>661</v>
      </c>
      <c r="AO7" s="207" t="s">
        <v>662</v>
      </c>
      <c r="AP7" s="207" t="s">
        <v>655</v>
      </c>
      <c r="AQ7" s="207" t="s">
        <v>663</v>
      </c>
      <c r="AR7" s="207" t="s">
        <v>4222</v>
      </c>
      <c r="AS7" s="208" t="s">
        <v>367</v>
      </c>
      <c r="AT7" s="206" t="s">
        <v>4060</v>
      </c>
      <c r="AU7" s="207" t="s">
        <v>4188</v>
      </c>
      <c r="AV7" s="207" t="s">
        <v>4062</v>
      </c>
      <c r="AW7" s="207" t="s">
        <v>4063</v>
      </c>
      <c r="AX7" s="207" t="s">
        <v>4064</v>
      </c>
      <c r="AY7" s="207" t="s">
        <v>4065</v>
      </c>
      <c r="AZ7" s="207" t="s">
        <v>4066</v>
      </c>
      <c r="BA7" s="207" t="s">
        <v>4067</v>
      </c>
      <c r="BB7" s="207" t="s">
        <v>4068</v>
      </c>
      <c r="BC7" s="207" t="s">
        <v>4061</v>
      </c>
      <c r="BD7" s="207" t="s">
        <v>4069</v>
      </c>
      <c r="BE7" s="207" t="s">
        <v>4223</v>
      </c>
      <c r="BF7" s="208" t="s">
        <v>4070</v>
      </c>
    </row>
    <row r="8" spans="1:58" ht="14.25" x14ac:dyDescent="0.45">
      <c r="A8" t="s">
        <v>243</v>
      </c>
      <c r="B8" t="s">
        <v>244</v>
      </c>
      <c r="C8" t="s">
        <v>245</v>
      </c>
      <c r="D8" t="s">
        <v>199</v>
      </c>
      <c r="E8" t="s">
        <v>246</v>
      </c>
      <c r="F8" s="54">
        <v>88646</v>
      </c>
      <c r="G8" s="8">
        <v>0</v>
      </c>
      <c r="H8" s="8">
        <v>88646</v>
      </c>
      <c r="I8" s="124">
        <v>19511</v>
      </c>
      <c r="J8" s="52">
        <v>23969</v>
      </c>
      <c r="K8" s="52">
        <v>70445</v>
      </c>
      <c r="L8" s="52">
        <v>71599</v>
      </c>
      <c r="M8" s="52">
        <v>43589</v>
      </c>
      <c r="N8" s="52">
        <v>68189</v>
      </c>
      <c r="O8" s="52">
        <v>71599</v>
      </c>
      <c r="P8" s="52">
        <v>33424</v>
      </c>
      <c r="Q8" s="52">
        <v>7446</v>
      </c>
      <c r="R8" s="52">
        <v>23969</v>
      </c>
      <c r="S8" s="52">
        <v>23969</v>
      </c>
      <c r="T8" s="52">
        <v>71599</v>
      </c>
      <c r="U8" s="121">
        <v>3</v>
      </c>
      <c r="V8" s="58">
        <v>3</v>
      </c>
      <c r="W8" s="58">
        <v>3</v>
      </c>
      <c r="X8" s="58">
        <v>3</v>
      </c>
      <c r="Y8" s="58">
        <v>3</v>
      </c>
      <c r="Z8" s="58">
        <v>4</v>
      </c>
      <c r="AA8" s="58">
        <v>3</v>
      </c>
      <c r="AB8" s="58">
        <v>3</v>
      </c>
      <c r="AC8" s="58">
        <v>2</v>
      </c>
      <c r="AD8" s="58">
        <v>3</v>
      </c>
      <c r="AE8" s="58">
        <v>3</v>
      </c>
      <c r="AF8" s="58">
        <v>3</v>
      </c>
      <c r="AG8" s="167">
        <v>8780</v>
      </c>
      <c r="AH8" s="52">
        <v>9741</v>
      </c>
      <c r="AI8" s="52">
        <v>4763</v>
      </c>
      <c r="AJ8" s="52">
        <v>10740</v>
      </c>
      <c r="AK8" s="52">
        <v>2179</v>
      </c>
      <c r="AL8" s="52">
        <v>34095</v>
      </c>
      <c r="AM8" s="52">
        <v>10740</v>
      </c>
      <c r="AN8" s="52">
        <v>9572</v>
      </c>
      <c r="AO8" s="52">
        <v>0</v>
      </c>
      <c r="AP8" s="52">
        <v>3745</v>
      </c>
      <c r="AQ8" s="52">
        <v>5996</v>
      </c>
      <c r="AR8" s="52">
        <v>8364</v>
      </c>
      <c r="AS8" s="259">
        <v>34095</v>
      </c>
      <c r="AT8" s="167">
        <v>1756</v>
      </c>
      <c r="AU8" s="52">
        <v>1798.2</v>
      </c>
      <c r="AV8" s="52">
        <v>953</v>
      </c>
      <c r="AW8" s="52">
        <v>2148</v>
      </c>
      <c r="AX8" s="52">
        <v>436</v>
      </c>
      <c r="AY8" s="52">
        <v>34095</v>
      </c>
      <c r="AZ8" s="52">
        <v>2148</v>
      </c>
      <c r="BA8" s="52">
        <v>1914</v>
      </c>
      <c r="BB8" s="52">
        <v>0</v>
      </c>
      <c r="BC8" s="52">
        <v>749</v>
      </c>
      <c r="BD8" s="52">
        <v>1199</v>
      </c>
      <c r="BE8" s="52">
        <v>1673</v>
      </c>
      <c r="BF8" s="259">
        <v>34095</v>
      </c>
    </row>
    <row r="9" spans="1:58" ht="14.25" x14ac:dyDescent="0.45">
      <c r="A9" t="s">
        <v>247</v>
      </c>
      <c r="B9" t="s">
        <v>248</v>
      </c>
      <c r="C9" t="s">
        <v>245</v>
      </c>
      <c r="D9" t="s">
        <v>199</v>
      </c>
      <c r="E9" t="s">
        <v>249</v>
      </c>
      <c r="F9" s="54">
        <v>31262</v>
      </c>
      <c r="G9" s="8">
        <v>0</v>
      </c>
      <c r="H9" s="8">
        <v>31262</v>
      </c>
      <c r="I9" s="124">
        <v>6881</v>
      </c>
      <c r="J9" s="52">
        <v>8453</v>
      </c>
      <c r="K9" s="52">
        <v>24843</v>
      </c>
      <c r="L9" s="52">
        <v>23522</v>
      </c>
      <c r="M9" s="52">
        <v>15372</v>
      </c>
      <c r="N9" s="52">
        <v>26453</v>
      </c>
      <c r="O9" s="52">
        <v>23522</v>
      </c>
      <c r="P9" s="52">
        <v>15147</v>
      </c>
      <c r="Q9" s="52">
        <v>8753</v>
      </c>
      <c r="R9" s="52">
        <v>8453</v>
      </c>
      <c r="S9" s="58">
        <v>8453</v>
      </c>
      <c r="T9" s="52">
        <v>26453</v>
      </c>
      <c r="U9" s="121">
        <v>3</v>
      </c>
      <c r="V9" s="58">
        <v>3</v>
      </c>
      <c r="W9" s="58">
        <v>3</v>
      </c>
      <c r="X9" s="58">
        <v>3</v>
      </c>
      <c r="Y9" s="58">
        <v>2</v>
      </c>
      <c r="Z9" s="58">
        <v>3</v>
      </c>
      <c r="AA9" s="58">
        <v>4</v>
      </c>
      <c r="AB9" s="58">
        <v>2</v>
      </c>
      <c r="AC9" s="58">
        <v>3</v>
      </c>
      <c r="AD9" s="58">
        <v>3</v>
      </c>
      <c r="AE9" s="58">
        <v>3</v>
      </c>
      <c r="AF9" s="58">
        <v>3</v>
      </c>
      <c r="AG9" s="167">
        <v>3096</v>
      </c>
      <c r="AH9" s="52">
        <v>3436</v>
      </c>
      <c r="AI9" s="52">
        <v>1680</v>
      </c>
      <c r="AJ9" s="52">
        <v>11761</v>
      </c>
      <c r="AK9" s="52">
        <v>0</v>
      </c>
      <c r="AL9" s="52">
        <v>6613</v>
      </c>
      <c r="AM9" s="52">
        <v>11761</v>
      </c>
      <c r="AN9" s="52">
        <v>0</v>
      </c>
      <c r="AO9" s="52">
        <v>1751</v>
      </c>
      <c r="AP9" s="52">
        <v>1321</v>
      </c>
      <c r="AQ9" s="52">
        <v>2115</v>
      </c>
      <c r="AR9" s="52">
        <v>1117</v>
      </c>
      <c r="AS9" s="259">
        <v>11761</v>
      </c>
      <c r="AT9" s="167">
        <v>619</v>
      </c>
      <c r="AU9" s="52">
        <v>634.20000000000005</v>
      </c>
      <c r="AV9" s="52">
        <v>336</v>
      </c>
      <c r="AW9" s="52">
        <v>11761</v>
      </c>
      <c r="AX9" s="52">
        <v>0</v>
      </c>
      <c r="AY9" s="52">
        <v>1323</v>
      </c>
      <c r="AZ9" s="52">
        <v>11761</v>
      </c>
      <c r="BA9" s="52">
        <v>0</v>
      </c>
      <c r="BB9" s="52">
        <v>350</v>
      </c>
      <c r="BC9" s="52">
        <v>264</v>
      </c>
      <c r="BD9" s="52">
        <v>423</v>
      </c>
      <c r="BE9" s="52">
        <v>223</v>
      </c>
      <c r="BF9" s="259">
        <v>11761</v>
      </c>
    </row>
    <row r="10" spans="1:58" ht="14.25" x14ac:dyDescent="0.45">
      <c r="A10" t="s">
        <v>250</v>
      </c>
      <c r="B10" t="s">
        <v>251</v>
      </c>
      <c r="C10" t="s">
        <v>252</v>
      </c>
      <c r="D10" t="s">
        <v>193</v>
      </c>
      <c r="E10" t="s">
        <v>253</v>
      </c>
      <c r="F10" s="51">
        <v>23346</v>
      </c>
      <c r="G10" s="51">
        <v>0</v>
      </c>
      <c r="H10" s="51">
        <v>0</v>
      </c>
      <c r="I10" s="125">
        <v>0</v>
      </c>
      <c r="J10" s="58">
        <v>9161</v>
      </c>
      <c r="K10" s="51">
        <v>0</v>
      </c>
      <c r="L10" s="51">
        <v>0</v>
      </c>
      <c r="M10" s="51">
        <v>0</v>
      </c>
      <c r="N10" s="51">
        <v>0</v>
      </c>
      <c r="O10" s="51">
        <v>0</v>
      </c>
      <c r="P10" s="51">
        <v>0</v>
      </c>
      <c r="Q10" s="51">
        <v>0</v>
      </c>
      <c r="R10" s="51">
        <v>0</v>
      </c>
      <c r="S10" s="58">
        <v>9161</v>
      </c>
      <c r="T10" s="58">
        <v>9161</v>
      </c>
      <c r="U10" s="122"/>
      <c r="V10" s="60">
        <v>4</v>
      </c>
      <c r="W10" s="60"/>
      <c r="X10" s="60"/>
      <c r="Y10" s="60"/>
      <c r="Z10" s="60"/>
      <c r="AA10" s="60"/>
      <c r="AB10" s="60"/>
      <c r="AC10" s="60"/>
      <c r="AD10" s="60"/>
      <c r="AE10" s="58">
        <v>4</v>
      </c>
      <c r="AF10" s="60">
        <v>5</v>
      </c>
      <c r="AG10" s="57">
        <v>0</v>
      </c>
      <c r="AH10" s="51">
        <v>1745</v>
      </c>
      <c r="AI10" s="51">
        <v>0</v>
      </c>
      <c r="AJ10" s="51">
        <v>0</v>
      </c>
      <c r="AK10" s="51">
        <v>0</v>
      </c>
      <c r="AL10" s="51">
        <v>0</v>
      </c>
      <c r="AM10" s="51">
        <v>0</v>
      </c>
      <c r="AN10" s="51">
        <v>0</v>
      </c>
      <c r="AO10" s="51">
        <v>0</v>
      </c>
      <c r="AP10" s="51">
        <v>0</v>
      </c>
      <c r="AQ10" s="52">
        <v>1745</v>
      </c>
      <c r="AR10" s="51">
        <v>0</v>
      </c>
      <c r="AS10" s="260">
        <v>1745</v>
      </c>
      <c r="AT10" s="57">
        <v>0</v>
      </c>
      <c r="AU10" s="51">
        <v>1745</v>
      </c>
      <c r="AV10" s="51">
        <v>0</v>
      </c>
      <c r="AW10" s="51">
        <v>0</v>
      </c>
      <c r="AX10" s="51">
        <v>0</v>
      </c>
      <c r="AY10" s="51">
        <v>0</v>
      </c>
      <c r="AZ10" s="51">
        <v>0</v>
      </c>
      <c r="BA10" s="51">
        <v>0</v>
      </c>
      <c r="BB10" s="51">
        <v>0</v>
      </c>
      <c r="BC10" s="51">
        <v>0</v>
      </c>
      <c r="BD10" s="52">
        <v>1745</v>
      </c>
      <c r="BE10" s="51">
        <v>0</v>
      </c>
      <c r="BF10" s="260">
        <v>1745</v>
      </c>
    </row>
    <row r="11" spans="1:58" ht="14.25" x14ac:dyDescent="0.45">
      <c r="A11" t="s">
        <v>250</v>
      </c>
      <c r="B11" t="s">
        <v>251</v>
      </c>
      <c r="C11" t="s">
        <v>254</v>
      </c>
      <c r="D11" t="s">
        <v>196</v>
      </c>
      <c r="E11" t="s">
        <v>255</v>
      </c>
      <c r="F11" s="54">
        <v>27202</v>
      </c>
      <c r="G11" s="8">
        <v>0</v>
      </c>
      <c r="H11" s="8">
        <v>27202</v>
      </c>
      <c r="I11" s="126">
        <v>3493</v>
      </c>
      <c r="J11" s="58">
        <v>23990</v>
      </c>
      <c r="K11" s="8">
        <v>21617</v>
      </c>
      <c r="L11" s="8">
        <v>23316</v>
      </c>
      <c r="M11" s="8">
        <v>20489</v>
      </c>
      <c r="N11" s="8">
        <v>25648</v>
      </c>
      <c r="O11" s="8">
        <v>23316</v>
      </c>
      <c r="P11" s="8">
        <v>11026</v>
      </c>
      <c r="Q11" s="8">
        <v>10663</v>
      </c>
      <c r="R11" s="8">
        <v>23990</v>
      </c>
      <c r="S11" s="58">
        <v>23990</v>
      </c>
      <c r="T11" s="58">
        <v>25648</v>
      </c>
      <c r="U11" s="121">
        <v>4</v>
      </c>
      <c r="V11" s="58">
        <v>4</v>
      </c>
      <c r="W11" s="58">
        <v>4</v>
      </c>
      <c r="X11" s="58">
        <v>4</v>
      </c>
      <c r="Y11" s="58">
        <v>4</v>
      </c>
      <c r="Z11" s="58">
        <v>4</v>
      </c>
      <c r="AA11" s="58">
        <v>4</v>
      </c>
      <c r="AB11" s="58">
        <v>4</v>
      </c>
      <c r="AC11" s="58">
        <v>4</v>
      </c>
      <c r="AD11" s="58">
        <v>4</v>
      </c>
      <c r="AE11" s="58">
        <v>4</v>
      </c>
      <c r="AF11" s="58">
        <v>4</v>
      </c>
      <c r="AG11" s="54">
        <v>3143</v>
      </c>
      <c r="AH11" s="8">
        <v>10612</v>
      </c>
      <c r="AI11" s="8">
        <v>4872</v>
      </c>
      <c r="AJ11" s="8">
        <v>13990</v>
      </c>
      <c r="AK11" s="8">
        <v>13914</v>
      </c>
      <c r="AL11" s="8">
        <v>12824</v>
      </c>
      <c r="AM11" s="8">
        <v>13990</v>
      </c>
      <c r="AN11" s="8">
        <v>6932</v>
      </c>
      <c r="AO11" s="8">
        <v>3199</v>
      </c>
      <c r="AP11" s="8">
        <v>9526</v>
      </c>
      <c r="AQ11" s="8">
        <v>10612</v>
      </c>
      <c r="AR11" s="8">
        <v>0</v>
      </c>
      <c r="AS11" s="202">
        <v>13990</v>
      </c>
      <c r="AT11" s="54">
        <v>3143</v>
      </c>
      <c r="AU11" s="8">
        <v>10612</v>
      </c>
      <c r="AV11" s="8">
        <v>4872</v>
      </c>
      <c r="AW11" s="8">
        <v>13990</v>
      </c>
      <c r="AX11" s="8">
        <v>13914</v>
      </c>
      <c r="AY11" s="8">
        <v>12824</v>
      </c>
      <c r="AZ11" s="8">
        <v>13990</v>
      </c>
      <c r="BA11" s="8">
        <v>6932</v>
      </c>
      <c r="BB11" s="8">
        <v>3199</v>
      </c>
      <c r="BC11" s="8">
        <v>9526</v>
      </c>
      <c r="BD11" s="8">
        <v>10612</v>
      </c>
      <c r="BE11" s="8">
        <v>0</v>
      </c>
      <c r="BF11" s="202">
        <v>13990</v>
      </c>
    </row>
    <row r="12" spans="1:58" ht="14.25" x14ac:dyDescent="0.45">
      <c r="A12" t="s">
        <v>250</v>
      </c>
      <c r="B12" t="s">
        <v>251</v>
      </c>
      <c r="C12" t="s">
        <v>256</v>
      </c>
      <c r="D12" t="s">
        <v>199</v>
      </c>
      <c r="E12" t="s">
        <v>257</v>
      </c>
      <c r="F12" s="54">
        <v>325353</v>
      </c>
      <c r="G12" s="8">
        <v>0</v>
      </c>
      <c r="H12" s="8">
        <v>325353</v>
      </c>
      <c r="I12" s="124">
        <v>55548</v>
      </c>
      <c r="J12" s="58">
        <v>67798</v>
      </c>
      <c r="K12" s="52">
        <v>258550</v>
      </c>
      <c r="L12" s="52">
        <v>276793</v>
      </c>
      <c r="M12" s="52">
        <v>191059</v>
      </c>
      <c r="N12" s="52">
        <v>171841</v>
      </c>
      <c r="O12" s="52">
        <v>276793</v>
      </c>
      <c r="P12" s="52">
        <v>154241</v>
      </c>
      <c r="Q12" s="52">
        <v>127538</v>
      </c>
      <c r="R12" s="52">
        <v>67798</v>
      </c>
      <c r="S12" s="58">
        <v>67798</v>
      </c>
      <c r="T12" s="58">
        <v>276793</v>
      </c>
      <c r="U12" s="121">
        <v>4</v>
      </c>
      <c r="V12" s="58">
        <v>4</v>
      </c>
      <c r="W12" s="58">
        <v>4</v>
      </c>
      <c r="X12" s="58">
        <v>4</v>
      </c>
      <c r="Y12" s="58">
        <v>4</v>
      </c>
      <c r="Z12" s="58">
        <v>3</v>
      </c>
      <c r="AA12" s="58">
        <v>4</v>
      </c>
      <c r="AB12" s="58">
        <v>4</v>
      </c>
      <c r="AC12" s="58">
        <v>4</v>
      </c>
      <c r="AD12" s="58">
        <v>4</v>
      </c>
      <c r="AE12" s="58">
        <v>4</v>
      </c>
      <c r="AF12" s="58">
        <v>4</v>
      </c>
      <c r="AG12" s="167">
        <v>49993</v>
      </c>
      <c r="AH12" s="52">
        <v>65679</v>
      </c>
      <c r="AI12" s="52">
        <v>17482</v>
      </c>
      <c r="AJ12" s="52">
        <v>138397</v>
      </c>
      <c r="AK12" s="52">
        <v>18216</v>
      </c>
      <c r="AL12" s="52">
        <v>42960</v>
      </c>
      <c r="AM12" s="52">
        <v>138397</v>
      </c>
      <c r="AN12" s="52">
        <v>97525</v>
      </c>
      <c r="AO12" s="52">
        <v>38261</v>
      </c>
      <c r="AP12" s="52">
        <v>31780</v>
      </c>
      <c r="AQ12" s="52">
        <v>33899</v>
      </c>
      <c r="AR12" s="52">
        <v>15988</v>
      </c>
      <c r="AS12" s="259">
        <v>138397</v>
      </c>
      <c r="AT12" s="167">
        <v>49993</v>
      </c>
      <c r="AU12" s="52">
        <v>59323</v>
      </c>
      <c r="AV12" s="52">
        <v>17482</v>
      </c>
      <c r="AW12" s="52">
        <v>138397</v>
      </c>
      <c r="AX12" s="52">
        <v>18216</v>
      </c>
      <c r="AY12" s="52">
        <v>8592</v>
      </c>
      <c r="AZ12" s="52">
        <v>138397</v>
      </c>
      <c r="BA12" s="52">
        <v>97525</v>
      </c>
      <c r="BB12" s="52">
        <v>38261</v>
      </c>
      <c r="BC12" s="52">
        <v>31780</v>
      </c>
      <c r="BD12" s="52">
        <v>33899</v>
      </c>
      <c r="BE12" s="52">
        <v>15988</v>
      </c>
      <c r="BF12" s="259">
        <v>138397</v>
      </c>
    </row>
    <row r="13" spans="1:58" ht="14.25" x14ac:dyDescent="0.45">
      <c r="A13" t="s">
        <v>258</v>
      </c>
      <c r="B13" t="s">
        <v>259</v>
      </c>
      <c r="C13" t="s">
        <v>252</v>
      </c>
      <c r="D13" t="s">
        <v>193</v>
      </c>
      <c r="E13" t="s">
        <v>260</v>
      </c>
      <c r="F13" s="51">
        <v>28205</v>
      </c>
      <c r="G13" s="51">
        <v>0</v>
      </c>
      <c r="H13" s="51">
        <v>0</v>
      </c>
      <c r="I13" s="125">
        <v>0</v>
      </c>
      <c r="J13" s="58">
        <v>12387</v>
      </c>
      <c r="K13" s="51">
        <v>0</v>
      </c>
      <c r="L13" s="51">
        <v>0</v>
      </c>
      <c r="M13" s="51">
        <v>0</v>
      </c>
      <c r="N13" s="51">
        <v>0</v>
      </c>
      <c r="O13" s="51">
        <v>0</v>
      </c>
      <c r="P13" s="51">
        <v>0</v>
      </c>
      <c r="Q13" s="51">
        <v>0</v>
      </c>
      <c r="R13" s="51">
        <v>0</v>
      </c>
      <c r="S13" s="58">
        <v>12387</v>
      </c>
      <c r="T13" s="58">
        <v>12387</v>
      </c>
      <c r="U13" s="122"/>
      <c r="V13" s="60">
        <v>4</v>
      </c>
      <c r="W13" s="60"/>
      <c r="X13" s="60"/>
      <c r="Y13" s="60"/>
      <c r="Z13" s="60"/>
      <c r="AA13" s="60"/>
      <c r="AB13" s="60"/>
      <c r="AC13" s="60"/>
      <c r="AD13" s="60"/>
      <c r="AE13" s="58">
        <v>4</v>
      </c>
      <c r="AF13" s="60">
        <v>5</v>
      </c>
      <c r="AG13" s="57">
        <v>0</v>
      </c>
      <c r="AH13" s="51">
        <v>2252</v>
      </c>
      <c r="AI13" s="51">
        <v>0</v>
      </c>
      <c r="AJ13" s="51">
        <v>0</v>
      </c>
      <c r="AK13" s="51">
        <v>0</v>
      </c>
      <c r="AL13" s="51">
        <v>0</v>
      </c>
      <c r="AM13" s="51">
        <v>0</v>
      </c>
      <c r="AN13" s="51">
        <v>0</v>
      </c>
      <c r="AO13" s="51">
        <v>0</v>
      </c>
      <c r="AP13" s="51">
        <v>0</v>
      </c>
      <c r="AQ13" s="52">
        <v>2252</v>
      </c>
      <c r="AR13" s="51">
        <v>0</v>
      </c>
      <c r="AS13" s="260">
        <v>2252</v>
      </c>
      <c r="AT13" s="57">
        <v>0</v>
      </c>
      <c r="AU13" s="51">
        <v>2252</v>
      </c>
      <c r="AV13" s="51">
        <v>0</v>
      </c>
      <c r="AW13" s="51">
        <v>0</v>
      </c>
      <c r="AX13" s="51">
        <v>0</v>
      </c>
      <c r="AY13" s="51">
        <v>0</v>
      </c>
      <c r="AZ13" s="51">
        <v>0</v>
      </c>
      <c r="BA13" s="51">
        <v>0</v>
      </c>
      <c r="BB13" s="51">
        <v>0</v>
      </c>
      <c r="BC13" s="51">
        <v>0</v>
      </c>
      <c r="BD13" s="52">
        <v>2252</v>
      </c>
      <c r="BE13" s="51">
        <v>0</v>
      </c>
      <c r="BF13" s="260">
        <v>2252</v>
      </c>
    </row>
    <row r="14" spans="1:58" ht="14.25" x14ac:dyDescent="0.45">
      <c r="A14" t="s">
        <v>258</v>
      </c>
      <c r="B14" t="s">
        <v>259</v>
      </c>
      <c r="C14" t="s">
        <v>254</v>
      </c>
      <c r="D14" t="s">
        <v>196</v>
      </c>
      <c r="E14" t="s">
        <v>261</v>
      </c>
      <c r="F14" s="54">
        <v>7575</v>
      </c>
      <c r="G14" s="8">
        <v>0</v>
      </c>
      <c r="H14" s="8">
        <v>7575</v>
      </c>
      <c r="I14" s="126">
        <v>834</v>
      </c>
      <c r="J14" s="58">
        <v>6035</v>
      </c>
      <c r="K14" s="8">
        <v>6019</v>
      </c>
      <c r="L14" s="8">
        <v>7196</v>
      </c>
      <c r="M14" s="8">
        <v>5705</v>
      </c>
      <c r="N14" s="8">
        <v>7236</v>
      </c>
      <c r="O14" s="8">
        <v>7196</v>
      </c>
      <c r="P14" s="8">
        <v>3168</v>
      </c>
      <c r="Q14" s="8">
        <v>3818</v>
      </c>
      <c r="R14" s="8">
        <v>6035</v>
      </c>
      <c r="S14" s="58">
        <v>6035</v>
      </c>
      <c r="T14" s="58">
        <v>7236</v>
      </c>
      <c r="U14" s="121">
        <v>5</v>
      </c>
      <c r="V14" s="58">
        <v>4</v>
      </c>
      <c r="W14" s="58">
        <v>4</v>
      </c>
      <c r="X14" s="58">
        <v>5</v>
      </c>
      <c r="Y14" s="58">
        <v>5</v>
      </c>
      <c r="Z14" s="58">
        <v>4</v>
      </c>
      <c r="AA14" s="58">
        <v>5</v>
      </c>
      <c r="AB14" s="58">
        <v>5</v>
      </c>
      <c r="AC14" s="58">
        <v>5</v>
      </c>
      <c r="AD14" s="58">
        <v>4</v>
      </c>
      <c r="AE14" s="58">
        <v>4</v>
      </c>
      <c r="AF14" s="58">
        <v>5</v>
      </c>
      <c r="AG14" s="54">
        <v>750</v>
      </c>
      <c r="AH14" s="8">
        <v>4752</v>
      </c>
      <c r="AI14" s="8">
        <v>1357</v>
      </c>
      <c r="AJ14" s="8">
        <v>4318</v>
      </c>
      <c r="AK14" s="8">
        <v>3205</v>
      </c>
      <c r="AL14" s="8">
        <v>3618</v>
      </c>
      <c r="AM14" s="8">
        <v>4318</v>
      </c>
      <c r="AN14" s="8">
        <v>2031</v>
      </c>
      <c r="AO14" s="8">
        <v>382</v>
      </c>
      <c r="AP14" s="8">
        <v>2652</v>
      </c>
      <c r="AQ14" s="8">
        <v>4752</v>
      </c>
      <c r="AR14" s="8">
        <v>0</v>
      </c>
      <c r="AS14" s="202">
        <v>4752</v>
      </c>
      <c r="AT14" s="54">
        <v>750</v>
      </c>
      <c r="AU14" s="8">
        <v>4752</v>
      </c>
      <c r="AV14" s="8">
        <v>1357</v>
      </c>
      <c r="AW14" s="8">
        <v>4318</v>
      </c>
      <c r="AX14" s="8">
        <v>3205</v>
      </c>
      <c r="AY14" s="8">
        <v>3618</v>
      </c>
      <c r="AZ14" s="8">
        <v>4318</v>
      </c>
      <c r="BA14" s="8">
        <v>2031</v>
      </c>
      <c r="BB14" s="8">
        <v>382</v>
      </c>
      <c r="BC14" s="8">
        <v>2652</v>
      </c>
      <c r="BD14" s="8">
        <v>4752</v>
      </c>
      <c r="BE14" s="8">
        <v>0</v>
      </c>
      <c r="BF14" s="202">
        <v>4752</v>
      </c>
    </row>
    <row r="15" spans="1:58" ht="14.25" x14ac:dyDescent="0.45">
      <c r="A15" t="s">
        <v>262</v>
      </c>
      <c r="B15" t="s">
        <v>263</v>
      </c>
      <c r="C15" t="s">
        <v>245</v>
      </c>
      <c r="D15" t="s">
        <v>199</v>
      </c>
      <c r="E15" t="s">
        <v>264</v>
      </c>
      <c r="F15" s="54">
        <v>53364</v>
      </c>
      <c r="G15" s="8">
        <v>0</v>
      </c>
      <c r="H15" s="8">
        <v>53364</v>
      </c>
      <c r="I15" s="124">
        <v>3915</v>
      </c>
      <c r="J15" s="58">
        <v>14429</v>
      </c>
      <c r="K15" s="52">
        <v>42407</v>
      </c>
      <c r="L15" s="52">
        <v>30493</v>
      </c>
      <c r="M15" s="52">
        <v>26240</v>
      </c>
      <c r="N15" s="52">
        <v>40427</v>
      </c>
      <c r="O15" s="52">
        <v>30493</v>
      </c>
      <c r="P15" s="52">
        <v>19084</v>
      </c>
      <c r="Q15" s="52">
        <v>14942</v>
      </c>
      <c r="R15" s="52">
        <v>14429</v>
      </c>
      <c r="S15" s="58">
        <v>14429</v>
      </c>
      <c r="T15" s="58">
        <v>42407</v>
      </c>
      <c r="U15" s="121">
        <v>3</v>
      </c>
      <c r="V15" s="58">
        <v>3</v>
      </c>
      <c r="W15" s="58">
        <v>3</v>
      </c>
      <c r="X15" s="58">
        <v>3</v>
      </c>
      <c r="Y15" s="58">
        <v>3</v>
      </c>
      <c r="Z15" s="58">
        <v>3</v>
      </c>
      <c r="AA15" s="58">
        <v>3</v>
      </c>
      <c r="AB15" s="58">
        <v>2</v>
      </c>
      <c r="AC15" s="58">
        <v>3</v>
      </c>
      <c r="AD15" s="58">
        <v>3</v>
      </c>
      <c r="AE15" s="58">
        <v>3</v>
      </c>
      <c r="AF15" s="58">
        <v>3</v>
      </c>
      <c r="AG15" s="167">
        <v>1762</v>
      </c>
      <c r="AH15" s="52">
        <v>5866</v>
      </c>
      <c r="AI15" s="52">
        <v>2867</v>
      </c>
      <c r="AJ15" s="52">
        <v>4574</v>
      </c>
      <c r="AK15" s="52">
        <v>1254</v>
      </c>
      <c r="AL15" s="52">
        <v>10107</v>
      </c>
      <c r="AM15" s="52">
        <v>4574</v>
      </c>
      <c r="AN15" s="52">
        <v>0</v>
      </c>
      <c r="AO15" s="52">
        <v>2988</v>
      </c>
      <c r="AP15" s="52">
        <v>2255</v>
      </c>
      <c r="AQ15" s="52">
        <v>3611</v>
      </c>
      <c r="AR15" s="52">
        <v>3839</v>
      </c>
      <c r="AS15" s="259">
        <v>10107</v>
      </c>
      <c r="AT15" s="167">
        <v>352</v>
      </c>
      <c r="AU15" s="52">
        <v>1082.8</v>
      </c>
      <c r="AV15" s="52">
        <v>573</v>
      </c>
      <c r="AW15" s="52">
        <v>915</v>
      </c>
      <c r="AX15" s="52">
        <v>251</v>
      </c>
      <c r="AY15" s="52">
        <v>2021</v>
      </c>
      <c r="AZ15" s="52">
        <v>915</v>
      </c>
      <c r="BA15" s="52">
        <v>0</v>
      </c>
      <c r="BB15" s="52">
        <v>598</v>
      </c>
      <c r="BC15" s="52">
        <v>451</v>
      </c>
      <c r="BD15" s="52">
        <v>722</v>
      </c>
      <c r="BE15" s="52">
        <v>768</v>
      </c>
      <c r="BF15" s="259">
        <v>2021</v>
      </c>
    </row>
    <row r="16" spans="1:58" ht="14.25" x14ac:dyDescent="0.45">
      <c r="A16" t="s">
        <v>265</v>
      </c>
      <c r="B16" t="s">
        <v>266</v>
      </c>
      <c r="C16" t="s">
        <v>245</v>
      </c>
      <c r="D16" t="s">
        <v>199</v>
      </c>
      <c r="E16" t="s">
        <v>267</v>
      </c>
      <c r="F16" s="54">
        <v>59270</v>
      </c>
      <c r="G16" s="8">
        <v>0</v>
      </c>
      <c r="H16" s="8">
        <v>59270</v>
      </c>
      <c r="I16" s="124">
        <v>225</v>
      </c>
      <c r="J16" s="58">
        <v>16026</v>
      </c>
      <c r="K16" s="52">
        <v>47101</v>
      </c>
      <c r="L16" s="52">
        <v>52751</v>
      </c>
      <c r="M16" s="52">
        <v>29144</v>
      </c>
      <c r="N16" s="52">
        <v>42806</v>
      </c>
      <c r="O16" s="52">
        <v>52751</v>
      </c>
      <c r="P16" s="52">
        <v>23942</v>
      </c>
      <c r="Q16" s="52">
        <v>16596</v>
      </c>
      <c r="R16" s="52">
        <v>16026</v>
      </c>
      <c r="S16" s="58">
        <v>16026</v>
      </c>
      <c r="T16" s="58">
        <v>52751</v>
      </c>
      <c r="U16" s="121">
        <v>2</v>
      </c>
      <c r="V16" s="58">
        <v>3</v>
      </c>
      <c r="W16" s="58">
        <v>3</v>
      </c>
      <c r="X16" s="58">
        <v>3</v>
      </c>
      <c r="Y16" s="58">
        <v>3</v>
      </c>
      <c r="Z16" s="58">
        <v>3</v>
      </c>
      <c r="AA16" s="58">
        <v>3</v>
      </c>
      <c r="AB16" s="58">
        <v>3</v>
      </c>
      <c r="AC16" s="58">
        <v>3</v>
      </c>
      <c r="AD16" s="58">
        <v>3</v>
      </c>
      <c r="AE16" s="58">
        <v>3</v>
      </c>
      <c r="AF16" s="58">
        <v>3</v>
      </c>
      <c r="AG16" s="167">
        <v>0</v>
      </c>
      <c r="AH16" s="52">
        <v>6514</v>
      </c>
      <c r="AI16" s="52">
        <v>3185</v>
      </c>
      <c r="AJ16" s="52">
        <v>7913</v>
      </c>
      <c r="AK16" s="52">
        <v>1457</v>
      </c>
      <c r="AL16" s="52">
        <v>10702</v>
      </c>
      <c r="AM16" s="52">
        <v>7913</v>
      </c>
      <c r="AN16" s="52">
        <v>6242</v>
      </c>
      <c r="AO16" s="52">
        <v>3319</v>
      </c>
      <c r="AP16" s="52">
        <v>2504</v>
      </c>
      <c r="AQ16" s="52">
        <v>4010</v>
      </c>
      <c r="AR16" s="52">
        <v>1026</v>
      </c>
      <c r="AS16" s="259">
        <v>10702</v>
      </c>
      <c r="AT16" s="167">
        <v>0</v>
      </c>
      <c r="AU16" s="52">
        <v>1202.8</v>
      </c>
      <c r="AV16" s="52">
        <v>637</v>
      </c>
      <c r="AW16" s="52">
        <v>1583</v>
      </c>
      <c r="AX16" s="52">
        <v>291</v>
      </c>
      <c r="AY16" s="52">
        <v>2140</v>
      </c>
      <c r="AZ16" s="52">
        <v>1583</v>
      </c>
      <c r="BA16" s="52">
        <v>1248</v>
      </c>
      <c r="BB16" s="52">
        <v>664</v>
      </c>
      <c r="BC16" s="52">
        <v>501</v>
      </c>
      <c r="BD16" s="52">
        <v>802</v>
      </c>
      <c r="BE16" s="52">
        <v>205</v>
      </c>
      <c r="BF16" s="259">
        <v>2140</v>
      </c>
    </row>
    <row r="17" spans="1:58" ht="14.25" x14ac:dyDescent="0.45">
      <c r="A17" t="s">
        <v>268</v>
      </c>
      <c r="B17" t="s">
        <v>269</v>
      </c>
      <c r="C17" t="s">
        <v>252</v>
      </c>
      <c r="D17" t="s">
        <v>193</v>
      </c>
      <c r="E17" t="s">
        <v>270</v>
      </c>
      <c r="F17" s="51">
        <v>7270</v>
      </c>
      <c r="G17" s="51">
        <v>0</v>
      </c>
      <c r="H17" s="51">
        <v>0</v>
      </c>
      <c r="I17" s="125">
        <v>0</v>
      </c>
      <c r="J17" s="58">
        <v>3159</v>
      </c>
      <c r="K17" s="51">
        <v>0</v>
      </c>
      <c r="L17" s="51">
        <v>0</v>
      </c>
      <c r="M17" s="51">
        <v>0</v>
      </c>
      <c r="N17" s="51">
        <v>0</v>
      </c>
      <c r="O17" s="51">
        <v>0</v>
      </c>
      <c r="P17" s="51">
        <v>0</v>
      </c>
      <c r="Q17" s="51">
        <v>0</v>
      </c>
      <c r="R17" s="51">
        <v>0</v>
      </c>
      <c r="S17" s="58">
        <v>3159</v>
      </c>
      <c r="T17" s="58">
        <v>3159</v>
      </c>
      <c r="U17" s="122"/>
      <c r="V17" s="60">
        <v>4</v>
      </c>
      <c r="W17" s="60"/>
      <c r="X17" s="60"/>
      <c r="Y17" s="60"/>
      <c r="Z17" s="60"/>
      <c r="AA17" s="60"/>
      <c r="AB17" s="60"/>
      <c r="AC17" s="60"/>
      <c r="AD17" s="60"/>
      <c r="AE17" s="58">
        <v>4</v>
      </c>
      <c r="AF17" s="60">
        <v>5</v>
      </c>
      <c r="AG17" s="57">
        <v>0</v>
      </c>
      <c r="AH17" s="51">
        <v>602</v>
      </c>
      <c r="AI17" s="51">
        <v>0</v>
      </c>
      <c r="AJ17" s="51">
        <v>0</v>
      </c>
      <c r="AK17" s="51">
        <v>0</v>
      </c>
      <c r="AL17" s="51">
        <v>0</v>
      </c>
      <c r="AM17" s="51">
        <v>0</v>
      </c>
      <c r="AN17" s="51">
        <v>0</v>
      </c>
      <c r="AO17" s="51">
        <v>0</v>
      </c>
      <c r="AP17" s="51">
        <v>0</v>
      </c>
      <c r="AQ17" s="52">
        <v>602</v>
      </c>
      <c r="AR17" s="51">
        <v>0</v>
      </c>
      <c r="AS17" s="260">
        <v>602</v>
      </c>
      <c r="AT17" s="57">
        <v>0</v>
      </c>
      <c r="AU17" s="51">
        <v>602</v>
      </c>
      <c r="AV17" s="51">
        <v>0</v>
      </c>
      <c r="AW17" s="51">
        <v>0</v>
      </c>
      <c r="AX17" s="51">
        <v>0</v>
      </c>
      <c r="AY17" s="51">
        <v>0</v>
      </c>
      <c r="AZ17" s="51">
        <v>0</v>
      </c>
      <c r="BA17" s="51">
        <v>0</v>
      </c>
      <c r="BB17" s="51">
        <v>0</v>
      </c>
      <c r="BC17" s="51">
        <v>0</v>
      </c>
      <c r="BD17" s="52">
        <v>602</v>
      </c>
      <c r="BE17" s="51">
        <v>0</v>
      </c>
      <c r="BF17" s="260">
        <v>602</v>
      </c>
    </row>
    <row r="18" spans="1:58" ht="14.25" x14ac:dyDescent="0.45">
      <c r="A18" t="s">
        <v>268</v>
      </c>
      <c r="B18" t="s">
        <v>269</v>
      </c>
      <c r="C18" t="s">
        <v>271</v>
      </c>
      <c r="D18" t="s">
        <v>196</v>
      </c>
      <c r="E18" t="s">
        <v>272</v>
      </c>
      <c r="F18" s="54">
        <v>16083</v>
      </c>
      <c r="G18" s="8">
        <v>0</v>
      </c>
      <c r="H18" s="8">
        <v>16083</v>
      </c>
      <c r="I18" s="126">
        <v>843</v>
      </c>
      <c r="J18" s="58">
        <v>12922</v>
      </c>
      <c r="K18" s="8">
        <v>12780</v>
      </c>
      <c r="L18" s="8">
        <v>13718</v>
      </c>
      <c r="M18" s="8">
        <v>12113</v>
      </c>
      <c r="N18" s="8">
        <v>14621</v>
      </c>
      <c r="O18" s="8">
        <v>13718</v>
      </c>
      <c r="P18" s="8">
        <v>7787</v>
      </c>
      <c r="Q18" s="8">
        <v>6304</v>
      </c>
      <c r="R18" s="8">
        <v>12922</v>
      </c>
      <c r="S18" s="58">
        <v>12922</v>
      </c>
      <c r="T18" s="58">
        <v>14621</v>
      </c>
      <c r="U18" s="121">
        <v>4</v>
      </c>
      <c r="V18" s="58">
        <v>4</v>
      </c>
      <c r="W18" s="58">
        <v>4</v>
      </c>
      <c r="X18" s="58">
        <v>4</v>
      </c>
      <c r="Y18" s="58">
        <v>4</v>
      </c>
      <c r="Z18" s="58">
        <v>4</v>
      </c>
      <c r="AA18" s="58">
        <v>4</v>
      </c>
      <c r="AB18" s="58">
        <v>4</v>
      </c>
      <c r="AC18" s="58">
        <v>4</v>
      </c>
      <c r="AD18" s="58">
        <v>4</v>
      </c>
      <c r="AE18" s="58">
        <v>4</v>
      </c>
      <c r="AF18" s="58">
        <v>4</v>
      </c>
      <c r="AG18" s="54">
        <v>759</v>
      </c>
      <c r="AH18" s="8">
        <v>7153</v>
      </c>
      <c r="AI18" s="8">
        <v>2881</v>
      </c>
      <c r="AJ18" s="8">
        <v>8231</v>
      </c>
      <c r="AK18" s="8">
        <v>8380</v>
      </c>
      <c r="AL18" s="8">
        <v>7310</v>
      </c>
      <c r="AM18" s="8">
        <v>8231</v>
      </c>
      <c r="AN18" s="8">
        <v>4881</v>
      </c>
      <c r="AO18" s="8">
        <v>1891</v>
      </c>
      <c r="AP18" s="8">
        <v>5632</v>
      </c>
      <c r="AQ18" s="8">
        <v>7153</v>
      </c>
      <c r="AR18" s="8">
        <v>0</v>
      </c>
      <c r="AS18" s="202">
        <v>8380</v>
      </c>
      <c r="AT18" s="54">
        <v>759</v>
      </c>
      <c r="AU18" s="8">
        <v>7153</v>
      </c>
      <c r="AV18" s="8">
        <v>2881</v>
      </c>
      <c r="AW18" s="8">
        <v>8231</v>
      </c>
      <c r="AX18" s="8">
        <v>8380</v>
      </c>
      <c r="AY18" s="8">
        <v>7310</v>
      </c>
      <c r="AZ18" s="8">
        <v>8231</v>
      </c>
      <c r="BA18" s="8">
        <v>4881</v>
      </c>
      <c r="BB18" s="8">
        <v>1891</v>
      </c>
      <c r="BC18" s="8">
        <v>5632</v>
      </c>
      <c r="BD18" s="8">
        <v>7153</v>
      </c>
      <c r="BE18" s="8">
        <v>0</v>
      </c>
      <c r="BF18" s="202">
        <v>8380</v>
      </c>
    </row>
    <row r="19" spans="1:58" ht="14.25" x14ac:dyDescent="0.45">
      <c r="A19" t="s">
        <v>268</v>
      </c>
      <c r="B19" t="s">
        <v>269</v>
      </c>
      <c r="C19" t="s">
        <v>256</v>
      </c>
      <c r="D19" t="s">
        <v>199</v>
      </c>
      <c r="E19" t="s">
        <v>273</v>
      </c>
      <c r="F19" s="54">
        <v>1034</v>
      </c>
      <c r="G19" s="8">
        <v>0</v>
      </c>
      <c r="H19" s="8">
        <v>1034</v>
      </c>
      <c r="I19" s="124">
        <v>54</v>
      </c>
      <c r="J19" s="58">
        <v>215</v>
      </c>
      <c r="K19" s="52">
        <v>821</v>
      </c>
      <c r="L19" s="52">
        <v>517</v>
      </c>
      <c r="M19" s="52">
        <v>607</v>
      </c>
      <c r="N19" s="52">
        <v>672</v>
      </c>
      <c r="O19" s="52">
        <v>517</v>
      </c>
      <c r="P19" s="52">
        <v>491</v>
      </c>
      <c r="Q19" s="52">
        <v>405</v>
      </c>
      <c r="R19" s="52">
        <v>215</v>
      </c>
      <c r="S19" s="58">
        <v>215</v>
      </c>
      <c r="T19" s="58">
        <v>821</v>
      </c>
      <c r="U19" s="121">
        <v>4</v>
      </c>
      <c r="V19" s="58">
        <v>4</v>
      </c>
      <c r="W19" s="58">
        <v>4</v>
      </c>
      <c r="X19" s="58">
        <v>4</v>
      </c>
      <c r="Y19" s="58">
        <v>4</v>
      </c>
      <c r="Z19" s="58">
        <v>3</v>
      </c>
      <c r="AA19" s="58">
        <v>4</v>
      </c>
      <c r="AB19" s="58">
        <v>4</v>
      </c>
      <c r="AC19" s="58">
        <v>4</v>
      </c>
      <c r="AD19" s="58">
        <v>4</v>
      </c>
      <c r="AE19" s="58">
        <v>4</v>
      </c>
      <c r="AF19" s="58">
        <v>4</v>
      </c>
      <c r="AG19" s="167">
        <v>49</v>
      </c>
      <c r="AH19" s="52">
        <v>209</v>
      </c>
      <c r="AI19" s="52">
        <v>56</v>
      </c>
      <c r="AJ19" s="52">
        <v>290</v>
      </c>
      <c r="AK19" s="52">
        <v>61</v>
      </c>
      <c r="AL19" s="52">
        <v>168</v>
      </c>
      <c r="AM19" s="52">
        <v>259</v>
      </c>
      <c r="AN19" s="52">
        <v>290</v>
      </c>
      <c r="AO19" s="52">
        <v>122</v>
      </c>
      <c r="AP19" s="52">
        <v>101</v>
      </c>
      <c r="AQ19" s="52">
        <v>108</v>
      </c>
      <c r="AR19" s="52">
        <v>15</v>
      </c>
      <c r="AS19" s="259">
        <v>290</v>
      </c>
      <c r="AT19" s="167">
        <v>49</v>
      </c>
      <c r="AU19" s="52">
        <v>188.8</v>
      </c>
      <c r="AV19" s="52">
        <v>56</v>
      </c>
      <c r="AW19" s="52">
        <v>290</v>
      </c>
      <c r="AX19" s="52">
        <v>61</v>
      </c>
      <c r="AY19" s="52">
        <v>34</v>
      </c>
      <c r="AZ19" s="52">
        <v>259</v>
      </c>
      <c r="BA19" s="52">
        <v>290</v>
      </c>
      <c r="BB19" s="52">
        <v>122</v>
      </c>
      <c r="BC19" s="52">
        <v>101</v>
      </c>
      <c r="BD19" s="52">
        <v>108</v>
      </c>
      <c r="BE19" s="52">
        <v>15</v>
      </c>
      <c r="BF19" s="259">
        <v>290</v>
      </c>
    </row>
    <row r="20" spans="1:58" ht="14.25" x14ac:dyDescent="0.45">
      <c r="A20" t="s">
        <v>268</v>
      </c>
      <c r="B20" t="s">
        <v>269</v>
      </c>
      <c r="C20" t="s">
        <v>274</v>
      </c>
      <c r="D20" t="s">
        <v>196</v>
      </c>
      <c r="E20" t="s">
        <v>275</v>
      </c>
      <c r="F20" s="54">
        <v>94917</v>
      </c>
      <c r="G20" s="8">
        <v>0</v>
      </c>
      <c r="H20" s="8">
        <v>94917</v>
      </c>
      <c r="I20" s="126">
        <v>8356</v>
      </c>
      <c r="J20" s="58">
        <v>76589</v>
      </c>
      <c r="K20" s="8">
        <v>75428</v>
      </c>
      <c r="L20" s="8">
        <v>77452</v>
      </c>
      <c r="M20" s="8">
        <v>71491</v>
      </c>
      <c r="N20" s="8">
        <v>78781</v>
      </c>
      <c r="O20" s="8">
        <v>77452</v>
      </c>
      <c r="P20" s="8">
        <v>43823</v>
      </c>
      <c r="Q20" s="8">
        <v>37207</v>
      </c>
      <c r="R20" s="8">
        <v>76589</v>
      </c>
      <c r="S20" s="58">
        <v>76589</v>
      </c>
      <c r="T20" s="58">
        <v>78781</v>
      </c>
      <c r="U20" s="121">
        <v>4</v>
      </c>
      <c r="V20" s="58">
        <v>4</v>
      </c>
      <c r="W20" s="58">
        <v>4</v>
      </c>
      <c r="X20" s="58">
        <v>4</v>
      </c>
      <c r="Y20" s="58">
        <v>4</v>
      </c>
      <c r="Z20" s="58">
        <v>4</v>
      </c>
      <c r="AA20" s="58">
        <v>4</v>
      </c>
      <c r="AB20" s="58">
        <v>4</v>
      </c>
      <c r="AC20" s="58">
        <v>4</v>
      </c>
      <c r="AD20" s="58">
        <v>4</v>
      </c>
      <c r="AE20" s="58">
        <v>4</v>
      </c>
      <c r="AF20" s="58">
        <v>4</v>
      </c>
      <c r="AG20" s="54">
        <v>7521</v>
      </c>
      <c r="AH20" s="8">
        <v>33237</v>
      </c>
      <c r="AI20" s="8">
        <v>17000</v>
      </c>
      <c r="AJ20" s="8">
        <v>46471</v>
      </c>
      <c r="AK20" s="8">
        <v>45600</v>
      </c>
      <c r="AL20" s="8">
        <v>39390</v>
      </c>
      <c r="AM20" s="8">
        <v>46471</v>
      </c>
      <c r="AN20" s="8">
        <v>27737</v>
      </c>
      <c r="AO20" s="8">
        <v>11162</v>
      </c>
      <c r="AP20" s="8">
        <v>33237</v>
      </c>
      <c r="AQ20" s="8">
        <v>25954</v>
      </c>
      <c r="AR20" s="8">
        <v>0</v>
      </c>
      <c r="AS20" s="202">
        <v>46471</v>
      </c>
      <c r="AT20" s="54">
        <v>7521</v>
      </c>
      <c r="AU20" s="8">
        <v>33237</v>
      </c>
      <c r="AV20" s="8">
        <v>17000</v>
      </c>
      <c r="AW20" s="8">
        <v>46471</v>
      </c>
      <c r="AX20" s="8">
        <v>45600</v>
      </c>
      <c r="AY20" s="8">
        <v>39390</v>
      </c>
      <c r="AZ20" s="8">
        <v>46471</v>
      </c>
      <c r="BA20" s="8">
        <v>27737</v>
      </c>
      <c r="BB20" s="8">
        <v>11162</v>
      </c>
      <c r="BC20" s="8">
        <v>33237</v>
      </c>
      <c r="BD20" s="8">
        <v>25954</v>
      </c>
      <c r="BE20" s="8">
        <v>0</v>
      </c>
      <c r="BF20" s="202">
        <v>46471</v>
      </c>
    </row>
    <row r="21" spans="1:58" ht="14.25" x14ac:dyDescent="0.45">
      <c r="A21" t="s">
        <v>276</v>
      </c>
      <c r="B21" t="s">
        <v>277</v>
      </c>
      <c r="C21" t="s">
        <v>245</v>
      </c>
      <c r="D21" t="s">
        <v>199</v>
      </c>
      <c r="E21" t="s">
        <v>278</v>
      </c>
      <c r="F21" s="54">
        <v>69755</v>
      </c>
      <c r="G21" s="8">
        <v>0</v>
      </c>
      <c r="H21" s="8">
        <v>69755</v>
      </c>
      <c r="I21" s="124">
        <v>6141</v>
      </c>
      <c r="J21" s="58">
        <v>18861</v>
      </c>
      <c r="K21" s="52">
        <v>55433</v>
      </c>
      <c r="L21" s="52">
        <v>62082</v>
      </c>
      <c r="M21" s="52">
        <v>34300</v>
      </c>
      <c r="N21" s="52">
        <v>39237</v>
      </c>
      <c r="O21" s="52">
        <v>62082</v>
      </c>
      <c r="P21" s="52">
        <v>22888</v>
      </c>
      <c r="Q21" s="52">
        <v>19532</v>
      </c>
      <c r="R21" s="52">
        <v>18861</v>
      </c>
      <c r="S21" s="58">
        <v>18861</v>
      </c>
      <c r="T21" s="58">
        <v>62082</v>
      </c>
      <c r="U21" s="121">
        <v>3</v>
      </c>
      <c r="V21" s="58">
        <v>3</v>
      </c>
      <c r="W21" s="58">
        <v>3</v>
      </c>
      <c r="X21" s="58">
        <v>3</v>
      </c>
      <c r="Y21" s="58">
        <v>2</v>
      </c>
      <c r="Z21" s="58">
        <v>3</v>
      </c>
      <c r="AA21" s="58">
        <v>3</v>
      </c>
      <c r="AB21" s="58">
        <v>2</v>
      </c>
      <c r="AC21" s="58">
        <v>3</v>
      </c>
      <c r="AD21" s="58">
        <v>3</v>
      </c>
      <c r="AE21" s="58">
        <v>3</v>
      </c>
      <c r="AF21" s="58">
        <v>3</v>
      </c>
      <c r="AG21" s="167">
        <v>2764</v>
      </c>
      <c r="AH21" s="52">
        <v>7664</v>
      </c>
      <c r="AI21" s="52">
        <v>3748</v>
      </c>
      <c r="AJ21" s="52">
        <v>9312</v>
      </c>
      <c r="AK21" s="52">
        <v>0</v>
      </c>
      <c r="AL21" s="52">
        <v>9809</v>
      </c>
      <c r="AM21" s="52">
        <v>9312</v>
      </c>
      <c r="AN21" s="52">
        <v>0</v>
      </c>
      <c r="AO21" s="52">
        <v>3906</v>
      </c>
      <c r="AP21" s="52">
        <v>2947</v>
      </c>
      <c r="AQ21" s="52">
        <v>4717</v>
      </c>
      <c r="AR21" s="52">
        <v>1241</v>
      </c>
      <c r="AS21" s="259">
        <v>9809</v>
      </c>
      <c r="AT21" s="167">
        <v>553</v>
      </c>
      <c r="AU21" s="52">
        <v>1414.2</v>
      </c>
      <c r="AV21" s="52">
        <v>750</v>
      </c>
      <c r="AW21" s="52">
        <v>1862</v>
      </c>
      <c r="AX21" s="52">
        <v>0</v>
      </c>
      <c r="AY21" s="52">
        <v>1962</v>
      </c>
      <c r="AZ21" s="52">
        <v>1862</v>
      </c>
      <c r="BA21" s="52">
        <v>0</v>
      </c>
      <c r="BB21" s="52">
        <v>781</v>
      </c>
      <c r="BC21" s="52">
        <v>589</v>
      </c>
      <c r="BD21" s="52">
        <v>943</v>
      </c>
      <c r="BE21" s="52">
        <v>248</v>
      </c>
      <c r="BF21" s="259">
        <v>1962</v>
      </c>
    </row>
    <row r="22" spans="1:58" ht="14.25" x14ac:dyDescent="0.45">
      <c r="A22" t="s">
        <v>279</v>
      </c>
      <c r="B22" t="s">
        <v>280</v>
      </c>
      <c r="C22" t="s">
        <v>245</v>
      </c>
      <c r="D22" t="s">
        <v>199</v>
      </c>
      <c r="E22" t="s">
        <v>281</v>
      </c>
      <c r="F22" s="54">
        <v>198646</v>
      </c>
      <c r="G22" s="8">
        <v>0</v>
      </c>
      <c r="H22" s="8">
        <v>198646</v>
      </c>
      <c r="I22" s="124">
        <v>37476</v>
      </c>
      <c r="J22" s="58">
        <v>53711</v>
      </c>
      <c r="K22" s="52">
        <v>157859</v>
      </c>
      <c r="L22" s="52">
        <v>168417</v>
      </c>
      <c r="M22" s="52">
        <v>97678</v>
      </c>
      <c r="N22" s="52">
        <v>168548</v>
      </c>
      <c r="O22" s="52">
        <v>168417</v>
      </c>
      <c r="P22" s="52">
        <v>71154</v>
      </c>
      <c r="Q22" s="52">
        <v>55621</v>
      </c>
      <c r="R22" s="52">
        <v>53711</v>
      </c>
      <c r="S22" s="58">
        <v>53711</v>
      </c>
      <c r="T22" s="58">
        <v>168548</v>
      </c>
      <c r="U22" s="121">
        <v>3</v>
      </c>
      <c r="V22" s="58">
        <v>3</v>
      </c>
      <c r="W22" s="58">
        <v>4</v>
      </c>
      <c r="X22" s="58">
        <v>3</v>
      </c>
      <c r="Y22" s="58">
        <v>3</v>
      </c>
      <c r="Z22" s="58">
        <v>3</v>
      </c>
      <c r="AA22" s="58">
        <v>4</v>
      </c>
      <c r="AB22" s="58">
        <v>3</v>
      </c>
      <c r="AC22" s="58">
        <v>3</v>
      </c>
      <c r="AD22" s="58">
        <v>3</v>
      </c>
      <c r="AE22" s="58">
        <v>3</v>
      </c>
      <c r="AF22" s="58">
        <v>3</v>
      </c>
      <c r="AG22" s="167">
        <v>16864</v>
      </c>
      <c r="AH22" s="52">
        <v>21822</v>
      </c>
      <c r="AI22" s="52">
        <v>10674</v>
      </c>
      <c r="AJ22" s="52">
        <v>84209</v>
      </c>
      <c r="AK22" s="52">
        <v>4884</v>
      </c>
      <c r="AL22" s="52">
        <v>42137</v>
      </c>
      <c r="AM22" s="52">
        <v>84209</v>
      </c>
      <c r="AN22" s="52">
        <v>18345</v>
      </c>
      <c r="AO22" s="52">
        <v>11124</v>
      </c>
      <c r="AP22" s="52">
        <v>8392</v>
      </c>
      <c r="AQ22" s="52">
        <v>13430</v>
      </c>
      <c r="AR22" s="52">
        <v>9357</v>
      </c>
      <c r="AS22" s="259">
        <v>84209</v>
      </c>
      <c r="AT22" s="167">
        <v>3373</v>
      </c>
      <c r="AU22" s="52">
        <v>4028.4</v>
      </c>
      <c r="AV22" s="52">
        <v>10674</v>
      </c>
      <c r="AW22" s="52">
        <v>84209</v>
      </c>
      <c r="AX22" s="52">
        <v>977</v>
      </c>
      <c r="AY22" s="52">
        <v>8427</v>
      </c>
      <c r="AZ22" s="52">
        <v>84209</v>
      </c>
      <c r="BA22" s="52">
        <v>3669</v>
      </c>
      <c r="BB22" s="52">
        <v>2225</v>
      </c>
      <c r="BC22" s="52">
        <v>1678</v>
      </c>
      <c r="BD22" s="52">
        <v>2686</v>
      </c>
      <c r="BE22" s="52">
        <v>1871</v>
      </c>
      <c r="BF22" s="259">
        <v>84209</v>
      </c>
    </row>
    <row r="23" spans="1:58" ht="14.25" x14ac:dyDescent="0.45">
      <c r="A23" t="s">
        <v>282</v>
      </c>
      <c r="B23" t="s">
        <v>283</v>
      </c>
      <c r="C23" t="s">
        <v>245</v>
      </c>
      <c r="D23" t="s">
        <v>199</v>
      </c>
      <c r="E23" t="s">
        <v>284</v>
      </c>
      <c r="F23" s="54">
        <v>61952</v>
      </c>
      <c r="G23" s="8">
        <v>0</v>
      </c>
      <c r="H23" s="8">
        <v>61952</v>
      </c>
      <c r="I23" s="124">
        <v>13636</v>
      </c>
      <c r="J23" s="58">
        <v>16751</v>
      </c>
      <c r="K23" s="52">
        <v>49232</v>
      </c>
      <c r="L23" s="52">
        <v>52171</v>
      </c>
      <c r="M23" s="52">
        <v>30463</v>
      </c>
      <c r="N23" s="52">
        <v>38942</v>
      </c>
      <c r="O23" s="52">
        <v>52171</v>
      </c>
      <c r="P23" s="52">
        <v>27027</v>
      </c>
      <c r="Q23" s="52">
        <v>17347</v>
      </c>
      <c r="R23" s="52">
        <v>16751</v>
      </c>
      <c r="S23" s="58">
        <v>16751</v>
      </c>
      <c r="T23" s="58">
        <v>52171</v>
      </c>
      <c r="U23" s="121">
        <v>3</v>
      </c>
      <c r="V23" s="58">
        <v>3</v>
      </c>
      <c r="W23" s="58">
        <v>4</v>
      </c>
      <c r="X23" s="58">
        <v>3</v>
      </c>
      <c r="Y23" s="58">
        <v>3</v>
      </c>
      <c r="Z23" s="58">
        <v>3</v>
      </c>
      <c r="AA23" s="58">
        <v>4</v>
      </c>
      <c r="AB23" s="58">
        <v>3</v>
      </c>
      <c r="AC23" s="58">
        <v>3</v>
      </c>
      <c r="AD23" s="58">
        <v>3</v>
      </c>
      <c r="AE23" s="58">
        <v>3</v>
      </c>
      <c r="AF23" s="58">
        <v>3</v>
      </c>
      <c r="AG23" s="167">
        <v>6136</v>
      </c>
      <c r="AH23" s="52">
        <v>6807</v>
      </c>
      <c r="AI23" s="52">
        <v>3329</v>
      </c>
      <c r="AJ23" s="52">
        <v>26086</v>
      </c>
      <c r="AK23" s="52">
        <v>1458</v>
      </c>
      <c r="AL23" s="52">
        <v>9735</v>
      </c>
      <c r="AM23" s="52">
        <v>26086</v>
      </c>
      <c r="AN23" s="52">
        <v>6942</v>
      </c>
      <c r="AO23" s="52">
        <v>3469</v>
      </c>
      <c r="AP23" s="52">
        <v>2617</v>
      </c>
      <c r="AQ23" s="52">
        <v>4190</v>
      </c>
      <c r="AR23" s="52">
        <v>5167</v>
      </c>
      <c r="AS23" s="259">
        <v>26086</v>
      </c>
      <c r="AT23" s="167">
        <v>1227</v>
      </c>
      <c r="AU23" s="52">
        <v>1256.4000000000001</v>
      </c>
      <c r="AV23" s="52">
        <v>3329</v>
      </c>
      <c r="AW23" s="52">
        <v>26086</v>
      </c>
      <c r="AX23" s="52">
        <v>292</v>
      </c>
      <c r="AY23" s="52">
        <v>1947</v>
      </c>
      <c r="AZ23" s="52">
        <v>26086</v>
      </c>
      <c r="BA23" s="52">
        <v>1388</v>
      </c>
      <c r="BB23" s="52">
        <v>694</v>
      </c>
      <c r="BC23" s="52">
        <v>523</v>
      </c>
      <c r="BD23" s="52">
        <v>838</v>
      </c>
      <c r="BE23" s="52">
        <v>1033</v>
      </c>
      <c r="BF23" s="259">
        <v>26086</v>
      </c>
    </row>
    <row r="24" spans="1:58" ht="14.25" x14ac:dyDescent="0.45">
      <c r="A24" t="s">
        <v>285</v>
      </c>
      <c r="B24" t="s">
        <v>286</v>
      </c>
      <c r="C24" t="s">
        <v>245</v>
      </c>
      <c r="D24" t="s">
        <v>199</v>
      </c>
      <c r="E24" t="s">
        <v>287</v>
      </c>
      <c r="F24" s="54">
        <v>131461</v>
      </c>
      <c r="G24" s="8">
        <v>0</v>
      </c>
      <c r="H24" s="8">
        <v>131461</v>
      </c>
      <c r="I24" s="124">
        <v>6972</v>
      </c>
      <c r="J24" s="58">
        <v>35546</v>
      </c>
      <c r="K24" s="52">
        <v>104469</v>
      </c>
      <c r="L24" s="52">
        <v>117001</v>
      </c>
      <c r="M24" s="52">
        <v>64642</v>
      </c>
      <c r="N24" s="52">
        <v>100161</v>
      </c>
      <c r="O24" s="52">
        <v>117001</v>
      </c>
      <c r="P24" s="52">
        <v>55761</v>
      </c>
      <c r="Q24" s="52">
        <v>36809</v>
      </c>
      <c r="R24" s="52">
        <v>35546</v>
      </c>
      <c r="S24" s="58">
        <v>35546</v>
      </c>
      <c r="T24" s="58">
        <v>117001</v>
      </c>
      <c r="U24" s="121">
        <v>3</v>
      </c>
      <c r="V24" s="58">
        <v>3</v>
      </c>
      <c r="W24" s="58">
        <v>3</v>
      </c>
      <c r="X24" s="58">
        <v>3</v>
      </c>
      <c r="Y24" s="58">
        <v>3</v>
      </c>
      <c r="Z24" s="58">
        <v>3</v>
      </c>
      <c r="AA24" s="58">
        <v>4</v>
      </c>
      <c r="AB24" s="58">
        <v>3</v>
      </c>
      <c r="AC24" s="58">
        <v>3</v>
      </c>
      <c r="AD24" s="58">
        <v>3</v>
      </c>
      <c r="AE24" s="58">
        <v>3</v>
      </c>
      <c r="AF24" s="58">
        <v>3</v>
      </c>
      <c r="AG24" s="167">
        <v>3137</v>
      </c>
      <c r="AH24" s="52">
        <v>14443</v>
      </c>
      <c r="AI24" s="52">
        <v>7064</v>
      </c>
      <c r="AJ24" s="52">
        <v>58501</v>
      </c>
      <c r="AK24" s="52">
        <v>3232</v>
      </c>
      <c r="AL24" s="52">
        <v>25040</v>
      </c>
      <c r="AM24" s="52">
        <v>58501</v>
      </c>
      <c r="AN24" s="52">
        <v>14464</v>
      </c>
      <c r="AO24" s="52">
        <v>7362</v>
      </c>
      <c r="AP24" s="52">
        <v>5554</v>
      </c>
      <c r="AQ24" s="52">
        <v>8889</v>
      </c>
      <c r="AR24" s="52">
        <v>2789</v>
      </c>
      <c r="AS24" s="259">
        <v>58501</v>
      </c>
      <c r="AT24" s="167">
        <v>627</v>
      </c>
      <c r="AU24" s="52">
        <v>2666.8</v>
      </c>
      <c r="AV24" s="52">
        <v>1413</v>
      </c>
      <c r="AW24" s="52">
        <v>58501</v>
      </c>
      <c r="AX24" s="52">
        <v>646</v>
      </c>
      <c r="AY24" s="52">
        <v>5008</v>
      </c>
      <c r="AZ24" s="52">
        <v>58501</v>
      </c>
      <c r="BA24" s="52">
        <v>2893</v>
      </c>
      <c r="BB24" s="52">
        <v>1472</v>
      </c>
      <c r="BC24" s="52">
        <v>1111</v>
      </c>
      <c r="BD24" s="52">
        <v>1778</v>
      </c>
      <c r="BE24" s="52">
        <v>558</v>
      </c>
      <c r="BF24" s="259">
        <v>58501</v>
      </c>
    </row>
    <row r="25" spans="1:58" ht="14.25" x14ac:dyDescent="0.45">
      <c r="A25" t="s">
        <v>288</v>
      </c>
      <c r="B25" t="s">
        <v>289</v>
      </c>
      <c r="C25" t="s">
        <v>252</v>
      </c>
      <c r="D25" t="s">
        <v>193</v>
      </c>
      <c r="E25" t="s">
        <v>290</v>
      </c>
      <c r="F25" s="51">
        <v>5384</v>
      </c>
      <c r="G25" s="51">
        <v>0</v>
      </c>
      <c r="H25" s="51">
        <v>0</v>
      </c>
      <c r="I25" s="125">
        <v>0</v>
      </c>
      <c r="J25" s="58">
        <v>1863</v>
      </c>
      <c r="K25" s="51">
        <v>0</v>
      </c>
      <c r="L25" s="51">
        <v>0</v>
      </c>
      <c r="M25" s="51">
        <v>0</v>
      </c>
      <c r="N25" s="51">
        <v>0</v>
      </c>
      <c r="O25" s="51">
        <v>0</v>
      </c>
      <c r="P25" s="51">
        <v>0</v>
      </c>
      <c r="Q25" s="51">
        <v>0</v>
      </c>
      <c r="R25" s="51">
        <v>0</v>
      </c>
      <c r="S25" s="58">
        <v>1863</v>
      </c>
      <c r="T25" s="58">
        <v>1863</v>
      </c>
      <c r="U25" s="122"/>
      <c r="V25" s="60">
        <v>4</v>
      </c>
      <c r="W25" s="60"/>
      <c r="X25" s="60"/>
      <c r="Y25" s="60"/>
      <c r="Z25" s="60"/>
      <c r="AA25" s="60"/>
      <c r="AB25" s="60"/>
      <c r="AC25" s="60"/>
      <c r="AD25" s="60"/>
      <c r="AE25" s="58">
        <v>4</v>
      </c>
      <c r="AF25" s="60">
        <v>5</v>
      </c>
      <c r="AG25" s="57">
        <v>0</v>
      </c>
      <c r="AH25" s="51">
        <v>355</v>
      </c>
      <c r="AI25" s="51">
        <v>0</v>
      </c>
      <c r="AJ25" s="51">
        <v>0</v>
      </c>
      <c r="AK25" s="51">
        <v>0</v>
      </c>
      <c r="AL25" s="51">
        <v>0</v>
      </c>
      <c r="AM25" s="51">
        <v>0</v>
      </c>
      <c r="AN25" s="51">
        <v>0</v>
      </c>
      <c r="AO25" s="51">
        <v>0</v>
      </c>
      <c r="AP25" s="51">
        <v>0</v>
      </c>
      <c r="AQ25" s="52">
        <v>355</v>
      </c>
      <c r="AR25" s="51">
        <v>0</v>
      </c>
      <c r="AS25" s="260">
        <v>355</v>
      </c>
      <c r="AT25" s="57">
        <v>0</v>
      </c>
      <c r="AU25" s="51">
        <v>355</v>
      </c>
      <c r="AV25" s="51">
        <v>0</v>
      </c>
      <c r="AW25" s="51">
        <v>0</v>
      </c>
      <c r="AX25" s="51">
        <v>0</v>
      </c>
      <c r="AY25" s="51">
        <v>0</v>
      </c>
      <c r="AZ25" s="51">
        <v>0</v>
      </c>
      <c r="BA25" s="51">
        <v>0</v>
      </c>
      <c r="BB25" s="51">
        <v>0</v>
      </c>
      <c r="BC25" s="51">
        <v>0</v>
      </c>
      <c r="BD25" s="52">
        <v>355</v>
      </c>
      <c r="BE25" s="51">
        <v>0</v>
      </c>
      <c r="BF25" s="260">
        <v>355</v>
      </c>
    </row>
    <row r="26" spans="1:58" ht="14.25" x14ac:dyDescent="0.45">
      <c r="A26" t="s">
        <v>288</v>
      </c>
      <c r="B26" t="s">
        <v>289</v>
      </c>
      <c r="C26" t="s">
        <v>291</v>
      </c>
      <c r="D26" t="s">
        <v>196</v>
      </c>
      <c r="E26" t="s">
        <v>292</v>
      </c>
      <c r="F26" s="54">
        <v>5982</v>
      </c>
      <c r="G26" s="8">
        <v>0</v>
      </c>
      <c r="H26" s="8">
        <v>5982</v>
      </c>
      <c r="I26" s="126">
        <v>878</v>
      </c>
      <c r="J26" s="58">
        <v>3689</v>
      </c>
      <c r="K26" s="8">
        <v>4754</v>
      </c>
      <c r="L26" s="8">
        <v>4387</v>
      </c>
      <c r="M26" s="8">
        <v>4506</v>
      </c>
      <c r="N26" s="8">
        <v>5982</v>
      </c>
      <c r="O26" s="8">
        <v>4387</v>
      </c>
      <c r="P26" s="8">
        <v>2891</v>
      </c>
      <c r="Q26" s="8">
        <v>2345</v>
      </c>
      <c r="R26" s="8">
        <v>3689</v>
      </c>
      <c r="S26" s="58">
        <v>3689</v>
      </c>
      <c r="T26" s="58">
        <v>5982</v>
      </c>
      <c r="U26" s="121">
        <v>4</v>
      </c>
      <c r="V26" s="58">
        <v>4</v>
      </c>
      <c r="W26" s="58">
        <v>4</v>
      </c>
      <c r="X26" s="58">
        <v>4</v>
      </c>
      <c r="Y26" s="58">
        <v>4</v>
      </c>
      <c r="Z26" s="58">
        <v>4</v>
      </c>
      <c r="AA26" s="58">
        <v>4</v>
      </c>
      <c r="AB26" s="58">
        <v>4</v>
      </c>
      <c r="AC26" s="58">
        <v>4</v>
      </c>
      <c r="AD26" s="58">
        <v>4</v>
      </c>
      <c r="AE26" s="58">
        <v>4</v>
      </c>
      <c r="AF26" s="58">
        <v>4</v>
      </c>
      <c r="AG26" s="54">
        <v>790</v>
      </c>
      <c r="AH26" s="8">
        <v>3107</v>
      </c>
      <c r="AI26" s="8">
        <v>1071</v>
      </c>
      <c r="AJ26" s="8">
        <v>2632</v>
      </c>
      <c r="AK26" s="8">
        <v>3073</v>
      </c>
      <c r="AL26" s="8">
        <v>2991</v>
      </c>
      <c r="AM26" s="8">
        <v>2632</v>
      </c>
      <c r="AN26" s="8">
        <v>1820</v>
      </c>
      <c r="AO26" s="8">
        <v>703</v>
      </c>
      <c r="AP26" s="8">
        <v>2095</v>
      </c>
      <c r="AQ26" s="8">
        <v>3107</v>
      </c>
      <c r="AR26" s="8">
        <v>0</v>
      </c>
      <c r="AS26" s="202">
        <v>3107</v>
      </c>
      <c r="AT26" s="54">
        <v>790</v>
      </c>
      <c r="AU26" s="8">
        <v>3107</v>
      </c>
      <c r="AV26" s="8">
        <v>1071</v>
      </c>
      <c r="AW26" s="8">
        <v>2632</v>
      </c>
      <c r="AX26" s="8">
        <v>3073</v>
      </c>
      <c r="AY26" s="8">
        <v>2991</v>
      </c>
      <c r="AZ26" s="8">
        <v>2632</v>
      </c>
      <c r="BA26" s="8">
        <v>1820</v>
      </c>
      <c r="BB26" s="8">
        <v>703</v>
      </c>
      <c r="BC26" s="8">
        <v>2095</v>
      </c>
      <c r="BD26" s="8">
        <v>3107</v>
      </c>
      <c r="BE26" s="8">
        <v>0</v>
      </c>
      <c r="BF26" s="202">
        <v>3107</v>
      </c>
    </row>
    <row r="27" spans="1:58" ht="14.25" x14ac:dyDescent="0.45">
      <c r="A27" t="s">
        <v>288</v>
      </c>
      <c r="B27" t="s">
        <v>289</v>
      </c>
      <c r="C27" t="s">
        <v>256</v>
      </c>
      <c r="D27" t="s">
        <v>199</v>
      </c>
      <c r="E27" t="s">
        <v>293</v>
      </c>
      <c r="F27" s="54">
        <v>25821</v>
      </c>
      <c r="G27" s="8">
        <v>0</v>
      </c>
      <c r="H27" s="8">
        <v>25821</v>
      </c>
      <c r="I27" s="124">
        <v>4547</v>
      </c>
      <c r="J27" s="58">
        <v>5381</v>
      </c>
      <c r="K27" s="52">
        <v>20520</v>
      </c>
      <c r="L27" s="52">
        <v>22133</v>
      </c>
      <c r="M27" s="52">
        <v>15163</v>
      </c>
      <c r="N27" s="52">
        <v>16258</v>
      </c>
      <c r="O27" s="52">
        <v>22133</v>
      </c>
      <c r="P27" s="52">
        <v>11529</v>
      </c>
      <c r="Q27" s="52">
        <v>10122</v>
      </c>
      <c r="R27" s="52">
        <v>5381</v>
      </c>
      <c r="S27" s="58">
        <v>5381</v>
      </c>
      <c r="T27" s="58">
        <v>22133</v>
      </c>
      <c r="U27" s="121">
        <v>3</v>
      </c>
      <c r="V27" s="58">
        <v>3</v>
      </c>
      <c r="W27" s="58">
        <v>4</v>
      </c>
      <c r="X27" s="58">
        <v>4</v>
      </c>
      <c r="Y27" s="58">
        <v>4</v>
      </c>
      <c r="Z27" s="58">
        <v>3</v>
      </c>
      <c r="AA27" s="58">
        <v>4</v>
      </c>
      <c r="AB27" s="58">
        <v>4</v>
      </c>
      <c r="AC27" s="58">
        <v>4</v>
      </c>
      <c r="AD27" s="58">
        <v>3</v>
      </c>
      <c r="AE27" s="58">
        <v>3</v>
      </c>
      <c r="AF27" s="58">
        <v>3</v>
      </c>
      <c r="AG27" s="167">
        <v>2046</v>
      </c>
      <c r="AH27" s="52">
        <v>5212</v>
      </c>
      <c r="AI27" s="52">
        <v>1387</v>
      </c>
      <c r="AJ27" s="52">
        <v>11067</v>
      </c>
      <c r="AK27" s="52">
        <v>1474</v>
      </c>
      <c r="AL27" s="52">
        <v>4065</v>
      </c>
      <c r="AM27" s="52">
        <v>11067</v>
      </c>
      <c r="AN27" s="52">
        <v>7222</v>
      </c>
      <c r="AO27" s="52">
        <v>3037</v>
      </c>
      <c r="AP27" s="52">
        <v>2522</v>
      </c>
      <c r="AQ27" s="52">
        <v>2690</v>
      </c>
      <c r="AR27" s="52">
        <v>515</v>
      </c>
      <c r="AS27" s="259">
        <v>11067</v>
      </c>
      <c r="AT27" s="167">
        <v>409</v>
      </c>
      <c r="AU27" s="52">
        <v>941.2</v>
      </c>
      <c r="AV27" s="52">
        <v>1387</v>
      </c>
      <c r="AW27" s="52">
        <v>11067</v>
      </c>
      <c r="AX27" s="52">
        <v>1474</v>
      </c>
      <c r="AY27" s="52">
        <v>813</v>
      </c>
      <c r="AZ27" s="52">
        <v>11067</v>
      </c>
      <c r="BA27" s="52">
        <v>7222</v>
      </c>
      <c r="BB27" s="52">
        <v>3037</v>
      </c>
      <c r="BC27" s="52">
        <v>504</v>
      </c>
      <c r="BD27" s="52">
        <v>538</v>
      </c>
      <c r="BE27" s="52">
        <v>103</v>
      </c>
      <c r="BF27" s="259">
        <v>11067</v>
      </c>
    </row>
    <row r="28" spans="1:58" ht="14.25" x14ac:dyDescent="0.45">
      <c r="A28" t="s">
        <v>288</v>
      </c>
      <c r="B28" t="s">
        <v>289</v>
      </c>
      <c r="C28" t="s">
        <v>294</v>
      </c>
      <c r="D28" t="s">
        <v>196</v>
      </c>
      <c r="E28" t="s">
        <v>295</v>
      </c>
      <c r="F28" s="54">
        <v>28649</v>
      </c>
      <c r="G28" s="8">
        <v>0</v>
      </c>
      <c r="H28" s="8">
        <v>28649</v>
      </c>
      <c r="I28" s="126">
        <v>3153</v>
      </c>
      <c r="J28" s="58">
        <v>16958</v>
      </c>
      <c r="K28" s="8">
        <v>22767</v>
      </c>
      <c r="L28" s="8">
        <v>25131</v>
      </c>
      <c r="M28" s="8">
        <v>21579</v>
      </c>
      <c r="N28" s="8">
        <v>24925</v>
      </c>
      <c r="O28" s="8">
        <v>25131</v>
      </c>
      <c r="P28" s="8">
        <v>13042</v>
      </c>
      <c r="Q28" s="8">
        <v>11231</v>
      </c>
      <c r="R28" s="8">
        <v>16958</v>
      </c>
      <c r="S28" s="58">
        <v>16958</v>
      </c>
      <c r="T28" s="58">
        <v>25131</v>
      </c>
      <c r="U28" s="121">
        <v>4</v>
      </c>
      <c r="V28" s="58">
        <v>4</v>
      </c>
      <c r="W28" s="58">
        <v>4</v>
      </c>
      <c r="X28" s="58">
        <v>4</v>
      </c>
      <c r="Y28" s="58">
        <v>4</v>
      </c>
      <c r="Z28" s="58">
        <v>4</v>
      </c>
      <c r="AA28" s="58">
        <v>4</v>
      </c>
      <c r="AB28" s="58">
        <v>4</v>
      </c>
      <c r="AC28" s="58">
        <v>4</v>
      </c>
      <c r="AD28" s="58">
        <v>4</v>
      </c>
      <c r="AE28" s="58">
        <v>4</v>
      </c>
      <c r="AF28" s="58">
        <v>4</v>
      </c>
      <c r="AG28" s="54">
        <v>2838</v>
      </c>
      <c r="AH28" s="8">
        <v>10032</v>
      </c>
      <c r="AI28" s="8">
        <v>5131</v>
      </c>
      <c r="AJ28" s="8">
        <v>15079</v>
      </c>
      <c r="AK28" s="8">
        <v>13568</v>
      </c>
      <c r="AL28" s="8">
        <v>12463</v>
      </c>
      <c r="AM28" s="8">
        <v>15079</v>
      </c>
      <c r="AN28" s="8">
        <v>8222</v>
      </c>
      <c r="AO28" s="8">
        <v>3369</v>
      </c>
      <c r="AP28" s="8">
        <v>10032</v>
      </c>
      <c r="AQ28" s="8">
        <v>6602</v>
      </c>
      <c r="AR28" s="8">
        <v>0</v>
      </c>
      <c r="AS28" s="202">
        <v>15079</v>
      </c>
      <c r="AT28" s="54">
        <v>2838</v>
      </c>
      <c r="AU28" s="8">
        <v>10032</v>
      </c>
      <c r="AV28" s="8">
        <v>5131</v>
      </c>
      <c r="AW28" s="8">
        <v>15079</v>
      </c>
      <c r="AX28" s="8">
        <v>13568</v>
      </c>
      <c r="AY28" s="8">
        <v>12463</v>
      </c>
      <c r="AZ28" s="8">
        <v>15079</v>
      </c>
      <c r="BA28" s="8">
        <v>8222</v>
      </c>
      <c r="BB28" s="8">
        <v>3369</v>
      </c>
      <c r="BC28" s="8">
        <v>10032</v>
      </c>
      <c r="BD28" s="8">
        <v>6602</v>
      </c>
      <c r="BE28" s="8">
        <v>0</v>
      </c>
      <c r="BF28" s="202">
        <v>15079</v>
      </c>
    </row>
    <row r="29" spans="1:58" ht="14.25" x14ac:dyDescent="0.45">
      <c r="A29" t="s">
        <v>296</v>
      </c>
      <c r="B29" t="s">
        <v>297</v>
      </c>
      <c r="C29" t="s">
        <v>245</v>
      </c>
      <c r="D29" t="s">
        <v>199</v>
      </c>
      <c r="E29" t="s">
        <v>298</v>
      </c>
      <c r="F29" s="54">
        <v>155031</v>
      </c>
      <c r="G29" s="8">
        <v>0</v>
      </c>
      <c r="H29" s="8">
        <v>155031</v>
      </c>
      <c r="I29" s="124">
        <v>14624</v>
      </c>
      <c r="J29" s="58">
        <v>41919</v>
      </c>
      <c r="K29" s="52">
        <v>123199</v>
      </c>
      <c r="L29" s="52">
        <v>137977</v>
      </c>
      <c r="M29" s="52">
        <v>76232</v>
      </c>
      <c r="N29" s="52">
        <v>109773</v>
      </c>
      <c r="O29" s="52">
        <v>137977</v>
      </c>
      <c r="P29" s="52">
        <v>68629</v>
      </c>
      <c r="Q29" s="52">
        <v>43409</v>
      </c>
      <c r="R29" s="52">
        <v>41919</v>
      </c>
      <c r="S29" s="58">
        <v>41919</v>
      </c>
      <c r="T29" s="58">
        <v>137977</v>
      </c>
      <c r="U29" s="121">
        <v>3</v>
      </c>
      <c r="V29" s="58">
        <v>3</v>
      </c>
      <c r="W29" s="58">
        <v>4</v>
      </c>
      <c r="X29" s="58">
        <v>3</v>
      </c>
      <c r="Y29" s="58">
        <v>4</v>
      </c>
      <c r="Z29" s="58">
        <v>3</v>
      </c>
      <c r="AA29" s="58">
        <v>4</v>
      </c>
      <c r="AB29" s="58">
        <v>3</v>
      </c>
      <c r="AC29" s="58">
        <v>3</v>
      </c>
      <c r="AD29" s="58">
        <v>3</v>
      </c>
      <c r="AE29" s="58">
        <v>3</v>
      </c>
      <c r="AF29" s="58">
        <v>3</v>
      </c>
      <c r="AG29" s="167">
        <v>6581</v>
      </c>
      <c r="AH29" s="52">
        <v>17030</v>
      </c>
      <c r="AI29" s="52">
        <v>8330</v>
      </c>
      <c r="AJ29" s="52">
        <v>68989</v>
      </c>
      <c r="AK29" s="52">
        <v>6989</v>
      </c>
      <c r="AL29" s="52">
        <v>27443</v>
      </c>
      <c r="AM29" s="52">
        <v>68989</v>
      </c>
      <c r="AN29" s="52">
        <v>17735</v>
      </c>
      <c r="AO29" s="52">
        <v>8682</v>
      </c>
      <c r="AP29" s="52">
        <v>6550</v>
      </c>
      <c r="AQ29" s="52">
        <v>10480</v>
      </c>
      <c r="AR29" s="52">
        <v>9885</v>
      </c>
      <c r="AS29" s="259">
        <v>68989</v>
      </c>
      <c r="AT29" s="167">
        <v>1316</v>
      </c>
      <c r="AU29" s="52">
        <v>3144</v>
      </c>
      <c r="AV29" s="52">
        <v>8330</v>
      </c>
      <c r="AW29" s="52">
        <v>68989</v>
      </c>
      <c r="AX29" s="52">
        <v>6989</v>
      </c>
      <c r="AY29" s="52">
        <v>5489</v>
      </c>
      <c r="AZ29" s="52">
        <v>68989</v>
      </c>
      <c r="BA29" s="52">
        <v>3547</v>
      </c>
      <c r="BB29" s="52">
        <v>1736</v>
      </c>
      <c r="BC29" s="52">
        <v>1310</v>
      </c>
      <c r="BD29" s="52">
        <v>2096</v>
      </c>
      <c r="BE29" s="52">
        <v>1977</v>
      </c>
      <c r="BF29" s="259">
        <v>68989</v>
      </c>
    </row>
    <row r="30" spans="1:58" ht="14.25" x14ac:dyDescent="0.45">
      <c r="A30" t="s">
        <v>299</v>
      </c>
      <c r="B30" t="s">
        <v>300</v>
      </c>
      <c r="C30" t="s">
        <v>245</v>
      </c>
      <c r="D30" t="s">
        <v>199</v>
      </c>
      <c r="E30" t="s">
        <v>301</v>
      </c>
      <c r="F30" s="54">
        <v>125118</v>
      </c>
      <c r="G30" s="8">
        <v>0</v>
      </c>
      <c r="H30" s="8">
        <v>125118</v>
      </c>
      <c r="I30" s="124">
        <v>18359</v>
      </c>
      <c r="J30" s="58">
        <v>33830</v>
      </c>
      <c r="K30" s="52">
        <v>99428</v>
      </c>
      <c r="L30" s="52">
        <v>108114</v>
      </c>
      <c r="M30" s="52">
        <v>61523</v>
      </c>
      <c r="N30" s="52">
        <v>91232</v>
      </c>
      <c r="O30" s="52">
        <v>108114</v>
      </c>
      <c r="P30" s="52">
        <v>45489</v>
      </c>
      <c r="Q30" s="52">
        <v>35033</v>
      </c>
      <c r="R30" s="52">
        <v>33830</v>
      </c>
      <c r="S30" s="58">
        <v>33830</v>
      </c>
      <c r="T30" s="58">
        <v>108114</v>
      </c>
      <c r="U30" s="121">
        <v>3</v>
      </c>
      <c r="V30" s="58">
        <v>3</v>
      </c>
      <c r="W30" s="58">
        <v>3</v>
      </c>
      <c r="X30" s="58">
        <v>3</v>
      </c>
      <c r="Y30" s="58">
        <v>3</v>
      </c>
      <c r="Z30" s="58">
        <v>3</v>
      </c>
      <c r="AA30" s="58">
        <v>4</v>
      </c>
      <c r="AB30" s="58">
        <v>3</v>
      </c>
      <c r="AC30" s="58">
        <v>3</v>
      </c>
      <c r="AD30" s="58">
        <v>3</v>
      </c>
      <c r="AE30" s="58">
        <v>3</v>
      </c>
      <c r="AF30" s="58">
        <v>3</v>
      </c>
      <c r="AG30" s="167">
        <v>8262</v>
      </c>
      <c r="AH30" s="52">
        <v>13747</v>
      </c>
      <c r="AI30" s="52">
        <v>6723</v>
      </c>
      <c r="AJ30" s="52">
        <v>54057</v>
      </c>
      <c r="AK30" s="52">
        <v>2993</v>
      </c>
      <c r="AL30" s="52">
        <v>22808</v>
      </c>
      <c r="AM30" s="52">
        <v>54057</v>
      </c>
      <c r="AN30" s="52">
        <v>11713</v>
      </c>
      <c r="AO30" s="52">
        <v>7007</v>
      </c>
      <c r="AP30" s="52">
        <v>5286</v>
      </c>
      <c r="AQ30" s="52">
        <v>8461</v>
      </c>
      <c r="AR30" s="52">
        <v>8319</v>
      </c>
      <c r="AS30" s="259">
        <v>54057</v>
      </c>
      <c r="AT30" s="167">
        <v>1652</v>
      </c>
      <c r="AU30" s="52">
        <v>2537.6</v>
      </c>
      <c r="AV30" s="52">
        <v>1345</v>
      </c>
      <c r="AW30" s="52">
        <v>54057</v>
      </c>
      <c r="AX30" s="52">
        <v>599</v>
      </c>
      <c r="AY30" s="52">
        <v>4562</v>
      </c>
      <c r="AZ30" s="52">
        <v>54057</v>
      </c>
      <c r="BA30" s="52">
        <v>2343</v>
      </c>
      <c r="BB30" s="52">
        <v>1401</v>
      </c>
      <c r="BC30" s="52">
        <v>1057</v>
      </c>
      <c r="BD30" s="52">
        <v>1692</v>
      </c>
      <c r="BE30" s="52">
        <v>1664</v>
      </c>
      <c r="BF30" s="259">
        <v>54057</v>
      </c>
    </row>
    <row r="31" spans="1:58" ht="14.25" x14ac:dyDescent="0.45">
      <c r="A31" t="s">
        <v>302</v>
      </c>
      <c r="B31" t="s">
        <v>303</v>
      </c>
      <c r="C31" t="s">
        <v>245</v>
      </c>
      <c r="D31" t="s">
        <v>199</v>
      </c>
      <c r="E31" t="s">
        <v>304</v>
      </c>
      <c r="F31" s="54">
        <v>39571</v>
      </c>
      <c r="G31" s="8">
        <v>0</v>
      </c>
      <c r="H31" s="8">
        <v>39571</v>
      </c>
      <c r="I31" s="124">
        <v>719</v>
      </c>
      <c r="J31" s="58">
        <v>10699</v>
      </c>
      <c r="K31" s="52">
        <v>31446</v>
      </c>
      <c r="L31" s="52">
        <v>35218</v>
      </c>
      <c r="M31" s="52">
        <v>19458</v>
      </c>
      <c r="N31" s="52">
        <v>27699</v>
      </c>
      <c r="O31" s="52">
        <v>35218</v>
      </c>
      <c r="P31" s="52">
        <v>15983</v>
      </c>
      <c r="Q31" s="52">
        <v>11080</v>
      </c>
      <c r="R31" s="52">
        <v>10699</v>
      </c>
      <c r="S31" s="58">
        <v>10699</v>
      </c>
      <c r="T31" s="58">
        <v>35218</v>
      </c>
      <c r="U31" s="121">
        <v>3</v>
      </c>
      <c r="V31" s="58">
        <v>3</v>
      </c>
      <c r="W31" s="58">
        <v>3</v>
      </c>
      <c r="X31" s="58">
        <v>3</v>
      </c>
      <c r="Y31" s="58">
        <v>2</v>
      </c>
      <c r="Z31" s="58">
        <v>3</v>
      </c>
      <c r="AA31" s="58">
        <v>3</v>
      </c>
      <c r="AB31" s="58">
        <v>2</v>
      </c>
      <c r="AC31" s="58">
        <v>3</v>
      </c>
      <c r="AD31" s="58">
        <v>3</v>
      </c>
      <c r="AE31" s="58">
        <v>3</v>
      </c>
      <c r="AF31" s="58">
        <v>3</v>
      </c>
      <c r="AG31" s="167">
        <v>324</v>
      </c>
      <c r="AH31" s="52">
        <v>4350</v>
      </c>
      <c r="AI31" s="52">
        <v>2126</v>
      </c>
      <c r="AJ31" s="52">
        <v>5283</v>
      </c>
      <c r="AK31" s="52">
        <v>0</v>
      </c>
      <c r="AL31" s="52">
        <v>6925</v>
      </c>
      <c r="AM31" s="52">
        <v>5283</v>
      </c>
      <c r="AN31" s="52">
        <v>0</v>
      </c>
      <c r="AO31" s="52">
        <v>2216</v>
      </c>
      <c r="AP31" s="52">
        <v>1672</v>
      </c>
      <c r="AQ31" s="52">
        <v>2678</v>
      </c>
      <c r="AR31" s="52">
        <v>1169</v>
      </c>
      <c r="AS31" s="259">
        <v>6925</v>
      </c>
      <c r="AT31" s="167">
        <v>65</v>
      </c>
      <c r="AU31" s="52">
        <v>803.2</v>
      </c>
      <c r="AV31" s="52">
        <v>425</v>
      </c>
      <c r="AW31" s="52">
        <v>1057</v>
      </c>
      <c r="AX31" s="52">
        <v>0</v>
      </c>
      <c r="AY31" s="52">
        <v>1385</v>
      </c>
      <c r="AZ31" s="52">
        <v>1057</v>
      </c>
      <c r="BA31" s="52">
        <v>0</v>
      </c>
      <c r="BB31" s="52">
        <v>443</v>
      </c>
      <c r="BC31" s="52">
        <v>334</v>
      </c>
      <c r="BD31" s="52">
        <v>536</v>
      </c>
      <c r="BE31" s="52">
        <v>234</v>
      </c>
      <c r="BF31" s="259">
        <v>1385</v>
      </c>
    </row>
    <row r="32" spans="1:58" ht="14.25" x14ac:dyDescent="0.45">
      <c r="A32" t="s">
        <v>305</v>
      </c>
      <c r="B32" t="s">
        <v>306</v>
      </c>
      <c r="C32" t="s">
        <v>307</v>
      </c>
      <c r="D32" t="s">
        <v>193</v>
      </c>
      <c r="E32" t="s">
        <v>308</v>
      </c>
      <c r="F32" s="51">
        <v>14447</v>
      </c>
      <c r="G32" s="51">
        <v>0</v>
      </c>
      <c r="H32" s="51">
        <v>0</v>
      </c>
      <c r="I32" s="125">
        <v>0</v>
      </c>
      <c r="J32" s="58">
        <v>2542</v>
      </c>
      <c r="K32" s="51">
        <v>0</v>
      </c>
      <c r="L32" s="51">
        <v>0</v>
      </c>
      <c r="M32" s="51">
        <v>0</v>
      </c>
      <c r="N32" s="51">
        <v>0</v>
      </c>
      <c r="O32" s="51">
        <v>0</v>
      </c>
      <c r="P32" s="51">
        <v>0</v>
      </c>
      <c r="Q32" s="51">
        <v>0</v>
      </c>
      <c r="R32" s="51">
        <v>0</v>
      </c>
      <c r="S32" s="58">
        <v>2542</v>
      </c>
      <c r="T32" s="58">
        <v>2542</v>
      </c>
      <c r="U32" s="122"/>
      <c r="V32" s="60">
        <v>4</v>
      </c>
      <c r="W32" s="60"/>
      <c r="X32" s="60"/>
      <c r="Y32" s="60"/>
      <c r="Z32" s="60"/>
      <c r="AA32" s="60"/>
      <c r="AB32" s="60"/>
      <c r="AC32" s="60"/>
      <c r="AD32" s="60"/>
      <c r="AE32" s="58">
        <v>4</v>
      </c>
      <c r="AF32" s="60">
        <v>5</v>
      </c>
      <c r="AG32" s="57">
        <v>0</v>
      </c>
      <c r="AH32" s="51">
        <v>508</v>
      </c>
      <c r="AI32" s="51">
        <v>0</v>
      </c>
      <c r="AJ32" s="51">
        <v>0</v>
      </c>
      <c r="AK32" s="51">
        <v>0</v>
      </c>
      <c r="AL32" s="51">
        <v>0</v>
      </c>
      <c r="AM32" s="51">
        <v>0</v>
      </c>
      <c r="AN32" s="51">
        <v>0</v>
      </c>
      <c r="AO32" s="51">
        <v>0</v>
      </c>
      <c r="AP32" s="51">
        <v>0</v>
      </c>
      <c r="AQ32" s="52">
        <v>508</v>
      </c>
      <c r="AR32" s="51">
        <v>0</v>
      </c>
      <c r="AS32" s="260">
        <v>508</v>
      </c>
      <c r="AT32" s="57">
        <v>0</v>
      </c>
      <c r="AU32" s="51">
        <v>508</v>
      </c>
      <c r="AV32" s="51">
        <v>0</v>
      </c>
      <c r="AW32" s="51">
        <v>0</v>
      </c>
      <c r="AX32" s="51">
        <v>0</v>
      </c>
      <c r="AY32" s="51">
        <v>0</v>
      </c>
      <c r="AZ32" s="51">
        <v>0</v>
      </c>
      <c r="BA32" s="51">
        <v>0</v>
      </c>
      <c r="BB32" s="51">
        <v>0</v>
      </c>
      <c r="BC32" s="51">
        <v>0</v>
      </c>
      <c r="BD32" s="52">
        <v>508</v>
      </c>
      <c r="BE32" s="51">
        <v>0</v>
      </c>
      <c r="BF32" s="260">
        <v>508</v>
      </c>
    </row>
    <row r="33" spans="1:58" ht="14.25" x14ac:dyDescent="0.45">
      <c r="A33" t="s">
        <v>305</v>
      </c>
      <c r="B33" t="s">
        <v>306</v>
      </c>
      <c r="C33" t="s">
        <v>254</v>
      </c>
      <c r="D33" t="s">
        <v>196</v>
      </c>
      <c r="E33" t="s">
        <v>309</v>
      </c>
      <c r="F33" s="54">
        <v>18606</v>
      </c>
      <c r="G33" s="8">
        <v>0</v>
      </c>
      <c r="H33" s="8">
        <v>18606</v>
      </c>
      <c r="I33" s="126">
        <v>1365</v>
      </c>
      <c r="J33" s="58">
        <v>10932</v>
      </c>
      <c r="K33" s="8">
        <v>14785</v>
      </c>
      <c r="L33" s="8">
        <v>9850</v>
      </c>
      <c r="M33" s="8">
        <v>14014</v>
      </c>
      <c r="N33" s="8">
        <v>18606</v>
      </c>
      <c r="O33" s="8">
        <v>9850</v>
      </c>
      <c r="P33" s="8">
        <v>8417</v>
      </c>
      <c r="Q33" s="8">
        <v>7293</v>
      </c>
      <c r="R33" s="8">
        <v>10932</v>
      </c>
      <c r="S33" s="58">
        <v>10932</v>
      </c>
      <c r="T33" s="58">
        <v>18606</v>
      </c>
      <c r="U33" s="121">
        <v>4</v>
      </c>
      <c r="V33" s="58">
        <v>4</v>
      </c>
      <c r="W33" s="58">
        <v>4</v>
      </c>
      <c r="X33" s="58">
        <v>4</v>
      </c>
      <c r="Y33" s="58">
        <v>4</v>
      </c>
      <c r="Z33" s="58">
        <v>4</v>
      </c>
      <c r="AA33" s="58">
        <v>4</v>
      </c>
      <c r="AB33" s="58">
        <v>4</v>
      </c>
      <c r="AC33" s="58">
        <v>4</v>
      </c>
      <c r="AD33" s="58">
        <v>4</v>
      </c>
      <c r="AE33" s="58">
        <v>4</v>
      </c>
      <c r="AF33" s="58">
        <v>4</v>
      </c>
      <c r="AG33" s="54">
        <v>1229</v>
      </c>
      <c r="AH33" s="8">
        <v>6515</v>
      </c>
      <c r="AI33" s="8">
        <v>3332</v>
      </c>
      <c r="AJ33" s="8">
        <v>5910</v>
      </c>
      <c r="AK33" s="8">
        <v>9093</v>
      </c>
      <c r="AL33" s="8">
        <v>9303</v>
      </c>
      <c r="AM33" s="8">
        <v>5910</v>
      </c>
      <c r="AN33" s="8">
        <v>5311</v>
      </c>
      <c r="AO33" s="8">
        <v>2188</v>
      </c>
      <c r="AP33" s="8">
        <v>6515</v>
      </c>
      <c r="AQ33" s="8">
        <v>4271</v>
      </c>
      <c r="AR33" s="8">
        <v>0</v>
      </c>
      <c r="AS33" s="202">
        <v>9303</v>
      </c>
      <c r="AT33" s="54">
        <v>1229</v>
      </c>
      <c r="AU33" s="8">
        <v>6515</v>
      </c>
      <c r="AV33" s="8">
        <v>3332</v>
      </c>
      <c r="AW33" s="8">
        <v>5910</v>
      </c>
      <c r="AX33" s="8">
        <v>9093</v>
      </c>
      <c r="AY33" s="8">
        <v>9303</v>
      </c>
      <c r="AZ33" s="8">
        <v>5910</v>
      </c>
      <c r="BA33" s="8">
        <v>5311</v>
      </c>
      <c r="BB33" s="8">
        <v>2188</v>
      </c>
      <c r="BC33" s="8">
        <v>6515</v>
      </c>
      <c r="BD33" s="8">
        <v>4271</v>
      </c>
      <c r="BE33" s="8">
        <v>0</v>
      </c>
      <c r="BF33" s="202">
        <v>9303</v>
      </c>
    </row>
    <row r="34" spans="1:58" ht="14.25" x14ac:dyDescent="0.45">
      <c r="A34" t="s">
        <v>305</v>
      </c>
      <c r="B34" t="s">
        <v>306</v>
      </c>
      <c r="C34" t="s">
        <v>256</v>
      </c>
      <c r="D34" t="s">
        <v>199</v>
      </c>
      <c r="E34" t="s">
        <v>310</v>
      </c>
      <c r="F34" s="54">
        <v>8838</v>
      </c>
      <c r="G34" s="8">
        <v>0</v>
      </c>
      <c r="H34" s="8">
        <v>8838</v>
      </c>
      <c r="I34" s="124">
        <v>1945</v>
      </c>
      <c r="J34" s="58">
        <v>1842</v>
      </c>
      <c r="K34" s="52">
        <v>7023</v>
      </c>
      <c r="L34" s="52">
        <v>4643</v>
      </c>
      <c r="M34" s="52">
        <v>6010</v>
      </c>
      <c r="N34" s="52">
        <v>5800</v>
      </c>
      <c r="O34" s="52">
        <v>2209</v>
      </c>
      <c r="P34" s="52">
        <v>4643</v>
      </c>
      <c r="Q34" s="52">
        <v>3464</v>
      </c>
      <c r="R34" s="52">
        <v>1842</v>
      </c>
      <c r="S34" s="58">
        <v>1842</v>
      </c>
      <c r="T34" s="58">
        <v>7023</v>
      </c>
      <c r="U34" s="121">
        <v>3</v>
      </c>
      <c r="V34" s="58">
        <v>3</v>
      </c>
      <c r="W34" s="58">
        <v>4</v>
      </c>
      <c r="X34" s="58">
        <v>4</v>
      </c>
      <c r="Y34" s="58">
        <v>4</v>
      </c>
      <c r="Z34" s="58">
        <v>3</v>
      </c>
      <c r="AA34" s="58">
        <v>4</v>
      </c>
      <c r="AB34" s="58">
        <v>4</v>
      </c>
      <c r="AC34" s="58">
        <v>4</v>
      </c>
      <c r="AD34" s="58">
        <v>3</v>
      </c>
      <c r="AE34" s="58">
        <v>3</v>
      </c>
      <c r="AF34" s="58">
        <v>3</v>
      </c>
      <c r="AG34" s="167">
        <v>875</v>
      </c>
      <c r="AH34" s="52">
        <v>1784</v>
      </c>
      <c r="AI34" s="52">
        <v>475</v>
      </c>
      <c r="AJ34" s="52">
        <v>2921</v>
      </c>
      <c r="AK34" s="52">
        <v>582</v>
      </c>
      <c r="AL34" s="52">
        <v>1450</v>
      </c>
      <c r="AM34" s="52">
        <v>1105</v>
      </c>
      <c r="AN34" s="52">
        <v>2921</v>
      </c>
      <c r="AO34" s="52">
        <v>1039</v>
      </c>
      <c r="AP34" s="52">
        <v>863</v>
      </c>
      <c r="AQ34" s="52">
        <v>921</v>
      </c>
      <c r="AR34" s="52">
        <v>272</v>
      </c>
      <c r="AS34" s="259">
        <v>2921</v>
      </c>
      <c r="AT34" s="167">
        <v>175</v>
      </c>
      <c r="AU34" s="52">
        <v>322.39999999999998</v>
      </c>
      <c r="AV34" s="52">
        <v>475</v>
      </c>
      <c r="AW34" s="52">
        <v>2921</v>
      </c>
      <c r="AX34" s="52">
        <v>582</v>
      </c>
      <c r="AY34" s="52">
        <v>290</v>
      </c>
      <c r="AZ34" s="52">
        <v>1105</v>
      </c>
      <c r="BA34" s="52">
        <v>2921</v>
      </c>
      <c r="BB34" s="52">
        <v>1039</v>
      </c>
      <c r="BC34" s="52">
        <v>173</v>
      </c>
      <c r="BD34" s="52">
        <v>184</v>
      </c>
      <c r="BE34" s="52">
        <v>54</v>
      </c>
      <c r="BF34" s="259">
        <v>2921</v>
      </c>
    </row>
    <row r="35" spans="1:58" ht="14.25" x14ac:dyDescent="0.45">
      <c r="A35" t="s">
        <v>305</v>
      </c>
      <c r="B35" t="s">
        <v>306</v>
      </c>
      <c r="C35" t="s">
        <v>311</v>
      </c>
      <c r="D35" t="s">
        <v>193</v>
      </c>
      <c r="E35" t="s">
        <v>312</v>
      </c>
      <c r="F35" s="51">
        <v>25799</v>
      </c>
      <c r="G35" s="51">
        <v>0</v>
      </c>
      <c r="H35" s="51">
        <v>0</v>
      </c>
      <c r="I35" s="125">
        <v>0</v>
      </c>
      <c r="J35" s="58">
        <v>3337</v>
      </c>
      <c r="K35" s="51">
        <v>0</v>
      </c>
      <c r="L35" s="51">
        <v>0</v>
      </c>
      <c r="M35" s="51">
        <v>0</v>
      </c>
      <c r="N35" s="51">
        <v>0</v>
      </c>
      <c r="O35" s="51">
        <v>0</v>
      </c>
      <c r="P35" s="51">
        <v>0</v>
      </c>
      <c r="Q35" s="51">
        <v>0</v>
      </c>
      <c r="R35" s="51">
        <v>0</v>
      </c>
      <c r="S35" s="58">
        <v>3337</v>
      </c>
      <c r="T35" s="58">
        <v>3337</v>
      </c>
      <c r="U35" s="122"/>
      <c r="V35" s="60">
        <v>4</v>
      </c>
      <c r="W35" s="60"/>
      <c r="X35" s="60"/>
      <c r="Y35" s="60"/>
      <c r="Z35" s="60"/>
      <c r="AA35" s="60"/>
      <c r="AB35" s="60"/>
      <c r="AC35" s="60"/>
      <c r="AD35" s="60"/>
      <c r="AE35" s="58">
        <v>4</v>
      </c>
      <c r="AF35" s="60">
        <v>5</v>
      </c>
      <c r="AG35" s="57">
        <v>0</v>
      </c>
      <c r="AH35" s="51">
        <v>334</v>
      </c>
      <c r="AI35" s="51">
        <v>0</v>
      </c>
      <c r="AJ35" s="51">
        <v>0</v>
      </c>
      <c r="AK35" s="51">
        <v>0</v>
      </c>
      <c r="AL35" s="51">
        <v>0</v>
      </c>
      <c r="AM35" s="51">
        <v>0</v>
      </c>
      <c r="AN35" s="51">
        <v>0</v>
      </c>
      <c r="AO35" s="51">
        <v>0</v>
      </c>
      <c r="AP35" s="51">
        <v>0</v>
      </c>
      <c r="AQ35" s="52">
        <v>334</v>
      </c>
      <c r="AR35" s="51">
        <v>0</v>
      </c>
      <c r="AS35" s="260">
        <v>334</v>
      </c>
      <c r="AT35" s="57">
        <v>0</v>
      </c>
      <c r="AU35" s="51">
        <v>334</v>
      </c>
      <c r="AV35" s="51">
        <v>0</v>
      </c>
      <c r="AW35" s="51">
        <v>0</v>
      </c>
      <c r="AX35" s="51">
        <v>0</v>
      </c>
      <c r="AY35" s="51">
        <v>0</v>
      </c>
      <c r="AZ35" s="51">
        <v>0</v>
      </c>
      <c r="BA35" s="51">
        <v>0</v>
      </c>
      <c r="BB35" s="51">
        <v>0</v>
      </c>
      <c r="BC35" s="51">
        <v>0</v>
      </c>
      <c r="BD35" s="52">
        <v>334</v>
      </c>
      <c r="BE35" s="51">
        <v>0</v>
      </c>
      <c r="BF35" s="260">
        <v>334</v>
      </c>
    </row>
    <row r="36" spans="1:58" ht="14.25" x14ac:dyDescent="0.45">
      <c r="A36" t="s">
        <v>313</v>
      </c>
      <c r="B36" t="s">
        <v>314</v>
      </c>
      <c r="C36" t="s">
        <v>245</v>
      </c>
      <c r="D36" t="s">
        <v>199</v>
      </c>
      <c r="E36" t="s">
        <v>315</v>
      </c>
      <c r="F36" s="54">
        <v>53239</v>
      </c>
      <c r="G36" s="8">
        <v>0</v>
      </c>
      <c r="H36" s="8">
        <v>53239</v>
      </c>
      <c r="I36" s="124">
        <v>7812</v>
      </c>
      <c r="J36" s="58">
        <v>14395</v>
      </c>
      <c r="K36" s="52">
        <v>42308</v>
      </c>
      <c r="L36" s="52">
        <v>47383</v>
      </c>
      <c r="M36" s="52">
        <v>26179</v>
      </c>
      <c r="N36" s="52">
        <v>40953</v>
      </c>
      <c r="O36" s="52">
        <v>47383</v>
      </c>
      <c r="P36" s="52">
        <v>18566</v>
      </c>
      <c r="Q36" s="52">
        <v>14907</v>
      </c>
      <c r="R36" s="52">
        <v>14395</v>
      </c>
      <c r="S36" s="58">
        <v>14395</v>
      </c>
      <c r="T36" s="58">
        <v>47383</v>
      </c>
      <c r="U36" s="121">
        <v>3</v>
      </c>
      <c r="V36" s="58">
        <v>3</v>
      </c>
      <c r="W36" s="58">
        <v>3</v>
      </c>
      <c r="X36" s="58">
        <v>3</v>
      </c>
      <c r="Y36" s="58">
        <v>3</v>
      </c>
      <c r="Z36" s="58">
        <v>3</v>
      </c>
      <c r="AA36" s="58">
        <v>3</v>
      </c>
      <c r="AB36" s="58">
        <v>2</v>
      </c>
      <c r="AC36" s="58">
        <v>3</v>
      </c>
      <c r="AD36" s="58">
        <v>3</v>
      </c>
      <c r="AE36" s="58">
        <v>3</v>
      </c>
      <c r="AF36" s="58">
        <v>3</v>
      </c>
      <c r="AG36" s="167">
        <v>3515</v>
      </c>
      <c r="AH36" s="52">
        <v>5848</v>
      </c>
      <c r="AI36" s="52">
        <v>2861</v>
      </c>
      <c r="AJ36" s="52">
        <v>7107</v>
      </c>
      <c r="AK36" s="52">
        <v>1309</v>
      </c>
      <c r="AL36" s="52">
        <v>10238</v>
      </c>
      <c r="AM36" s="52">
        <v>7107</v>
      </c>
      <c r="AN36" s="52">
        <v>0</v>
      </c>
      <c r="AO36" s="52">
        <v>2981</v>
      </c>
      <c r="AP36" s="52">
        <v>2249</v>
      </c>
      <c r="AQ36" s="52">
        <v>3599</v>
      </c>
      <c r="AR36" s="52">
        <v>889</v>
      </c>
      <c r="AS36" s="259">
        <v>10238</v>
      </c>
      <c r="AT36" s="167">
        <v>703</v>
      </c>
      <c r="AU36" s="52">
        <v>1080</v>
      </c>
      <c r="AV36" s="52">
        <v>572</v>
      </c>
      <c r="AW36" s="52">
        <v>1421</v>
      </c>
      <c r="AX36" s="52">
        <v>262</v>
      </c>
      <c r="AY36" s="52">
        <v>2048</v>
      </c>
      <c r="AZ36" s="52">
        <v>1421</v>
      </c>
      <c r="BA36" s="52">
        <v>0</v>
      </c>
      <c r="BB36" s="52">
        <v>596</v>
      </c>
      <c r="BC36" s="52">
        <v>450</v>
      </c>
      <c r="BD36" s="52">
        <v>720</v>
      </c>
      <c r="BE36" s="52">
        <v>178</v>
      </c>
      <c r="BF36" s="259">
        <v>2048</v>
      </c>
    </row>
    <row r="37" spans="1:58" ht="14.25" x14ac:dyDescent="0.45">
      <c r="A37" t="s">
        <v>316</v>
      </c>
      <c r="B37" t="s">
        <v>317</v>
      </c>
      <c r="C37" t="s">
        <v>252</v>
      </c>
      <c r="D37" t="s">
        <v>193</v>
      </c>
      <c r="E37" t="s">
        <v>318</v>
      </c>
      <c r="F37" s="51">
        <v>29217</v>
      </c>
      <c r="G37" s="51">
        <v>0</v>
      </c>
      <c r="H37" s="51">
        <v>0</v>
      </c>
      <c r="I37" s="125">
        <v>0</v>
      </c>
      <c r="J37" s="58">
        <v>10798</v>
      </c>
      <c r="K37" s="51">
        <v>0</v>
      </c>
      <c r="L37" s="51">
        <v>0</v>
      </c>
      <c r="M37" s="51">
        <v>0</v>
      </c>
      <c r="N37" s="51">
        <v>0</v>
      </c>
      <c r="O37" s="51">
        <v>0</v>
      </c>
      <c r="P37" s="51">
        <v>0</v>
      </c>
      <c r="Q37" s="51">
        <v>0</v>
      </c>
      <c r="R37" s="51">
        <v>0</v>
      </c>
      <c r="S37" s="58">
        <v>10798</v>
      </c>
      <c r="T37" s="58">
        <v>10798</v>
      </c>
      <c r="U37" s="122"/>
      <c r="V37" s="60">
        <v>4</v>
      </c>
      <c r="W37" s="60"/>
      <c r="X37" s="60"/>
      <c r="Y37" s="60"/>
      <c r="Z37" s="60"/>
      <c r="AA37" s="60"/>
      <c r="AB37" s="60"/>
      <c r="AC37" s="60"/>
      <c r="AD37" s="60"/>
      <c r="AE37" s="58">
        <v>4</v>
      </c>
      <c r="AF37" s="60">
        <v>5</v>
      </c>
      <c r="AG37" s="57">
        <v>0</v>
      </c>
      <c r="AH37" s="51">
        <v>2057</v>
      </c>
      <c r="AI37" s="51">
        <v>0</v>
      </c>
      <c r="AJ37" s="51">
        <v>0</v>
      </c>
      <c r="AK37" s="51">
        <v>0</v>
      </c>
      <c r="AL37" s="51">
        <v>0</v>
      </c>
      <c r="AM37" s="51">
        <v>0</v>
      </c>
      <c r="AN37" s="51">
        <v>0</v>
      </c>
      <c r="AO37" s="51">
        <v>0</v>
      </c>
      <c r="AP37" s="51">
        <v>0</v>
      </c>
      <c r="AQ37" s="52">
        <v>2057</v>
      </c>
      <c r="AR37" s="51">
        <v>0</v>
      </c>
      <c r="AS37" s="260">
        <v>2057</v>
      </c>
      <c r="AT37" s="57">
        <v>0</v>
      </c>
      <c r="AU37" s="51">
        <v>2057</v>
      </c>
      <c r="AV37" s="51">
        <v>0</v>
      </c>
      <c r="AW37" s="51">
        <v>0</v>
      </c>
      <c r="AX37" s="51">
        <v>0</v>
      </c>
      <c r="AY37" s="51">
        <v>0</v>
      </c>
      <c r="AZ37" s="51">
        <v>0</v>
      </c>
      <c r="BA37" s="51">
        <v>0</v>
      </c>
      <c r="BB37" s="51">
        <v>0</v>
      </c>
      <c r="BC37" s="51">
        <v>0</v>
      </c>
      <c r="BD37" s="52">
        <v>2057</v>
      </c>
      <c r="BE37" s="51">
        <v>0</v>
      </c>
      <c r="BF37" s="260">
        <v>2057</v>
      </c>
    </row>
    <row r="38" spans="1:58" ht="14.25" x14ac:dyDescent="0.45">
      <c r="A38" t="s">
        <v>316</v>
      </c>
      <c r="B38" t="s">
        <v>317</v>
      </c>
      <c r="C38" t="s">
        <v>319</v>
      </c>
      <c r="D38" t="s">
        <v>196</v>
      </c>
      <c r="E38" t="s">
        <v>320</v>
      </c>
      <c r="F38" s="54">
        <v>60371</v>
      </c>
      <c r="G38" s="8">
        <v>0</v>
      </c>
      <c r="H38" s="8">
        <v>60371</v>
      </c>
      <c r="I38" s="126">
        <v>5695</v>
      </c>
      <c r="J38" s="58">
        <v>42102</v>
      </c>
      <c r="K38" s="8">
        <v>47975</v>
      </c>
      <c r="L38" s="8">
        <v>41635</v>
      </c>
      <c r="M38" s="8">
        <v>45471</v>
      </c>
      <c r="N38" s="8">
        <v>59405</v>
      </c>
      <c r="O38" s="8">
        <v>41635</v>
      </c>
      <c r="P38" s="8">
        <v>28593</v>
      </c>
      <c r="Q38" s="8">
        <v>23665</v>
      </c>
      <c r="R38" s="8">
        <v>42102</v>
      </c>
      <c r="S38" s="58">
        <v>42102</v>
      </c>
      <c r="T38" s="58">
        <v>59405</v>
      </c>
      <c r="U38" s="121">
        <v>4</v>
      </c>
      <c r="V38" s="58">
        <v>4</v>
      </c>
      <c r="W38" s="58">
        <v>4</v>
      </c>
      <c r="X38" s="58">
        <v>4</v>
      </c>
      <c r="Y38" s="58">
        <v>4</v>
      </c>
      <c r="Z38" s="58">
        <v>4</v>
      </c>
      <c r="AA38" s="58">
        <v>3</v>
      </c>
      <c r="AB38" s="58">
        <v>4</v>
      </c>
      <c r="AC38" s="58">
        <v>4</v>
      </c>
      <c r="AD38" s="58">
        <v>4</v>
      </c>
      <c r="AE38" s="58">
        <v>4</v>
      </c>
      <c r="AF38" s="58">
        <v>4</v>
      </c>
      <c r="AG38" s="54">
        <v>5125</v>
      </c>
      <c r="AH38" s="8">
        <v>26460</v>
      </c>
      <c r="AI38" s="8">
        <v>10813</v>
      </c>
      <c r="AJ38" s="8">
        <v>18035</v>
      </c>
      <c r="AK38" s="8">
        <v>29991</v>
      </c>
      <c r="AL38" s="8">
        <v>29703</v>
      </c>
      <c r="AM38" s="8">
        <v>8327</v>
      </c>
      <c r="AN38" s="8">
        <v>18035</v>
      </c>
      <c r="AO38" s="8">
        <v>10649</v>
      </c>
      <c r="AP38" s="8">
        <v>21140</v>
      </c>
      <c r="AQ38" s="8">
        <v>26460</v>
      </c>
      <c r="AR38" s="8">
        <v>0</v>
      </c>
      <c r="AS38" s="202">
        <v>29991</v>
      </c>
      <c r="AT38" s="54">
        <v>5125</v>
      </c>
      <c r="AU38" s="8">
        <v>26460</v>
      </c>
      <c r="AV38" s="8">
        <v>10813</v>
      </c>
      <c r="AW38" s="8">
        <v>18035</v>
      </c>
      <c r="AX38" s="8">
        <v>29991</v>
      </c>
      <c r="AY38" s="8">
        <v>29703</v>
      </c>
      <c r="AZ38" s="8">
        <v>1665</v>
      </c>
      <c r="BA38" s="8">
        <v>18035</v>
      </c>
      <c r="BB38" s="8">
        <v>10649</v>
      </c>
      <c r="BC38" s="8">
        <v>21140</v>
      </c>
      <c r="BD38" s="8">
        <v>26460</v>
      </c>
      <c r="BE38" s="8">
        <v>0</v>
      </c>
      <c r="BF38" s="202">
        <v>29991</v>
      </c>
    </row>
    <row r="39" spans="1:58" ht="14.25" x14ac:dyDescent="0.45">
      <c r="A39" t="s">
        <v>316</v>
      </c>
      <c r="B39" t="s">
        <v>317</v>
      </c>
      <c r="C39" t="s">
        <v>256</v>
      </c>
      <c r="D39" t="s">
        <v>199</v>
      </c>
      <c r="E39" t="s">
        <v>321</v>
      </c>
      <c r="F39" s="54">
        <v>48737</v>
      </c>
      <c r="G39" s="8">
        <v>0</v>
      </c>
      <c r="H39" s="8">
        <v>48737</v>
      </c>
      <c r="I39" s="124">
        <v>6601</v>
      </c>
      <c r="J39" s="58">
        <v>10156</v>
      </c>
      <c r="K39" s="52">
        <v>38730</v>
      </c>
      <c r="L39" s="52">
        <v>34116</v>
      </c>
      <c r="M39" s="52">
        <v>28620</v>
      </c>
      <c r="N39" s="52">
        <v>30980</v>
      </c>
      <c r="O39" s="52">
        <v>34116</v>
      </c>
      <c r="P39" s="52">
        <v>24916</v>
      </c>
      <c r="Q39" s="52">
        <v>19105</v>
      </c>
      <c r="R39" s="52">
        <v>10156</v>
      </c>
      <c r="S39" s="58">
        <v>10156</v>
      </c>
      <c r="T39" s="58">
        <v>38730</v>
      </c>
      <c r="U39" s="121">
        <v>3</v>
      </c>
      <c r="V39" s="58">
        <v>3</v>
      </c>
      <c r="W39" s="58">
        <v>4</v>
      </c>
      <c r="X39" s="58">
        <v>4</v>
      </c>
      <c r="Y39" s="58">
        <v>4</v>
      </c>
      <c r="Z39" s="58">
        <v>3</v>
      </c>
      <c r="AA39" s="58">
        <v>4</v>
      </c>
      <c r="AB39" s="58">
        <v>4</v>
      </c>
      <c r="AC39" s="58">
        <v>4</v>
      </c>
      <c r="AD39" s="58">
        <v>3</v>
      </c>
      <c r="AE39" s="58">
        <v>3</v>
      </c>
      <c r="AF39" s="58">
        <v>3</v>
      </c>
      <c r="AG39" s="167">
        <v>2971</v>
      </c>
      <c r="AH39" s="52">
        <v>9839</v>
      </c>
      <c r="AI39" s="52">
        <v>2619</v>
      </c>
      <c r="AJ39" s="52">
        <v>17058</v>
      </c>
      <c r="AK39" s="52">
        <v>2777</v>
      </c>
      <c r="AL39" s="52">
        <v>7745</v>
      </c>
      <c r="AM39" s="52">
        <v>17058</v>
      </c>
      <c r="AN39" s="52">
        <v>15694</v>
      </c>
      <c r="AO39" s="52">
        <v>8597</v>
      </c>
      <c r="AP39" s="52">
        <v>4761</v>
      </c>
      <c r="AQ39" s="52">
        <v>5078</v>
      </c>
      <c r="AR39" s="52">
        <v>887</v>
      </c>
      <c r="AS39" s="259">
        <v>17058</v>
      </c>
      <c r="AT39" s="167">
        <v>594</v>
      </c>
      <c r="AU39" s="52">
        <v>1777.6</v>
      </c>
      <c r="AV39" s="52">
        <v>2619</v>
      </c>
      <c r="AW39" s="52">
        <v>17058</v>
      </c>
      <c r="AX39" s="52">
        <v>2777</v>
      </c>
      <c r="AY39" s="52">
        <v>1549</v>
      </c>
      <c r="AZ39" s="52">
        <v>17058</v>
      </c>
      <c r="BA39" s="52">
        <v>15694</v>
      </c>
      <c r="BB39" s="52">
        <v>8597</v>
      </c>
      <c r="BC39" s="52">
        <v>952</v>
      </c>
      <c r="BD39" s="52">
        <v>1016</v>
      </c>
      <c r="BE39" s="52">
        <v>177</v>
      </c>
      <c r="BF39" s="259">
        <v>17058</v>
      </c>
    </row>
    <row r="40" spans="1:58" ht="14.25" x14ac:dyDescent="0.45">
      <c r="A40" t="s">
        <v>316</v>
      </c>
      <c r="B40" t="s">
        <v>317</v>
      </c>
      <c r="C40" t="s">
        <v>322</v>
      </c>
      <c r="D40" t="s">
        <v>196</v>
      </c>
      <c r="E40" t="s">
        <v>323</v>
      </c>
      <c r="F40" s="54">
        <v>96642</v>
      </c>
      <c r="G40" s="8">
        <v>0</v>
      </c>
      <c r="H40" s="8">
        <v>96642</v>
      </c>
      <c r="I40" s="126">
        <v>21271</v>
      </c>
      <c r="J40" s="58">
        <v>64128</v>
      </c>
      <c r="K40" s="8">
        <v>76799</v>
      </c>
      <c r="L40" s="8">
        <v>81713</v>
      </c>
      <c r="M40" s="8">
        <v>72790</v>
      </c>
      <c r="N40" s="8">
        <v>70548</v>
      </c>
      <c r="O40" s="8">
        <v>81713</v>
      </c>
      <c r="P40" s="8">
        <v>46843</v>
      </c>
      <c r="Q40" s="8">
        <v>37884</v>
      </c>
      <c r="R40" s="8">
        <v>64128</v>
      </c>
      <c r="S40" s="58">
        <v>64128</v>
      </c>
      <c r="T40" s="58">
        <v>81713</v>
      </c>
      <c r="U40" s="121">
        <v>4</v>
      </c>
      <c r="V40" s="58">
        <v>4</v>
      </c>
      <c r="W40" s="58">
        <v>4</v>
      </c>
      <c r="X40" s="58">
        <v>4</v>
      </c>
      <c r="Y40" s="58">
        <v>4</v>
      </c>
      <c r="Z40" s="58">
        <v>4</v>
      </c>
      <c r="AA40" s="58">
        <v>4</v>
      </c>
      <c r="AB40" s="58">
        <v>4</v>
      </c>
      <c r="AC40" s="58">
        <v>4</v>
      </c>
      <c r="AD40" s="58">
        <v>4</v>
      </c>
      <c r="AE40" s="58">
        <v>4</v>
      </c>
      <c r="AF40" s="58">
        <v>4</v>
      </c>
      <c r="AG40" s="54">
        <v>19144</v>
      </c>
      <c r="AH40" s="8">
        <v>33841</v>
      </c>
      <c r="AI40" s="8">
        <v>17309</v>
      </c>
      <c r="AJ40" s="8">
        <v>49028</v>
      </c>
      <c r="AK40" s="8">
        <v>47099</v>
      </c>
      <c r="AL40" s="8">
        <v>35274</v>
      </c>
      <c r="AM40" s="8">
        <v>49028</v>
      </c>
      <c r="AN40" s="8">
        <v>29618</v>
      </c>
      <c r="AO40" s="8">
        <v>17048</v>
      </c>
      <c r="AP40" s="8">
        <v>33841</v>
      </c>
      <c r="AQ40" s="8">
        <v>23655</v>
      </c>
      <c r="AR40" s="8">
        <v>0</v>
      </c>
      <c r="AS40" s="202">
        <v>49028</v>
      </c>
      <c r="AT40" s="54">
        <v>19144</v>
      </c>
      <c r="AU40" s="8">
        <v>33841</v>
      </c>
      <c r="AV40" s="8">
        <v>17309</v>
      </c>
      <c r="AW40" s="8">
        <v>49028</v>
      </c>
      <c r="AX40" s="8">
        <v>47099</v>
      </c>
      <c r="AY40" s="8">
        <v>35274</v>
      </c>
      <c r="AZ40" s="8">
        <v>49028</v>
      </c>
      <c r="BA40" s="8">
        <v>29618</v>
      </c>
      <c r="BB40" s="8">
        <v>17048</v>
      </c>
      <c r="BC40" s="8">
        <v>33841</v>
      </c>
      <c r="BD40" s="8">
        <v>23655</v>
      </c>
      <c r="BE40" s="8">
        <v>0</v>
      </c>
      <c r="BF40" s="202">
        <v>49028</v>
      </c>
    </row>
    <row r="41" spans="1:58" ht="14.25" x14ac:dyDescent="0.45">
      <c r="A41" t="s">
        <v>324</v>
      </c>
      <c r="B41" t="s">
        <v>325</v>
      </c>
      <c r="C41" t="s">
        <v>326</v>
      </c>
      <c r="D41" t="s">
        <v>193</v>
      </c>
      <c r="E41" t="s">
        <v>327</v>
      </c>
      <c r="F41" s="51">
        <v>5315</v>
      </c>
      <c r="G41" s="51">
        <v>0</v>
      </c>
      <c r="H41" s="51">
        <v>0</v>
      </c>
      <c r="I41" s="125">
        <v>0</v>
      </c>
      <c r="J41" s="58">
        <v>1762</v>
      </c>
      <c r="K41" s="51">
        <v>0</v>
      </c>
      <c r="L41" s="51">
        <v>0</v>
      </c>
      <c r="M41" s="51">
        <v>0</v>
      </c>
      <c r="N41" s="51">
        <v>0</v>
      </c>
      <c r="O41" s="51">
        <v>0</v>
      </c>
      <c r="P41" s="51">
        <v>0</v>
      </c>
      <c r="Q41" s="51">
        <v>0</v>
      </c>
      <c r="R41" s="51">
        <v>0</v>
      </c>
      <c r="S41" s="58">
        <v>1762</v>
      </c>
      <c r="T41" s="58">
        <v>1762</v>
      </c>
      <c r="U41" s="122"/>
      <c r="V41" s="60">
        <v>4</v>
      </c>
      <c r="W41" s="60"/>
      <c r="X41" s="60"/>
      <c r="Y41" s="60"/>
      <c r="Z41" s="60"/>
      <c r="AA41" s="60"/>
      <c r="AB41" s="60"/>
      <c r="AC41" s="60"/>
      <c r="AD41" s="60"/>
      <c r="AE41" s="58">
        <v>4</v>
      </c>
      <c r="AF41" s="60">
        <v>5</v>
      </c>
      <c r="AG41" s="57">
        <v>0</v>
      </c>
      <c r="AH41" s="51">
        <v>881</v>
      </c>
      <c r="AI41" s="51">
        <v>0</v>
      </c>
      <c r="AJ41" s="51">
        <v>0</v>
      </c>
      <c r="AK41" s="51">
        <v>0</v>
      </c>
      <c r="AL41" s="51">
        <v>0</v>
      </c>
      <c r="AM41" s="51">
        <v>0</v>
      </c>
      <c r="AN41" s="51">
        <v>0</v>
      </c>
      <c r="AO41" s="51">
        <v>0</v>
      </c>
      <c r="AP41" s="51">
        <v>0</v>
      </c>
      <c r="AQ41" s="52">
        <v>881</v>
      </c>
      <c r="AR41" s="51">
        <v>0</v>
      </c>
      <c r="AS41" s="260">
        <v>881</v>
      </c>
      <c r="AT41" s="57">
        <v>0</v>
      </c>
      <c r="AU41" s="51">
        <v>881</v>
      </c>
      <c r="AV41" s="51">
        <v>0</v>
      </c>
      <c r="AW41" s="51">
        <v>0</v>
      </c>
      <c r="AX41" s="51">
        <v>0</v>
      </c>
      <c r="AY41" s="51">
        <v>0</v>
      </c>
      <c r="AZ41" s="51">
        <v>0</v>
      </c>
      <c r="BA41" s="51">
        <v>0</v>
      </c>
      <c r="BB41" s="51">
        <v>0</v>
      </c>
      <c r="BC41" s="51">
        <v>0</v>
      </c>
      <c r="BD41" s="52">
        <v>881</v>
      </c>
      <c r="BE41" s="51">
        <v>0</v>
      </c>
      <c r="BF41" s="260">
        <v>881</v>
      </c>
    </row>
    <row r="42" spans="1:58" ht="14.25" x14ac:dyDescent="0.45">
      <c r="A42" t="s">
        <v>324</v>
      </c>
      <c r="B42" t="s">
        <v>325</v>
      </c>
      <c r="C42" t="s">
        <v>254</v>
      </c>
      <c r="D42" t="s">
        <v>196</v>
      </c>
      <c r="E42" t="s">
        <v>328</v>
      </c>
      <c r="F42" s="54">
        <v>1396</v>
      </c>
      <c r="G42" s="8">
        <v>0</v>
      </c>
      <c r="H42" s="8">
        <v>1396</v>
      </c>
      <c r="I42" s="126">
        <v>205</v>
      </c>
      <c r="J42" s="58">
        <v>1155</v>
      </c>
      <c r="K42" s="8">
        <v>1109</v>
      </c>
      <c r="L42" s="8">
        <v>1326</v>
      </c>
      <c r="M42" s="8">
        <v>1284</v>
      </c>
      <c r="N42" s="8">
        <v>1396</v>
      </c>
      <c r="O42" s="8">
        <v>1326</v>
      </c>
      <c r="P42" s="8">
        <v>610</v>
      </c>
      <c r="Q42" s="8">
        <v>704</v>
      </c>
      <c r="R42" s="8">
        <v>1155</v>
      </c>
      <c r="S42" s="58">
        <v>1155</v>
      </c>
      <c r="T42" s="58">
        <v>1396</v>
      </c>
      <c r="U42" s="121">
        <v>4</v>
      </c>
      <c r="V42" s="58">
        <v>4</v>
      </c>
      <c r="W42" s="58">
        <v>4</v>
      </c>
      <c r="X42" s="58">
        <v>4</v>
      </c>
      <c r="Y42" s="58">
        <v>4</v>
      </c>
      <c r="Z42" s="58">
        <v>4</v>
      </c>
      <c r="AA42" s="58">
        <v>4</v>
      </c>
      <c r="AB42" s="58">
        <v>4</v>
      </c>
      <c r="AC42" s="58">
        <v>4</v>
      </c>
      <c r="AD42" s="58">
        <v>4</v>
      </c>
      <c r="AE42" s="58">
        <v>4</v>
      </c>
      <c r="AF42" s="58">
        <v>4</v>
      </c>
      <c r="AG42" s="54">
        <v>184</v>
      </c>
      <c r="AH42" s="8">
        <v>1155</v>
      </c>
      <c r="AI42" s="8">
        <v>250</v>
      </c>
      <c r="AJ42" s="8">
        <v>796</v>
      </c>
      <c r="AK42" s="8">
        <v>886</v>
      </c>
      <c r="AL42" s="8">
        <v>698</v>
      </c>
      <c r="AM42" s="8">
        <v>796</v>
      </c>
      <c r="AN42" s="8">
        <v>330</v>
      </c>
      <c r="AO42" s="8">
        <v>317</v>
      </c>
      <c r="AP42" s="8">
        <v>489</v>
      </c>
      <c r="AQ42" s="8">
        <v>1155</v>
      </c>
      <c r="AR42" s="8">
        <v>0</v>
      </c>
      <c r="AS42" s="202">
        <v>1155</v>
      </c>
      <c r="AT42" s="54">
        <v>184</v>
      </c>
      <c r="AU42" s="8">
        <v>1155</v>
      </c>
      <c r="AV42" s="8">
        <v>250</v>
      </c>
      <c r="AW42" s="8">
        <v>796</v>
      </c>
      <c r="AX42" s="8">
        <v>886</v>
      </c>
      <c r="AY42" s="8">
        <v>698</v>
      </c>
      <c r="AZ42" s="8">
        <v>796</v>
      </c>
      <c r="BA42" s="8">
        <v>330</v>
      </c>
      <c r="BB42" s="8">
        <v>317</v>
      </c>
      <c r="BC42" s="8">
        <v>489</v>
      </c>
      <c r="BD42" s="8">
        <v>1155</v>
      </c>
      <c r="BE42" s="8">
        <v>0</v>
      </c>
      <c r="BF42" s="202">
        <v>1155</v>
      </c>
    </row>
    <row r="43" spans="1:58" ht="14.25" x14ac:dyDescent="0.45">
      <c r="A43" t="s">
        <v>324</v>
      </c>
      <c r="B43" t="s">
        <v>325</v>
      </c>
      <c r="C43" t="s">
        <v>256</v>
      </c>
      <c r="D43" t="s">
        <v>199</v>
      </c>
      <c r="E43" t="s">
        <v>329</v>
      </c>
      <c r="F43" s="54">
        <v>72</v>
      </c>
      <c r="G43" s="8">
        <v>0</v>
      </c>
      <c r="H43" s="8">
        <v>72</v>
      </c>
      <c r="I43" s="124">
        <v>11</v>
      </c>
      <c r="J43" s="58">
        <v>15</v>
      </c>
      <c r="K43" s="52">
        <v>57</v>
      </c>
      <c r="L43" s="52">
        <v>69</v>
      </c>
      <c r="M43" s="52">
        <v>42</v>
      </c>
      <c r="N43" s="52">
        <v>48</v>
      </c>
      <c r="O43" s="52">
        <v>69</v>
      </c>
      <c r="P43" s="52">
        <v>26</v>
      </c>
      <c r="Q43" s="52">
        <v>28</v>
      </c>
      <c r="R43" s="52">
        <v>15</v>
      </c>
      <c r="S43" s="58">
        <v>15</v>
      </c>
      <c r="T43" s="58">
        <v>69</v>
      </c>
      <c r="U43" s="121">
        <v>4</v>
      </c>
      <c r="V43" s="58">
        <v>4</v>
      </c>
      <c r="W43" s="58">
        <v>4</v>
      </c>
      <c r="X43" s="58">
        <v>4</v>
      </c>
      <c r="Y43" s="58">
        <v>4</v>
      </c>
      <c r="Z43" s="58">
        <v>3</v>
      </c>
      <c r="AA43" s="58">
        <v>4</v>
      </c>
      <c r="AB43" s="58">
        <v>4</v>
      </c>
      <c r="AC43" s="58">
        <v>4</v>
      </c>
      <c r="AD43" s="58">
        <v>4</v>
      </c>
      <c r="AE43" s="58">
        <v>4</v>
      </c>
      <c r="AF43" s="58">
        <v>4</v>
      </c>
      <c r="AG43" s="167">
        <v>10</v>
      </c>
      <c r="AH43" s="52">
        <v>15</v>
      </c>
      <c r="AI43" s="52">
        <v>4</v>
      </c>
      <c r="AJ43" s="52">
        <v>35</v>
      </c>
      <c r="AK43" s="52">
        <v>4</v>
      </c>
      <c r="AL43" s="52">
        <v>12</v>
      </c>
      <c r="AM43" s="52">
        <v>35</v>
      </c>
      <c r="AN43" s="52">
        <v>10</v>
      </c>
      <c r="AO43" s="52">
        <v>13</v>
      </c>
      <c r="AP43" s="52">
        <v>7</v>
      </c>
      <c r="AQ43" s="52">
        <v>8</v>
      </c>
      <c r="AR43" s="52">
        <v>1</v>
      </c>
      <c r="AS43" s="259">
        <v>35</v>
      </c>
      <c r="AT43" s="167">
        <v>10</v>
      </c>
      <c r="AU43" s="52">
        <v>13.6</v>
      </c>
      <c r="AV43" s="52">
        <v>4</v>
      </c>
      <c r="AW43" s="52">
        <v>35</v>
      </c>
      <c r="AX43" s="52">
        <v>4</v>
      </c>
      <c r="AY43" s="52">
        <v>2</v>
      </c>
      <c r="AZ43" s="52">
        <v>35</v>
      </c>
      <c r="BA43" s="52">
        <v>10</v>
      </c>
      <c r="BB43" s="52">
        <v>13</v>
      </c>
      <c r="BC43" s="52">
        <v>7</v>
      </c>
      <c r="BD43" s="52">
        <v>8</v>
      </c>
      <c r="BE43" s="52">
        <v>1</v>
      </c>
      <c r="BF43" s="259">
        <v>35</v>
      </c>
    </row>
    <row r="44" spans="1:58" ht="14.25" x14ac:dyDescent="0.45">
      <c r="A44" t="s">
        <v>324</v>
      </c>
      <c r="B44" t="s">
        <v>325</v>
      </c>
      <c r="C44" t="s">
        <v>330</v>
      </c>
      <c r="D44" t="s">
        <v>193</v>
      </c>
      <c r="E44" t="s">
        <v>331</v>
      </c>
      <c r="F44" s="51">
        <v>9908</v>
      </c>
      <c r="G44" s="51">
        <v>0</v>
      </c>
      <c r="H44" s="51">
        <v>0</v>
      </c>
      <c r="I44" s="125">
        <v>0</v>
      </c>
      <c r="J44" s="58">
        <v>3323</v>
      </c>
      <c r="K44" s="51">
        <v>0</v>
      </c>
      <c r="L44" s="51">
        <v>0</v>
      </c>
      <c r="M44" s="51">
        <v>0</v>
      </c>
      <c r="N44" s="51">
        <v>0</v>
      </c>
      <c r="O44" s="51">
        <v>0</v>
      </c>
      <c r="P44" s="51">
        <v>0</v>
      </c>
      <c r="Q44" s="51">
        <v>0</v>
      </c>
      <c r="R44" s="51">
        <v>0</v>
      </c>
      <c r="S44" s="58">
        <v>3323</v>
      </c>
      <c r="T44" s="58">
        <v>3323</v>
      </c>
      <c r="U44" s="122"/>
      <c r="V44" s="60">
        <v>4</v>
      </c>
      <c r="W44" s="60"/>
      <c r="X44" s="60"/>
      <c r="Y44" s="60"/>
      <c r="Z44" s="60"/>
      <c r="AA44" s="60"/>
      <c r="AB44" s="60"/>
      <c r="AC44" s="60"/>
      <c r="AD44" s="60"/>
      <c r="AE44" s="58">
        <v>4</v>
      </c>
      <c r="AF44" s="60">
        <v>5</v>
      </c>
      <c r="AG44" s="57">
        <v>0</v>
      </c>
      <c r="AH44" s="51">
        <v>665</v>
      </c>
      <c r="AI44" s="51">
        <v>0</v>
      </c>
      <c r="AJ44" s="51">
        <v>0</v>
      </c>
      <c r="AK44" s="51">
        <v>0</v>
      </c>
      <c r="AL44" s="51">
        <v>0</v>
      </c>
      <c r="AM44" s="51">
        <v>0</v>
      </c>
      <c r="AN44" s="51">
        <v>0</v>
      </c>
      <c r="AO44" s="51">
        <v>0</v>
      </c>
      <c r="AP44" s="51">
        <v>0</v>
      </c>
      <c r="AQ44" s="52">
        <v>665</v>
      </c>
      <c r="AR44" s="51">
        <v>0</v>
      </c>
      <c r="AS44" s="260">
        <v>665</v>
      </c>
      <c r="AT44" s="57">
        <v>0</v>
      </c>
      <c r="AU44" s="51">
        <v>665</v>
      </c>
      <c r="AV44" s="51">
        <v>0</v>
      </c>
      <c r="AW44" s="51">
        <v>0</v>
      </c>
      <c r="AX44" s="51">
        <v>0</v>
      </c>
      <c r="AY44" s="51">
        <v>0</v>
      </c>
      <c r="AZ44" s="51">
        <v>0</v>
      </c>
      <c r="BA44" s="51">
        <v>0</v>
      </c>
      <c r="BB44" s="51">
        <v>0</v>
      </c>
      <c r="BC44" s="51">
        <v>0</v>
      </c>
      <c r="BD44" s="52">
        <v>665</v>
      </c>
      <c r="BE44" s="51">
        <v>0</v>
      </c>
      <c r="BF44" s="260">
        <v>665</v>
      </c>
    </row>
    <row r="45" spans="1:58" ht="14.25" x14ac:dyDescent="0.45">
      <c r="A45" t="s">
        <v>332</v>
      </c>
      <c r="B45" t="s">
        <v>333</v>
      </c>
      <c r="C45" t="s">
        <v>245</v>
      </c>
      <c r="D45" t="s">
        <v>199</v>
      </c>
      <c r="E45" t="s">
        <v>334</v>
      </c>
      <c r="F45" s="54">
        <v>65112</v>
      </c>
      <c r="G45" s="8">
        <v>0</v>
      </c>
      <c r="H45" s="8">
        <v>65112</v>
      </c>
      <c r="I45" s="124">
        <v>9554</v>
      </c>
      <c r="J45" s="58">
        <v>17606</v>
      </c>
      <c r="K45" s="52">
        <v>51743</v>
      </c>
      <c r="L45" s="52">
        <v>59480</v>
      </c>
      <c r="M45" s="52">
        <v>32017</v>
      </c>
      <c r="N45" s="52">
        <v>60289</v>
      </c>
      <c r="O45" s="52">
        <v>59480</v>
      </c>
      <c r="P45" s="52">
        <v>27354</v>
      </c>
      <c r="Q45" s="52">
        <v>5469</v>
      </c>
      <c r="R45" s="52">
        <v>17606</v>
      </c>
      <c r="S45" s="58">
        <v>17606</v>
      </c>
      <c r="T45" s="58">
        <v>60289</v>
      </c>
      <c r="U45" s="121">
        <v>3</v>
      </c>
      <c r="V45" s="58">
        <v>3</v>
      </c>
      <c r="W45" s="58">
        <v>3</v>
      </c>
      <c r="X45" s="58">
        <v>3</v>
      </c>
      <c r="Y45" s="58">
        <v>3</v>
      </c>
      <c r="Z45" s="58">
        <v>3</v>
      </c>
      <c r="AA45" s="58">
        <v>3</v>
      </c>
      <c r="AB45" s="58">
        <v>3</v>
      </c>
      <c r="AC45" s="58">
        <v>2</v>
      </c>
      <c r="AD45" s="58">
        <v>3</v>
      </c>
      <c r="AE45" s="58">
        <v>3</v>
      </c>
      <c r="AF45" s="58">
        <v>3</v>
      </c>
      <c r="AG45" s="167">
        <v>4299</v>
      </c>
      <c r="AH45" s="52">
        <v>7154</v>
      </c>
      <c r="AI45" s="52">
        <v>3499</v>
      </c>
      <c r="AJ45" s="52">
        <v>8922</v>
      </c>
      <c r="AK45" s="52">
        <v>1601</v>
      </c>
      <c r="AL45" s="52">
        <v>15072</v>
      </c>
      <c r="AM45" s="52">
        <v>8922</v>
      </c>
      <c r="AN45" s="52">
        <v>7082</v>
      </c>
      <c r="AO45" s="52">
        <v>0</v>
      </c>
      <c r="AP45" s="52">
        <v>2751</v>
      </c>
      <c r="AQ45" s="52">
        <v>4403</v>
      </c>
      <c r="AR45" s="52">
        <v>1281</v>
      </c>
      <c r="AS45" s="259">
        <v>15072</v>
      </c>
      <c r="AT45" s="167">
        <v>860</v>
      </c>
      <c r="AU45" s="52">
        <v>1321</v>
      </c>
      <c r="AV45" s="52">
        <v>700</v>
      </c>
      <c r="AW45" s="52">
        <v>1784</v>
      </c>
      <c r="AX45" s="52">
        <v>320</v>
      </c>
      <c r="AY45" s="52">
        <v>3014</v>
      </c>
      <c r="AZ45" s="52">
        <v>1784</v>
      </c>
      <c r="BA45" s="52">
        <v>1416</v>
      </c>
      <c r="BB45" s="52">
        <v>0</v>
      </c>
      <c r="BC45" s="52">
        <v>550</v>
      </c>
      <c r="BD45" s="52">
        <v>881</v>
      </c>
      <c r="BE45" s="52">
        <v>256</v>
      </c>
      <c r="BF45" s="259">
        <v>3014</v>
      </c>
    </row>
    <row r="46" spans="1:58" ht="14.25" x14ac:dyDescent="0.45">
      <c r="A46" t="s">
        <v>335</v>
      </c>
      <c r="B46" t="s">
        <v>336</v>
      </c>
      <c r="C46" t="s">
        <v>245</v>
      </c>
      <c r="D46" t="s">
        <v>199</v>
      </c>
      <c r="E46" t="s">
        <v>337</v>
      </c>
      <c r="F46" s="54">
        <v>92461</v>
      </c>
      <c r="G46" s="8">
        <v>0</v>
      </c>
      <c r="H46" s="8">
        <v>92461</v>
      </c>
      <c r="I46" s="124">
        <v>12210</v>
      </c>
      <c r="J46" s="58">
        <v>25000</v>
      </c>
      <c r="K46" s="52">
        <v>73476</v>
      </c>
      <c r="L46" s="52">
        <v>78628</v>
      </c>
      <c r="M46" s="52">
        <v>45465</v>
      </c>
      <c r="N46" s="52">
        <v>42378</v>
      </c>
      <c r="O46" s="52">
        <v>78628</v>
      </c>
      <c r="P46" s="52">
        <v>44819</v>
      </c>
      <c r="Q46" s="52">
        <v>25889</v>
      </c>
      <c r="R46" s="52">
        <v>25000</v>
      </c>
      <c r="S46" s="58">
        <v>25000</v>
      </c>
      <c r="T46" s="58">
        <v>78628</v>
      </c>
      <c r="U46" s="121">
        <v>3</v>
      </c>
      <c r="V46" s="58">
        <v>3</v>
      </c>
      <c r="W46" s="58">
        <v>3</v>
      </c>
      <c r="X46" s="58">
        <v>3</v>
      </c>
      <c r="Y46" s="58">
        <v>3</v>
      </c>
      <c r="Z46" s="58">
        <v>3</v>
      </c>
      <c r="AA46" s="58">
        <v>3</v>
      </c>
      <c r="AB46" s="58">
        <v>3</v>
      </c>
      <c r="AC46" s="58">
        <v>3</v>
      </c>
      <c r="AD46" s="58">
        <v>3</v>
      </c>
      <c r="AE46" s="58">
        <v>3</v>
      </c>
      <c r="AF46" s="58">
        <v>3</v>
      </c>
      <c r="AG46" s="167">
        <v>5495</v>
      </c>
      <c r="AH46" s="52">
        <v>10156</v>
      </c>
      <c r="AI46" s="52">
        <v>4968</v>
      </c>
      <c r="AJ46" s="52">
        <v>11794</v>
      </c>
      <c r="AK46" s="52">
        <v>2249</v>
      </c>
      <c r="AL46" s="52">
        <v>10595</v>
      </c>
      <c r="AM46" s="52">
        <v>11794</v>
      </c>
      <c r="AN46" s="52">
        <v>11613</v>
      </c>
      <c r="AO46" s="52">
        <v>5178</v>
      </c>
      <c r="AP46" s="52">
        <v>3906</v>
      </c>
      <c r="AQ46" s="52">
        <v>6250</v>
      </c>
      <c r="AR46" s="52">
        <v>7110</v>
      </c>
      <c r="AS46" s="259">
        <v>11794</v>
      </c>
      <c r="AT46" s="167">
        <v>1099</v>
      </c>
      <c r="AU46" s="52">
        <v>1874.8</v>
      </c>
      <c r="AV46" s="52">
        <v>994</v>
      </c>
      <c r="AW46" s="52">
        <v>2359</v>
      </c>
      <c r="AX46" s="52">
        <v>450</v>
      </c>
      <c r="AY46" s="52">
        <v>2119</v>
      </c>
      <c r="AZ46" s="52">
        <v>2359</v>
      </c>
      <c r="BA46" s="52">
        <v>2323</v>
      </c>
      <c r="BB46" s="52">
        <v>1036</v>
      </c>
      <c r="BC46" s="52">
        <v>781</v>
      </c>
      <c r="BD46" s="52">
        <v>1250</v>
      </c>
      <c r="BE46" s="52">
        <v>1422</v>
      </c>
      <c r="BF46" s="259">
        <v>2359</v>
      </c>
    </row>
    <row r="47" spans="1:58" ht="14.25" x14ac:dyDescent="0.45">
      <c r="A47" t="s">
        <v>338</v>
      </c>
      <c r="B47" t="s">
        <v>339</v>
      </c>
      <c r="C47" t="s">
        <v>245</v>
      </c>
      <c r="D47" t="s">
        <v>199</v>
      </c>
      <c r="E47" t="s">
        <v>340</v>
      </c>
      <c r="F47" s="54">
        <v>40403</v>
      </c>
      <c r="G47" s="8">
        <v>0</v>
      </c>
      <c r="H47" s="8">
        <v>40403</v>
      </c>
      <c r="I47" s="124">
        <v>6299</v>
      </c>
      <c r="J47" s="58">
        <v>10925</v>
      </c>
      <c r="K47" s="52">
        <v>32107</v>
      </c>
      <c r="L47" s="52">
        <v>34246</v>
      </c>
      <c r="M47" s="52">
        <v>19867</v>
      </c>
      <c r="N47" s="52">
        <v>32322</v>
      </c>
      <c r="O47" s="52">
        <v>34246</v>
      </c>
      <c r="P47" s="52">
        <v>17208</v>
      </c>
      <c r="Q47" s="52">
        <v>11313</v>
      </c>
      <c r="R47" s="52">
        <v>10925</v>
      </c>
      <c r="S47" s="58">
        <v>10925</v>
      </c>
      <c r="T47" s="58">
        <v>34246</v>
      </c>
      <c r="U47" s="121">
        <v>3</v>
      </c>
      <c r="V47" s="58">
        <v>3</v>
      </c>
      <c r="W47" s="58">
        <v>3</v>
      </c>
      <c r="X47" s="58">
        <v>3</v>
      </c>
      <c r="Y47" s="58">
        <v>3</v>
      </c>
      <c r="Z47" s="58">
        <v>4</v>
      </c>
      <c r="AA47" s="58">
        <v>3</v>
      </c>
      <c r="AB47" s="58">
        <v>3</v>
      </c>
      <c r="AC47" s="58">
        <v>3</v>
      </c>
      <c r="AD47" s="58">
        <v>3</v>
      </c>
      <c r="AE47" s="58">
        <v>3</v>
      </c>
      <c r="AF47" s="58">
        <v>3</v>
      </c>
      <c r="AG47" s="167">
        <v>2835</v>
      </c>
      <c r="AH47" s="52">
        <v>4439</v>
      </c>
      <c r="AI47" s="52">
        <v>2171</v>
      </c>
      <c r="AJ47" s="52">
        <v>5137</v>
      </c>
      <c r="AK47" s="52">
        <v>992</v>
      </c>
      <c r="AL47" s="52">
        <v>16161</v>
      </c>
      <c r="AM47" s="52">
        <v>5137</v>
      </c>
      <c r="AN47" s="52">
        <v>4451</v>
      </c>
      <c r="AO47" s="52">
        <v>2263</v>
      </c>
      <c r="AP47" s="52">
        <v>1707</v>
      </c>
      <c r="AQ47" s="52">
        <v>2732</v>
      </c>
      <c r="AR47" s="52">
        <v>798</v>
      </c>
      <c r="AS47" s="259">
        <v>16161</v>
      </c>
      <c r="AT47" s="167">
        <v>567</v>
      </c>
      <c r="AU47" s="52">
        <v>818.8</v>
      </c>
      <c r="AV47" s="52">
        <v>434</v>
      </c>
      <c r="AW47" s="52">
        <v>1027</v>
      </c>
      <c r="AX47" s="52">
        <v>198</v>
      </c>
      <c r="AY47" s="52">
        <v>16161</v>
      </c>
      <c r="AZ47" s="52">
        <v>1027</v>
      </c>
      <c r="BA47" s="52">
        <v>890</v>
      </c>
      <c r="BB47" s="52">
        <v>453</v>
      </c>
      <c r="BC47" s="52">
        <v>341</v>
      </c>
      <c r="BD47" s="52">
        <v>546</v>
      </c>
      <c r="BE47" s="52">
        <v>160</v>
      </c>
      <c r="BF47" s="259">
        <v>16161</v>
      </c>
    </row>
    <row r="48" spans="1:58" ht="14.25" x14ac:dyDescent="0.45">
      <c r="A48" t="s">
        <v>341</v>
      </c>
      <c r="B48" t="s">
        <v>342</v>
      </c>
      <c r="C48" t="s">
        <v>252</v>
      </c>
      <c r="D48" t="s">
        <v>193</v>
      </c>
      <c r="E48" t="s">
        <v>343</v>
      </c>
      <c r="F48" s="51">
        <v>4864</v>
      </c>
      <c r="G48" s="51">
        <v>0</v>
      </c>
      <c r="H48" s="51">
        <v>0</v>
      </c>
      <c r="I48" s="125">
        <v>0</v>
      </c>
      <c r="J48" s="58">
        <v>690</v>
      </c>
      <c r="K48" s="51">
        <v>0</v>
      </c>
      <c r="L48" s="51">
        <v>0</v>
      </c>
      <c r="M48" s="51">
        <v>0</v>
      </c>
      <c r="N48" s="51">
        <v>0</v>
      </c>
      <c r="O48" s="51">
        <v>0</v>
      </c>
      <c r="P48" s="51">
        <v>0</v>
      </c>
      <c r="Q48" s="51">
        <v>0</v>
      </c>
      <c r="R48" s="51">
        <v>0</v>
      </c>
      <c r="S48" s="58">
        <v>690</v>
      </c>
      <c r="T48" s="58">
        <v>690</v>
      </c>
      <c r="U48" s="122"/>
      <c r="V48" s="60">
        <v>4</v>
      </c>
      <c r="W48" s="60"/>
      <c r="X48" s="60"/>
      <c r="Y48" s="60"/>
      <c r="Z48" s="60"/>
      <c r="AA48" s="60"/>
      <c r="AB48" s="60"/>
      <c r="AC48" s="60"/>
      <c r="AD48" s="60"/>
      <c r="AE48" s="58">
        <v>4</v>
      </c>
      <c r="AF48" s="60">
        <v>5</v>
      </c>
      <c r="AG48" s="57">
        <v>0</v>
      </c>
      <c r="AH48" s="51">
        <v>165</v>
      </c>
      <c r="AI48" s="51">
        <v>0</v>
      </c>
      <c r="AJ48" s="51">
        <v>0</v>
      </c>
      <c r="AK48" s="51">
        <v>0</v>
      </c>
      <c r="AL48" s="51">
        <v>0</v>
      </c>
      <c r="AM48" s="51">
        <v>0</v>
      </c>
      <c r="AN48" s="51">
        <v>0</v>
      </c>
      <c r="AO48" s="51">
        <v>0</v>
      </c>
      <c r="AP48" s="51">
        <v>0</v>
      </c>
      <c r="AQ48" s="52">
        <v>165</v>
      </c>
      <c r="AR48" s="51">
        <v>0</v>
      </c>
      <c r="AS48" s="260">
        <v>165</v>
      </c>
      <c r="AT48" s="57">
        <v>0</v>
      </c>
      <c r="AU48" s="51">
        <v>165</v>
      </c>
      <c r="AV48" s="51">
        <v>0</v>
      </c>
      <c r="AW48" s="51">
        <v>0</v>
      </c>
      <c r="AX48" s="51">
        <v>0</v>
      </c>
      <c r="AY48" s="51">
        <v>0</v>
      </c>
      <c r="AZ48" s="51">
        <v>0</v>
      </c>
      <c r="BA48" s="51">
        <v>0</v>
      </c>
      <c r="BB48" s="51">
        <v>0</v>
      </c>
      <c r="BC48" s="51">
        <v>0</v>
      </c>
      <c r="BD48" s="52">
        <v>165</v>
      </c>
      <c r="BE48" s="51">
        <v>0</v>
      </c>
      <c r="BF48" s="260">
        <v>165</v>
      </c>
    </row>
    <row r="49" spans="1:58" ht="14.25" x14ac:dyDescent="0.45">
      <c r="A49" t="s">
        <v>341</v>
      </c>
      <c r="B49" t="s">
        <v>342</v>
      </c>
      <c r="C49" t="s">
        <v>254</v>
      </c>
      <c r="D49" t="s">
        <v>196</v>
      </c>
      <c r="E49" t="s">
        <v>344</v>
      </c>
      <c r="F49" s="54">
        <v>509</v>
      </c>
      <c r="G49" s="8">
        <v>0</v>
      </c>
      <c r="H49" s="8">
        <v>509</v>
      </c>
      <c r="I49" s="126">
        <v>63</v>
      </c>
      <c r="J49" s="58">
        <v>249</v>
      </c>
      <c r="K49" s="8">
        <v>405</v>
      </c>
      <c r="L49" s="8">
        <v>484</v>
      </c>
      <c r="M49" s="8">
        <v>384</v>
      </c>
      <c r="N49" s="8">
        <v>509</v>
      </c>
      <c r="O49" s="8">
        <v>484</v>
      </c>
      <c r="P49" s="8">
        <v>216</v>
      </c>
      <c r="Q49" s="8">
        <v>143</v>
      </c>
      <c r="R49" s="8">
        <v>249</v>
      </c>
      <c r="S49" s="58">
        <v>249</v>
      </c>
      <c r="T49" s="58">
        <v>509</v>
      </c>
      <c r="U49" s="121">
        <v>4</v>
      </c>
      <c r="V49" s="58">
        <v>4</v>
      </c>
      <c r="W49" s="58">
        <v>4</v>
      </c>
      <c r="X49" s="58">
        <v>4</v>
      </c>
      <c r="Y49" s="58">
        <v>4</v>
      </c>
      <c r="Z49" s="58">
        <v>3</v>
      </c>
      <c r="AA49" s="58">
        <v>4</v>
      </c>
      <c r="AB49" s="58">
        <v>4</v>
      </c>
      <c r="AC49" s="58">
        <v>3</v>
      </c>
      <c r="AD49" s="58">
        <v>4</v>
      </c>
      <c r="AE49" s="58">
        <v>4</v>
      </c>
      <c r="AF49" s="58">
        <v>4</v>
      </c>
      <c r="AG49" s="54">
        <v>57</v>
      </c>
      <c r="AH49" s="8">
        <v>178</v>
      </c>
      <c r="AI49" s="8">
        <v>91</v>
      </c>
      <c r="AJ49" s="8">
        <v>290</v>
      </c>
      <c r="AK49" s="8">
        <v>261</v>
      </c>
      <c r="AL49" s="8">
        <v>127</v>
      </c>
      <c r="AM49" s="8">
        <v>290</v>
      </c>
      <c r="AN49" s="8">
        <v>90</v>
      </c>
      <c r="AO49" s="8">
        <v>29</v>
      </c>
      <c r="AP49" s="8">
        <v>178</v>
      </c>
      <c r="AQ49" s="8">
        <v>107</v>
      </c>
      <c r="AR49" s="8">
        <v>0</v>
      </c>
      <c r="AS49" s="202">
        <v>290</v>
      </c>
      <c r="AT49" s="54">
        <v>57</v>
      </c>
      <c r="AU49" s="8">
        <v>178</v>
      </c>
      <c r="AV49" s="8">
        <v>91</v>
      </c>
      <c r="AW49" s="8">
        <v>290</v>
      </c>
      <c r="AX49" s="8">
        <v>261</v>
      </c>
      <c r="AY49" s="8">
        <v>25</v>
      </c>
      <c r="AZ49" s="8">
        <v>290</v>
      </c>
      <c r="BA49" s="8">
        <v>90</v>
      </c>
      <c r="BB49" s="8">
        <v>6</v>
      </c>
      <c r="BC49" s="8">
        <v>178</v>
      </c>
      <c r="BD49" s="8">
        <v>107</v>
      </c>
      <c r="BE49" s="8">
        <v>0</v>
      </c>
      <c r="BF49" s="202">
        <v>290</v>
      </c>
    </row>
    <row r="50" spans="1:58" ht="14.25" x14ac:dyDescent="0.45">
      <c r="A50" t="s">
        <v>341</v>
      </c>
      <c r="B50" t="s">
        <v>342</v>
      </c>
      <c r="C50" t="s">
        <v>256</v>
      </c>
      <c r="D50" t="s">
        <v>199</v>
      </c>
      <c r="E50" t="s">
        <v>345</v>
      </c>
      <c r="F50" s="54">
        <v>22199</v>
      </c>
      <c r="G50" s="8">
        <v>0</v>
      </c>
      <c r="H50" s="8">
        <v>22199</v>
      </c>
      <c r="I50" s="124">
        <v>4886</v>
      </c>
      <c r="J50" s="58">
        <v>4626</v>
      </c>
      <c r="K50" s="52">
        <v>17641</v>
      </c>
      <c r="L50" s="52">
        <v>19102</v>
      </c>
      <c r="M50" s="52">
        <v>13036</v>
      </c>
      <c r="N50" s="52">
        <v>15630</v>
      </c>
      <c r="O50" s="52">
        <v>19102</v>
      </c>
      <c r="P50" s="52">
        <v>10736</v>
      </c>
      <c r="Q50" s="52">
        <v>6216</v>
      </c>
      <c r="R50" s="52">
        <v>4626</v>
      </c>
      <c r="S50" s="58">
        <v>4626</v>
      </c>
      <c r="T50" s="58">
        <v>19102</v>
      </c>
      <c r="U50" s="121">
        <v>3</v>
      </c>
      <c r="V50" s="58">
        <v>3</v>
      </c>
      <c r="W50" s="58">
        <v>4</v>
      </c>
      <c r="X50" s="58">
        <v>3</v>
      </c>
      <c r="Y50" s="58">
        <v>4</v>
      </c>
      <c r="Z50" s="58">
        <v>3</v>
      </c>
      <c r="AA50" s="58">
        <v>3</v>
      </c>
      <c r="AB50" s="58">
        <v>3</v>
      </c>
      <c r="AC50" s="58">
        <v>3</v>
      </c>
      <c r="AD50" s="58">
        <v>3</v>
      </c>
      <c r="AE50" s="58">
        <v>3</v>
      </c>
      <c r="AF50" s="58">
        <v>3</v>
      </c>
      <c r="AG50" s="167">
        <v>2199</v>
      </c>
      <c r="AH50" s="52">
        <v>4481</v>
      </c>
      <c r="AI50" s="52">
        <v>1193</v>
      </c>
      <c r="AJ50" s="52">
        <v>3401</v>
      </c>
      <c r="AK50" s="52">
        <v>1242</v>
      </c>
      <c r="AL50" s="52">
        <v>3908</v>
      </c>
      <c r="AM50" s="52">
        <v>2865</v>
      </c>
      <c r="AN50" s="52">
        <v>3401</v>
      </c>
      <c r="AO50" s="52">
        <v>1243</v>
      </c>
      <c r="AP50" s="52">
        <v>2168</v>
      </c>
      <c r="AQ50" s="52">
        <v>2313</v>
      </c>
      <c r="AR50" s="52">
        <v>384</v>
      </c>
      <c r="AS50" s="259">
        <v>4481</v>
      </c>
      <c r="AT50" s="167">
        <v>440</v>
      </c>
      <c r="AU50" s="52">
        <v>810.2</v>
      </c>
      <c r="AV50" s="52">
        <v>1193</v>
      </c>
      <c r="AW50" s="52">
        <v>680</v>
      </c>
      <c r="AX50" s="52">
        <v>1242</v>
      </c>
      <c r="AY50" s="52">
        <v>782</v>
      </c>
      <c r="AZ50" s="52">
        <v>573</v>
      </c>
      <c r="BA50" s="52">
        <v>680</v>
      </c>
      <c r="BB50" s="52">
        <v>249</v>
      </c>
      <c r="BC50" s="52">
        <v>434</v>
      </c>
      <c r="BD50" s="52">
        <v>463</v>
      </c>
      <c r="BE50" s="52">
        <v>77</v>
      </c>
      <c r="BF50" s="259">
        <v>1242</v>
      </c>
    </row>
    <row r="51" spans="1:58" ht="14.25" x14ac:dyDescent="0.45">
      <c r="A51" t="s">
        <v>346</v>
      </c>
      <c r="B51" t="s">
        <v>347</v>
      </c>
      <c r="C51" t="s">
        <v>245</v>
      </c>
      <c r="D51" t="s">
        <v>199</v>
      </c>
      <c r="E51" t="s">
        <v>348</v>
      </c>
      <c r="F51" s="54">
        <v>213148</v>
      </c>
      <c r="G51" s="8">
        <v>0</v>
      </c>
      <c r="H51" s="8">
        <v>213148</v>
      </c>
      <c r="I51" s="124">
        <v>42649</v>
      </c>
      <c r="J51" s="58">
        <v>57633</v>
      </c>
      <c r="K51" s="52">
        <v>169383</v>
      </c>
      <c r="L51" s="52">
        <v>184996</v>
      </c>
      <c r="M51" s="52">
        <v>104809</v>
      </c>
      <c r="N51" s="52">
        <v>171498</v>
      </c>
      <c r="O51" s="52">
        <v>184996</v>
      </c>
      <c r="P51" s="52">
        <v>86104</v>
      </c>
      <c r="Q51" s="52">
        <v>59681</v>
      </c>
      <c r="R51" s="52">
        <v>57633</v>
      </c>
      <c r="S51" s="58">
        <v>57633</v>
      </c>
      <c r="T51" s="58">
        <v>184996</v>
      </c>
      <c r="U51" s="121">
        <v>3</v>
      </c>
      <c r="V51" s="58">
        <v>3</v>
      </c>
      <c r="W51" s="58">
        <v>4</v>
      </c>
      <c r="X51" s="58">
        <v>3</v>
      </c>
      <c r="Y51" s="58">
        <v>3</v>
      </c>
      <c r="Z51" s="58">
        <v>3</v>
      </c>
      <c r="AA51" s="58">
        <v>3</v>
      </c>
      <c r="AB51" s="58">
        <v>3</v>
      </c>
      <c r="AC51" s="58">
        <v>3</v>
      </c>
      <c r="AD51" s="58">
        <v>3</v>
      </c>
      <c r="AE51" s="58">
        <v>3</v>
      </c>
      <c r="AF51" s="58">
        <v>3</v>
      </c>
      <c r="AG51" s="167">
        <v>19192</v>
      </c>
      <c r="AH51" s="52">
        <v>23417</v>
      </c>
      <c r="AI51" s="52">
        <v>11453</v>
      </c>
      <c r="AJ51" s="52">
        <v>27749</v>
      </c>
      <c r="AK51" s="52">
        <v>5240</v>
      </c>
      <c r="AL51" s="52">
        <v>42875</v>
      </c>
      <c r="AM51" s="52">
        <v>27749</v>
      </c>
      <c r="AN51" s="52">
        <v>22236</v>
      </c>
      <c r="AO51" s="52">
        <v>11936</v>
      </c>
      <c r="AP51" s="52">
        <v>9005</v>
      </c>
      <c r="AQ51" s="52">
        <v>14412</v>
      </c>
      <c r="AR51" s="52">
        <v>3597</v>
      </c>
      <c r="AS51" s="259">
        <v>42875</v>
      </c>
      <c r="AT51" s="167">
        <v>3838</v>
      </c>
      <c r="AU51" s="52">
        <v>4322.8</v>
      </c>
      <c r="AV51" s="52">
        <v>11453</v>
      </c>
      <c r="AW51" s="52">
        <v>5550</v>
      </c>
      <c r="AX51" s="52">
        <v>1048</v>
      </c>
      <c r="AY51" s="52">
        <v>8575</v>
      </c>
      <c r="AZ51" s="52">
        <v>5550</v>
      </c>
      <c r="BA51" s="52">
        <v>4447</v>
      </c>
      <c r="BB51" s="52">
        <v>2387</v>
      </c>
      <c r="BC51" s="52">
        <v>1801</v>
      </c>
      <c r="BD51" s="52">
        <v>2882</v>
      </c>
      <c r="BE51" s="52">
        <v>719</v>
      </c>
      <c r="BF51" s="259">
        <v>11453</v>
      </c>
    </row>
    <row r="52" spans="1:58" ht="14.25" x14ac:dyDescent="0.45">
      <c r="A52" t="s">
        <v>33</v>
      </c>
      <c r="B52" t="s">
        <v>191</v>
      </c>
      <c r="C52" t="s">
        <v>192</v>
      </c>
      <c r="D52" t="s">
        <v>193</v>
      </c>
      <c r="E52" t="s">
        <v>194</v>
      </c>
      <c r="F52" s="54">
        <v>7414</v>
      </c>
      <c r="G52" s="8">
        <v>0</v>
      </c>
      <c r="H52" s="8">
        <v>7414</v>
      </c>
      <c r="I52" s="124"/>
      <c r="J52" s="52"/>
      <c r="K52" s="52"/>
      <c r="L52" s="52"/>
      <c r="M52" s="52"/>
      <c r="N52" s="52"/>
      <c r="O52" s="52"/>
      <c r="P52" s="52"/>
      <c r="Q52" s="52"/>
      <c r="R52" s="52"/>
      <c r="S52" s="52"/>
      <c r="T52" s="52">
        <v>7414</v>
      </c>
      <c r="U52" s="121"/>
      <c r="V52" s="58"/>
      <c r="W52" s="58"/>
      <c r="X52" s="58"/>
      <c r="Y52" s="58"/>
      <c r="Z52" s="58"/>
      <c r="AA52" s="58"/>
      <c r="AB52" s="58"/>
      <c r="AC52" s="58"/>
      <c r="AD52" s="58"/>
      <c r="AE52" s="58"/>
      <c r="AF52" s="58">
        <v>5</v>
      </c>
      <c r="AG52" s="167"/>
      <c r="AH52" s="52"/>
      <c r="AI52" s="52"/>
      <c r="AJ52" s="52"/>
      <c r="AK52" s="52"/>
      <c r="AL52" s="52"/>
      <c r="AM52" s="52"/>
      <c r="AN52" s="52"/>
      <c r="AO52" s="52"/>
      <c r="AP52" s="52"/>
      <c r="AQ52" s="52"/>
      <c r="AR52" s="52"/>
      <c r="AS52" s="259">
        <v>1207</v>
      </c>
      <c r="AT52" s="167"/>
      <c r="AU52" s="52"/>
      <c r="AV52" s="52"/>
      <c r="AW52" s="52"/>
      <c r="AX52" s="52"/>
      <c r="AY52" s="52"/>
      <c r="AZ52" s="52"/>
      <c r="BA52" s="52"/>
      <c r="BB52" s="52"/>
      <c r="BC52" s="52"/>
      <c r="BD52" s="52"/>
      <c r="BE52" s="52"/>
      <c r="BF52" s="259">
        <v>1207</v>
      </c>
    </row>
    <row r="53" spans="1:58" ht="15" customHeight="1" x14ac:dyDescent="0.45">
      <c r="A53" t="s">
        <v>33</v>
      </c>
      <c r="B53" t="s">
        <v>191</v>
      </c>
      <c r="C53" t="s">
        <v>195</v>
      </c>
      <c r="D53" t="s">
        <v>196</v>
      </c>
      <c r="E53" t="s">
        <v>197</v>
      </c>
      <c r="F53" s="54">
        <v>10647</v>
      </c>
      <c r="G53" s="8">
        <v>0</v>
      </c>
      <c r="H53" s="8">
        <v>10647</v>
      </c>
      <c r="I53" s="124"/>
      <c r="J53" s="52"/>
      <c r="K53" s="52"/>
      <c r="L53" s="52"/>
      <c r="M53" s="52"/>
      <c r="N53" s="52"/>
      <c r="O53" s="52"/>
      <c r="P53" s="52"/>
      <c r="Q53" s="52"/>
      <c r="R53" s="52"/>
      <c r="S53" s="52"/>
      <c r="T53" s="52">
        <v>10647</v>
      </c>
      <c r="U53" s="121"/>
      <c r="V53" s="58"/>
      <c r="W53" s="58"/>
      <c r="X53" s="58"/>
      <c r="Y53" s="58"/>
      <c r="Z53" s="58"/>
      <c r="AA53" s="58"/>
      <c r="AB53" s="58"/>
      <c r="AC53" s="58"/>
      <c r="AD53" s="58"/>
      <c r="AE53" s="58"/>
      <c r="AF53" s="58">
        <v>4</v>
      </c>
      <c r="AG53" s="167"/>
      <c r="AH53" s="52"/>
      <c r="AI53" s="52"/>
      <c r="AJ53" s="52"/>
      <c r="AK53" s="52"/>
      <c r="AL53" s="52"/>
      <c r="AM53" s="52"/>
      <c r="AN53" s="52"/>
      <c r="AO53" s="52"/>
      <c r="AP53" s="52"/>
      <c r="AQ53" s="52"/>
      <c r="AR53" s="52"/>
      <c r="AS53" s="259">
        <v>1734</v>
      </c>
      <c r="AT53" s="167"/>
      <c r="AU53" s="52"/>
      <c r="AV53" s="52"/>
      <c r="AW53" s="52"/>
      <c r="AX53" s="52"/>
      <c r="AY53" s="52"/>
      <c r="AZ53" s="52"/>
      <c r="BA53" s="52"/>
      <c r="BB53" s="52"/>
      <c r="BC53" s="52"/>
      <c r="BD53" s="52"/>
      <c r="BE53" s="52"/>
      <c r="BF53" s="259">
        <v>1734</v>
      </c>
    </row>
    <row r="54" spans="1:58" ht="15" customHeight="1" x14ac:dyDescent="0.45">
      <c r="A54" t="s">
        <v>33</v>
      </c>
      <c r="B54" t="s">
        <v>191</v>
      </c>
      <c r="C54" t="s">
        <v>198</v>
      </c>
      <c r="D54" t="s">
        <v>199</v>
      </c>
      <c r="E54" t="s">
        <v>200</v>
      </c>
      <c r="F54" s="54">
        <v>15802</v>
      </c>
      <c r="G54" s="8">
        <v>0</v>
      </c>
      <c r="H54" s="8">
        <v>15802</v>
      </c>
      <c r="I54" s="124"/>
      <c r="J54" s="52"/>
      <c r="K54" s="52"/>
      <c r="L54" s="52"/>
      <c r="M54" s="52"/>
      <c r="N54" s="52"/>
      <c r="O54" s="52"/>
      <c r="P54" s="52"/>
      <c r="Q54" s="52"/>
      <c r="R54" s="52"/>
      <c r="S54" s="52"/>
      <c r="T54" s="52">
        <v>15802</v>
      </c>
      <c r="U54" s="121"/>
      <c r="V54" s="58"/>
      <c r="W54" s="58"/>
      <c r="X54" s="58"/>
      <c r="Y54" s="58"/>
      <c r="Z54" s="58"/>
      <c r="AA54" s="58"/>
      <c r="AB54" s="58"/>
      <c r="AC54" s="58"/>
      <c r="AD54" s="58"/>
      <c r="AE54" s="58"/>
      <c r="AF54" s="58">
        <v>4</v>
      </c>
      <c r="AG54" s="167"/>
      <c r="AH54" s="52"/>
      <c r="AI54" s="52"/>
      <c r="AJ54" s="52"/>
      <c r="AK54" s="52"/>
      <c r="AL54" s="52"/>
      <c r="AM54" s="52"/>
      <c r="AN54" s="52"/>
      <c r="AO54" s="52"/>
      <c r="AP54" s="52"/>
      <c r="AQ54" s="52"/>
      <c r="AR54" s="52"/>
      <c r="AS54" s="259">
        <v>1350</v>
      </c>
      <c r="AT54" s="167"/>
      <c r="AU54" s="52"/>
      <c r="AV54" s="52"/>
      <c r="AW54" s="52"/>
      <c r="AX54" s="52"/>
      <c r="AY54" s="52"/>
      <c r="AZ54" s="52"/>
      <c r="BA54" s="52"/>
      <c r="BB54" s="52"/>
      <c r="BC54" s="52"/>
      <c r="BD54" s="52"/>
      <c r="BE54" s="52"/>
      <c r="BF54" s="259">
        <v>1350</v>
      </c>
    </row>
    <row r="55" spans="1:58" ht="15" customHeight="1" x14ac:dyDescent="0.45">
      <c r="A55" t="s">
        <v>33</v>
      </c>
      <c r="B55" t="s">
        <v>191</v>
      </c>
      <c r="C55" t="s">
        <v>201</v>
      </c>
      <c r="D55" t="s">
        <v>199</v>
      </c>
      <c r="E55" t="s">
        <v>202</v>
      </c>
      <c r="F55" s="54">
        <v>9893</v>
      </c>
      <c r="G55" s="8">
        <v>0</v>
      </c>
      <c r="H55" s="8">
        <v>9893</v>
      </c>
      <c r="I55" s="124"/>
      <c r="J55" s="52"/>
      <c r="K55" s="52"/>
      <c r="L55" s="52"/>
      <c r="M55" s="52"/>
      <c r="N55" s="52"/>
      <c r="O55" s="52"/>
      <c r="P55" s="52"/>
      <c r="Q55" s="52"/>
      <c r="R55" s="52"/>
      <c r="S55" s="52"/>
      <c r="T55" s="52">
        <v>9893</v>
      </c>
      <c r="U55" s="121"/>
      <c r="V55" s="58"/>
      <c r="W55" s="58"/>
      <c r="X55" s="58"/>
      <c r="Y55" s="58"/>
      <c r="Z55" s="58"/>
      <c r="AA55" s="58"/>
      <c r="AB55" s="58"/>
      <c r="AC55" s="58"/>
      <c r="AD55" s="58"/>
      <c r="AE55" s="58"/>
      <c r="AF55" s="58">
        <v>3</v>
      </c>
      <c r="AG55" s="167"/>
      <c r="AH55" s="52"/>
      <c r="AI55" s="52"/>
      <c r="AJ55" s="52"/>
      <c r="AK55" s="52"/>
      <c r="AL55" s="52"/>
      <c r="AM55" s="52"/>
      <c r="AN55" s="52"/>
      <c r="AO55" s="52"/>
      <c r="AP55" s="52"/>
      <c r="AQ55" s="52"/>
      <c r="AR55" s="52"/>
      <c r="AS55" s="259">
        <v>1979</v>
      </c>
      <c r="AT55" s="167"/>
      <c r="AU55" s="52"/>
      <c r="AV55" s="52"/>
      <c r="AW55" s="52"/>
      <c r="AX55" s="52"/>
      <c r="AY55" s="52"/>
      <c r="AZ55" s="52"/>
      <c r="BA55" s="52"/>
      <c r="BB55" s="52"/>
      <c r="BC55" s="52"/>
      <c r="BD55" s="52"/>
      <c r="BE55" s="52"/>
      <c r="BF55" s="259">
        <v>396</v>
      </c>
    </row>
    <row r="56" spans="1:58" ht="15" customHeight="1" x14ac:dyDescent="0.45">
      <c r="A56" t="s">
        <v>141</v>
      </c>
      <c r="F56" s="20">
        <f>SUBTOTAL(109,idp_SP4[idp_aff_sp4])</f>
        <v>2465936</v>
      </c>
      <c r="G56" s="13">
        <f>SUBTOTAL(109,idp_SP4[ndp_aff_sp4])</f>
        <v>0</v>
      </c>
      <c r="H56" s="13">
        <f>SUBTOTAL(109,idp_SP4[overall_aff_sp4])</f>
        <v>2312181</v>
      </c>
      <c r="I56" s="127"/>
      <c r="J56" s="14"/>
      <c r="K56" s="14"/>
      <c r="L56" s="14"/>
      <c r="M56" s="14"/>
      <c r="N56" s="14"/>
      <c r="O56" s="14"/>
      <c r="P56" s="14"/>
      <c r="Q56" s="14"/>
      <c r="R56" s="14"/>
      <c r="S56" s="14"/>
      <c r="T56" s="13">
        <f>SUBTOTAL(109,idp_SP4[sp4_idp_pin_adopted])</f>
        <v>2056340</v>
      </c>
      <c r="U56" s="123"/>
      <c r="V56" s="12"/>
      <c r="W56" s="12"/>
      <c r="X56" s="12"/>
      <c r="Y56" s="12"/>
      <c r="Z56" s="12"/>
      <c r="AA56" s="12"/>
      <c r="AB56" s="12"/>
      <c r="AC56" s="12"/>
      <c r="AD56" s="12"/>
      <c r="AE56" s="12"/>
      <c r="AF56" s="11"/>
      <c r="AG56" s="209"/>
      <c r="AH56" s="210"/>
      <c r="AI56" s="210"/>
      <c r="AJ56" s="210"/>
      <c r="AK56" s="210"/>
      <c r="AL56" s="210"/>
      <c r="AM56" s="210"/>
      <c r="AN56" s="210"/>
      <c r="AO56" s="210"/>
      <c r="AP56" s="210"/>
      <c r="AQ56" s="210"/>
      <c r="AR56" s="210"/>
      <c r="AS56" s="211">
        <f>SUBTOTAL(109,idp_SP4[sp4_idp_target_joint])</f>
        <v>843010</v>
      </c>
      <c r="AT56" s="209"/>
      <c r="AU56" s="210"/>
      <c r="AV56" s="210"/>
      <c r="AW56" s="210"/>
      <c r="AX56" s="210"/>
      <c r="AY56" s="210"/>
      <c r="AZ56" s="210"/>
      <c r="BA56" s="210"/>
      <c r="BB56" s="210"/>
      <c r="BC56" s="210"/>
      <c r="BD56" s="210"/>
      <c r="BE56" s="210"/>
      <c r="BF56" s="211">
        <f>SUBTOTAL(109,idp_SP4[sp4_idp_targetPr_joint])</f>
        <v>747048</v>
      </c>
    </row>
  </sheetData>
  <mergeCells count="2">
    <mergeCell ref="T5:T6"/>
    <mergeCell ref="AF5:AF6"/>
  </mergeCells>
  <phoneticPr fontId="2" type="noConversion"/>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4FCFE-AD48-4A6E-8193-4CADE4BBD0D6}">
  <sheetPr codeName="Sheet20"/>
  <dimension ref="A1:BF61"/>
  <sheetViews>
    <sheetView showGridLines="0" zoomScaleNormal="100" workbookViewId="0">
      <pane xSplit="5" ySplit="7" topLeftCell="F8" activePane="bottomRight" state="frozenSplit"/>
      <selection pane="topRight" activeCell="A2" sqref="A2"/>
      <selection pane="bottomLeft" activeCell="A2" sqref="A2"/>
      <selection pane="bottomRight" activeCell="D6" sqref="D6:D7"/>
    </sheetView>
  </sheetViews>
  <sheetFormatPr defaultRowHeight="15" customHeight="1" x14ac:dyDescent="0.45"/>
  <cols>
    <col min="1" max="1" width="19.53125" customWidth="1"/>
    <col min="2" max="2" width="12.1328125" customWidth="1"/>
    <col min="3" max="3" width="14.3984375" customWidth="1"/>
    <col min="4" max="4" width="11.86328125" customWidth="1"/>
    <col min="5" max="5" width="14.1328125" customWidth="1"/>
    <col min="6" max="8" width="10" customWidth="1"/>
    <col min="9" max="9" width="6.6640625" customWidth="1"/>
    <col min="10" max="10" width="10" customWidth="1"/>
    <col min="11" max="14" width="6.6640625" customWidth="1"/>
    <col min="15" max="19" width="8.6640625" customWidth="1"/>
    <col min="20" max="20" width="10" customWidth="1"/>
    <col min="21" max="32" width="8.3984375" customWidth="1"/>
    <col min="33" max="33" width="6.6640625" customWidth="1"/>
    <col min="34" max="34" width="10" customWidth="1"/>
    <col min="35" max="41" width="6.6640625" customWidth="1"/>
    <col min="42" max="43" width="10" customWidth="1"/>
    <col min="44" max="44" width="6.6640625" customWidth="1"/>
    <col min="45" max="45" width="10" customWidth="1"/>
  </cols>
  <sheetData>
    <row r="1" spans="1:58" ht="15" customHeight="1" x14ac:dyDescent="0.45">
      <c r="A1" s="296" t="s">
        <v>730</v>
      </c>
    </row>
    <row r="2" spans="1:58" ht="19.899999999999999" x14ac:dyDescent="0.45">
      <c r="A2" s="297" t="s">
        <v>4287</v>
      </c>
      <c r="I2" s="50"/>
      <c r="J2" s="50"/>
      <c r="K2" s="50"/>
      <c r="L2" s="50"/>
      <c r="M2" s="50"/>
      <c r="N2" s="50"/>
      <c r="O2" s="50"/>
      <c r="P2" s="50"/>
      <c r="Q2" s="50"/>
      <c r="R2" s="50"/>
      <c r="S2" s="50"/>
    </row>
    <row r="3" spans="1:58" ht="14.25" x14ac:dyDescent="0.45">
      <c r="A3" s="5" t="str">
        <f>ActivityList!A3</f>
        <v>Release Date: 13 January 2026</v>
      </c>
      <c r="I3" s="48" t="str">
        <f>"sp1_overall_pin_"&amp;I4</f>
        <v>sp1_overall_pin_ed</v>
      </c>
      <c r="J3" s="48" t="str">
        <f t="shared" ref="J3:Q3" si="0">"sp1_overall_pin_"&amp;J4</f>
        <v>sp1_overall_pin_fs</v>
      </c>
      <c r="K3" s="48" t="str">
        <f t="shared" si="0"/>
        <v>sp1_overall_pin_he</v>
      </c>
      <c r="L3" s="48" t="str">
        <f t="shared" si="0"/>
        <v>sp1_overall_pin_pr</v>
      </c>
      <c r="M3" s="48" t="str">
        <f t="shared" si="0"/>
        <v>sp1_overall_pin_sn</v>
      </c>
      <c r="N3" s="48" t="str">
        <f t="shared" si="0"/>
        <v>sp1_overall_pin_wa</v>
      </c>
      <c r="O3" s="48" t="str">
        <f t="shared" si="0"/>
        <v>sp1_overall_pin_gp</v>
      </c>
      <c r="P3" s="48" t="str">
        <f t="shared" si="0"/>
        <v>sp1_overall_pin_cp</v>
      </c>
      <c r="Q3" s="48" t="str">
        <f t="shared" si="0"/>
        <v>sp1_overall_pin_gb</v>
      </c>
      <c r="R3" s="48"/>
      <c r="S3" s="142"/>
    </row>
    <row r="4" spans="1:58" ht="15.75" x14ac:dyDescent="0.5">
      <c r="F4" s="34"/>
      <c r="G4" s="34"/>
      <c r="H4" s="34"/>
      <c r="I4" s="49" t="s">
        <v>154</v>
      </c>
      <c r="J4" s="49" t="s">
        <v>155</v>
      </c>
      <c r="K4" s="49" t="s">
        <v>156</v>
      </c>
      <c r="L4" s="49" t="s">
        <v>157</v>
      </c>
      <c r="M4" s="49" t="s">
        <v>382</v>
      </c>
      <c r="N4" s="49" t="s">
        <v>158</v>
      </c>
      <c r="O4" s="49" t="s">
        <v>478</v>
      </c>
      <c r="P4" s="49" t="s">
        <v>479</v>
      </c>
      <c r="Q4" s="49" t="s">
        <v>480</v>
      </c>
      <c r="R4" s="49"/>
      <c r="S4" s="49"/>
      <c r="T4" s="34"/>
    </row>
    <row r="5" spans="1:58" ht="16.25" customHeight="1" x14ac:dyDescent="0.45">
      <c r="A5" s="2" t="s">
        <v>159</v>
      </c>
      <c r="B5" s="2"/>
      <c r="C5" s="2" t="s">
        <v>160</v>
      </c>
      <c r="D5" s="2"/>
      <c r="E5" s="2"/>
      <c r="F5" s="37" t="s">
        <v>481</v>
      </c>
      <c r="G5" s="38"/>
      <c r="H5" s="39"/>
      <c r="I5" s="43" t="s">
        <v>224</v>
      </c>
      <c r="J5" s="43"/>
      <c r="K5" s="43"/>
      <c r="L5" s="43"/>
      <c r="M5" s="43"/>
      <c r="N5" s="43"/>
      <c r="O5" s="102" t="s">
        <v>351</v>
      </c>
      <c r="P5" s="43"/>
      <c r="Q5" s="43"/>
      <c r="R5" s="102" t="s">
        <v>352</v>
      </c>
      <c r="S5" s="43"/>
      <c r="T5" s="379" t="s">
        <v>485</v>
      </c>
      <c r="U5" s="35" t="s">
        <v>350</v>
      </c>
      <c r="V5" s="35"/>
      <c r="W5" s="35"/>
      <c r="X5" s="35"/>
      <c r="Y5" s="35"/>
      <c r="Z5" s="35"/>
      <c r="AA5" s="119" t="s">
        <v>351</v>
      </c>
      <c r="AB5" s="35"/>
      <c r="AC5" s="35"/>
      <c r="AD5" s="94" t="s">
        <v>352</v>
      </c>
      <c r="AE5" s="35"/>
      <c r="AF5" s="103"/>
      <c r="AG5" s="67" t="s">
        <v>226</v>
      </c>
      <c r="AH5" s="67"/>
      <c r="AI5" s="67"/>
      <c r="AJ5" s="67"/>
      <c r="AK5" s="67"/>
      <c r="AL5" s="67"/>
      <c r="AM5" s="74" t="s">
        <v>351</v>
      </c>
      <c r="AN5" s="67"/>
      <c r="AO5" s="76"/>
      <c r="AP5" s="74" t="s">
        <v>352</v>
      </c>
      <c r="AQ5" s="67"/>
      <c r="AR5" s="78"/>
      <c r="AS5" s="93" t="s">
        <v>141</v>
      </c>
      <c r="AT5" s="189" t="s">
        <v>4035</v>
      </c>
      <c r="AU5" s="189"/>
      <c r="AV5" s="189"/>
      <c r="AW5" s="189"/>
      <c r="AX5" s="189"/>
      <c r="AY5" s="189"/>
      <c r="AZ5" s="190" t="s">
        <v>351</v>
      </c>
      <c r="BA5" s="189"/>
      <c r="BB5" s="191"/>
      <c r="BC5" s="190" t="s">
        <v>352</v>
      </c>
      <c r="BD5" s="189"/>
      <c r="BE5" s="192"/>
      <c r="BF5" s="193" t="s">
        <v>141</v>
      </c>
    </row>
    <row r="6" spans="1:58" ht="14.25" x14ac:dyDescent="0.45">
      <c r="A6" s="1" t="s">
        <v>161</v>
      </c>
      <c r="B6" s="1" t="s">
        <v>162</v>
      </c>
      <c r="C6" s="1" t="s">
        <v>211</v>
      </c>
      <c r="D6" s="1" t="s">
        <v>4252</v>
      </c>
      <c r="E6" s="1" t="s">
        <v>138</v>
      </c>
      <c r="F6" s="105" t="s">
        <v>153</v>
      </c>
      <c r="G6" s="104" t="s">
        <v>10</v>
      </c>
      <c r="H6" s="106" t="s">
        <v>11</v>
      </c>
      <c r="I6" s="44" t="s">
        <v>140</v>
      </c>
      <c r="J6" s="44" t="s">
        <v>368</v>
      </c>
      <c r="K6" s="44" t="s">
        <v>145</v>
      </c>
      <c r="L6" s="44" t="s">
        <v>146</v>
      </c>
      <c r="M6" s="44" t="s">
        <v>150</v>
      </c>
      <c r="N6" s="44" t="s">
        <v>148</v>
      </c>
      <c r="O6" s="109" t="s">
        <v>354</v>
      </c>
      <c r="P6" s="46" t="s">
        <v>143</v>
      </c>
      <c r="Q6" s="110" t="s">
        <v>149</v>
      </c>
      <c r="R6" s="46" t="s">
        <v>142</v>
      </c>
      <c r="S6" s="46" t="s">
        <v>144</v>
      </c>
      <c r="T6" s="380"/>
      <c r="U6" s="36" t="s">
        <v>140</v>
      </c>
      <c r="V6" s="36" t="s">
        <v>368</v>
      </c>
      <c r="W6" s="36" t="s">
        <v>145</v>
      </c>
      <c r="X6" s="36" t="s">
        <v>146</v>
      </c>
      <c r="Y6" s="36" t="s">
        <v>150</v>
      </c>
      <c r="Z6" s="36" t="s">
        <v>148</v>
      </c>
      <c r="AA6" s="107" t="s">
        <v>354</v>
      </c>
      <c r="AB6" s="46" t="s">
        <v>143</v>
      </c>
      <c r="AC6" s="46" t="s">
        <v>149</v>
      </c>
      <c r="AD6" s="75" t="s">
        <v>142</v>
      </c>
      <c r="AE6" s="46" t="s">
        <v>144</v>
      </c>
      <c r="AF6" s="103" t="s">
        <v>353</v>
      </c>
      <c r="AG6" s="68" t="s">
        <v>140</v>
      </c>
      <c r="AH6" s="68" t="s">
        <v>368</v>
      </c>
      <c r="AI6" s="68" t="s">
        <v>145</v>
      </c>
      <c r="AJ6" s="68" t="s">
        <v>146</v>
      </c>
      <c r="AK6" s="68" t="s">
        <v>150</v>
      </c>
      <c r="AL6" s="68" t="s">
        <v>148</v>
      </c>
      <c r="AM6" s="75" t="s">
        <v>354</v>
      </c>
      <c r="AN6" s="46" t="s">
        <v>143</v>
      </c>
      <c r="AO6" s="77" t="s">
        <v>149</v>
      </c>
      <c r="AP6" s="77" t="s">
        <v>142</v>
      </c>
      <c r="AQ6" s="77" t="s">
        <v>144</v>
      </c>
      <c r="AR6" s="78" t="s">
        <v>147</v>
      </c>
      <c r="AS6" s="111"/>
      <c r="AT6" s="194" t="s">
        <v>140</v>
      </c>
      <c r="AU6" s="194" t="s">
        <v>368</v>
      </c>
      <c r="AV6" s="194" t="s">
        <v>145</v>
      </c>
      <c r="AW6" s="194" t="s">
        <v>146</v>
      </c>
      <c r="AX6" s="194" t="s">
        <v>150</v>
      </c>
      <c r="AY6" s="194" t="s">
        <v>148</v>
      </c>
      <c r="AZ6" s="75" t="s">
        <v>354</v>
      </c>
      <c r="BA6" s="46" t="s">
        <v>143</v>
      </c>
      <c r="BB6" s="77" t="s">
        <v>149</v>
      </c>
      <c r="BC6" s="77" t="s">
        <v>142</v>
      </c>
      <c r="BD6" s="77" t="s">
        <v>144</v>
      </c>
      <c r="BE6" s="196" t="s">
        <v>147</v>
      </c>
      <c r="BF6" s="197"/>
    </row>
    <row r="7" spans="1:58" ht="14.25" x14ac:dyDescent="0.45">
      <c r="A7" s="112" t="s">
        <v>165</v>
      </c>
      <c r="B7" s="112" t="s">
        <v>166</v>
      </c>
      <c r="C7" s="112" t="s">
        <v>167</v>
      </c>
      <c r="D7" s="112" t="s">
        <v>168</v>
      </c>
      <c r="E7" s="112" t="s">
        <v>169</v>
      </c>
      <c r="F7" s="116" t="s">
        <v>640</v>
      </c>
      <c r="G7" s="113" t="s">
        <v>641</v>
      </c>
      <c r="H7" s="115" t="s">
        <v>642</v>
      </c>
      <c r="I7" s="131" t="s">
        <v>664</v>
      </c>
      <c r="J7" s="114" t="s">
        <v>4181</v>
      </c>
      <c r="K7" s="114" t="s">
        <v>666</v>
      </c>
      <c r="L7" s="114" t="s">
        <v>667</v>
      </c>
      <c r="M7" s="114" t="s">
        <v>668</v>
      </c>
      <c r="N7" s="114" t="s">
        <v>669</v>
      </c>
      <c r="O7" s="114" t="s">
        <v>670</v>
      </c>
      <c r="P7" s="114" t="s">
        <v>671</v>
      </c>
      <c r="Q7" s="117" t="s">
        <v>672</v>
      </c>
      <c r="R7" s="112" t="s">
        <v>665</v>
      </c>
      <c r="S7" s="118" t="s">
        <v>673</v>
      </c>
      <c r="T7" s="117" t="s">
        <v>674</v>
      </c>
      <c r="U7" s="130" t="s">
        <v>675</v>
      </c>
      <c r="V7" s="113" t="s">
        <v>4182</v>
      </c>
      <c r="W7" s="113" t="s">
        <v>677</v>
      </c>
      <c r="X7" s="113" t="s">
        <v>678</v>
      </c>
      <c r="Y7" s="113" t="s">
        <v>679</v>
      </c>
      <c r="Z7" s="113" t="s">
        <v>680</v>
      </c>
      <c r="AA7" s="113" t="s">
        <v>681</v>
      </c>
      <c r="AB7" s="113" t="s">
        <v>682</v>
      </c>
      <c r="AC7" s="113" t="s">
        <v>683</v>
      </c>
      <c r="AD7" s="115" t="s">
        <v>676</v>
      </c>
      <c r="AE7" s="115" t="s">
        <v>684</v>
      </c>
      <c r="AF7" s="115" t="s">
        <v>685</v>
      </c>
      <c r="AG7" s="206" t="s">
        <v>686</v>
      </c>
      <c r="AH7" s="207" t="s">
        <v>4183</v>
      </c>
      <c r="AI7" s="207" t="s">
        <v>688</v>
      </c>
      <c r="AJ7" s="207" t="s">
        <v>689</v>
      </c>
      <c r="AK7" s="207" t="s">
        <v>690</v>
      </c>
      <c r="AL7" s="207" t="s">
        <v>691</v>
      </c>
      <c r="AM7" s="207" t="s">
        <v>692</v>
      </c>
      <c r="AN7" s="207" t="s">
        <v>693</v>
      </c>
      <c r="AO7" s="207" t="s">
        <v>694</v>
      </c>
      <c r="AP7" s="207" t="s">
        <v>687</v>
      </c>
      <c r="AQ7" s="207" t="s">
        <v>695</v>
      </c>
      <c r="AR7" s="207" t="s">
        <v>4220</v>
      </c>
      <c r="AS7" s="208" t="s">
        <v>696</v>
      </c>
      <c r="AT7" s="206" t="s">
        <v>4049</v>
      </c>
      <c r="AU7" s="207" t="s">
        <v>4184</v>
      </c>
      <c r="AV7" s="207" t="s">
        <v>4051</v>
      </c>
      <c r="AW7" s="207" t="s">
        <v>4052</v>
      </c>
      <c r="AX7" s="207" t="s">
        <v>4053</v>
      </c>
      <c r="AY7" s="207" t="s">
        <v>4054</v>
      </c>
      <c r="AZ7" s="207" t="s">
        <v>4055</v>
      </c>
      <c r="BA7" s="207" t="s">
        <v>4056</v>
      </c>
      <c r="BB7" s="207" t="s">
        <v>4057</v>
      </c>
      <c r="BC7" s="207" t="s">
        <v>4050</v>
      </c>
      <c r="BD7" s="207" t="s">
        <v>4058</v>
      </c>
      <c r="BE7" s="207" t="s">
        <v>4221</v>
      </c>
      <c r="BF7" s="208" t="s">
        <v>4059</v>
      </c>
    </row>
    <row r="8" spans="1:58" ht="14.25" x14ac:dyDescent="0.45">
      <c r="A8" t="s">
        <v>243</v>
      </c>
      <c r="B8" t="s">
        <v>244</v>
      </c>
      <c r="C8" t="s">
        <v>245</v>
      </c>
      <c r="D8" t="s">
        <v>199</v>
      </c>
      <c r="E8" t="s">
        <v>246</v>
      </c>
      <c r="F8" s="57"/>
      <c r="G8" s="51">
        <v>0</v>
      </c>
      <c r="H8" s="51"/>
      <c r="I8" s="125"/>
      <c r="J8" s="51">
        <v>0</v>
      </c>
      <c r="K8" s="51"/>
      <c r="L8" s="51"/>
      <c r="M8" s="51"/>
      <c r="N8" s="51"/>
      <c r="O8" s="51"/>
      <c r="P8" s="51"/>
      <c r="Q8" s="51"/>
      <c r="R8" s="51">
        <v>0</v>
      </c>
      <c r="S8" s="51">
        <v>0</v>
      </c>
      <c r="T8" s="51">
        <v>0</v>
      </c>
      <c r="U8" s="122"/>
      <c r="V8" s="60">
        <v>0</v>
      </c>
      <c r="W8" s="60"/>
      <c r="X8" s="60"/>
      <c r="Y8" s="60"/>
      <c r="Z8" s="60"/>
      <c r="AA8" s="60"/>
      <c r="AB8" s="60"/>
      <c r="AC8" s="60"/>
      <c r="AD8" s="60"/>
      <c r="AE8" s="60"/>
      <c r="AF8" s="60"/>
      <c r="AG8" s="57"/>
      <c r="AH8" s="51">
        <v>0</v>
      </c>
      <c r="AI8" s="51"/>
      <c r="AJ8" s="51"/>
      <c r="AK8" s="51"/>
      <c r="AL8" s="51"/>
      <c r="AM8" s="51"/>
      <c r="AN8" s="51"/>
      <c r="AO8" s="51"/>
      <c r="AP8" s="51">
        <v>0</v>
      </c>
      <c r="AQ8" s="51">
        <v>0</v>
      </c>
      <c r="AR8" s="51"/>
      <c r="AS8" s="201">
        <v>0</v>
      </c>
      <c r="AT8" s="57"/>
      <c r="AU8" s="51">
        <v>0</v>
      </c>
      <c r="AV8" s="51"/>
      <c r="AW8" s="51"/>
      <c r="AX8" s="51"/>
      <c r="AY8" s="51"/>
      <c r="AZ8" s="51"/>
      <c r="BA8" s="51"/>
      <c r="BB8" s="51"/>
      <c r="BC8" s="51"/>
      <c r="BD8" s="51">
        <v>0</v>
      </c>
      <c r="BE8" s="51"/>
      <c r="BF8" s="201">
        <v>0</v>
      </c>
    </row>
    <row r="9" spans="1:58" ht="14.25" x14ac:dyDescent="0.45">
      <c r="A9" t="s">
        <v>247</v>
      </c>
      <c r="B9" t="s">
        <v>248</v>
      </c>
      <c r="C9" t="s">
        <v>245</v>
      </c>
      <c r="D9" t="s">
        <v>199</v>
      </c>
      <c r="E9" t="s">
        <v>249</v>
      </c>
      <c r="F9" s="57"/>
      <c r="G9" s="51">
        <v>0</v>
      </c>
      <c r="H9" s="51"/>
      <c r="I9" s="125"/>
      <c r="J9" s="51">
        <v>0</v>
      </c>
      <c r="K9" s="51"/>
      <c r="L9" s="51"/>
      <c r="M9" s="51"/>
      <c r="N9" s="51"/>
      <c r="O9" s="51"/>
      <c r="P9" s="51"/>
      <c r="Q9" s="51"/>
      <c r="R9" s="51">
        <v>0</v>
      </c>
      <c r="S9" s="51">
        <v>0</v>
      </c>
      <c r="T9" s="51">
        <v>0</v>
      </c>
      <c r="U9" s="122"/>
      <c r="V9" s="60">
        <v>0</v>
      </c>
      <c r="W9" s="60"/>
      <c r="X9" s="60"/>
      <c r="Y9" s="60"/>
      <c r="Z9" s="60"/>
      <c r="AA9" s="60"/>
      <c r="AB9" s="60"/>
      <c r="AC9" s="60"/>
      <c r="AD9" s="60"/>
      <c r="AE9" s="60"/>
      <c r="AF9" s="60"/>
      <c r="AG9" s="57"/>
      <c r="AH9" s="51">
        <v>0</v>
      </c>
      <c r="AI9" s="51"/>
      <c r="AJ9" s="51"/>
      <c r="AK9" s="51"/>
      <c r="AL9" s="51"/>
      <c r="AM9" s="51"/>
      <c r="AN9" s="51"/>
      <c r="AO9" s="51"/>
      <c r="AP9" s="51">
        <v>0</v>
      </c>
      <c r="AQ9" s="51">
        <v>0</v>
      </c>
      <c r="AR9" s="51"/>
      <c r="AS9" s="201">
        <v>0</v>
      </c>
      <c r="AT9" s="57"/>
      <c r="AU9" s="51">
        <v>0</v>
      </c>
      <c r="AV9" s="51"/>
      <c r="AW9" s="51"/>
      <c r="AX9" s="51"/>
      <c r="AY9" s="51"/>
      <c r="AZ9" s="51"/>
      <c r="BA9" s="51"/>
      <c r="BB9" s="51"/>
      <c r="BC9" s="51"/>
      <c r="BD9" s="51">
        <v>0</v>
      </c>
      <c r="BE9" s="51"/>
      <c r="BF9" s="201">
        <v>0</v>
      </c>
    </row>
    <row r="10" spans="1:58" ht="14.25" x14ac:dyDescent="0.45">
      <c r="A10" t="s">
        <v>250</v>
      </c>
      <c r="B10" t="s">
        <v>251</v>
      </c>
      <c r="C10" t="s">
        <v>252</v>
      </c>
      <c r="D10" t="s">
        <v>193</v>
      </c>
      <c r="E10" t="s">
        <v>253</v>
      </c>
      <c r="F10" s="54"/>
      <c r="G10" s="8">
        <v>204922</v>
      </c>
      <c r="H10" s="8"/>
      <c r="I10" s="124"/>
      <c r="J10" s="52">
        <v>80411</v>
      </c>
      <c r="K10" s="52"/>
      <c r="L10" s="52"/>
      <c r="M10" s="52"/>
      <c r="N10" s="52"/>
      <c r="O10" s="52"/>
      <c r="P10" s="52"/>
      <c r="Q10" s="52"/>
      <c r="R10" s="52">
        <v>0</v>
      </c>
      <c r="S10" s="52">
        <v>80411</v>
      </c>
      <c r="T10" s="52">
        <v>80411</v>
      </c>
      <c r="U10" s="121"/>
      <c r="V10" s="58">
        <v>4</v>
      </c>
      <c r="W10" s="58"/>
      <c r="X10" s="58"/>
      <c r="Y10" s="58"/>
      <c r="Z10" s="58"/>
      <c r="AA10" s="58"/>
      <c r="AB10" s="58"/>
      <c r="AC10" s="58"/>
      <c r="AD10" s="58"/>
      <c r="AE10" s="58">
        <v>4</v>
      </c>
      <c r="AF10" s="58">
        <v>5</v>
      </c>
      <c r="AG10" s="167"/>
      <c r="AH10" s="52">
        <v>38291</v>
      </c>
      <c r="AI10" s="52"/>
      <c r="AJ10" s="52"/>
      <c r="AK10" s="52"/>
      <c r="AL10" s="52"/>
      <c r="AM10" s="52"/>
      <c r="AN10" s="52"/>
      <c r="AO10" s="52"/>
      <c r="AP10" s="52">
        <v>0</v>
      </c>
      <c r="AQ10" s="52">
        <v>38291</v>
      </c>
      <c r="AR10" s="52"/>
      <c r="AS10" s="259">
        <v>38291</v>
      </c>
      <c r="AT10" s="167"/>
      <c r="AU10" s="52">
        <v>38291</v>
      </c>
      <c r="AV10" s="52"/>
      <c r="AW10" s="52"/>
      <c r="AX10" s="52"/>
      <c r="AY10" s="52"/>
      <c r="AZ10" s="52"/>
      <c r="BA10" s="52"/>
      <c r="BB10" s="52"/>
      <c r="BC10" s="52"/>
      <c r="BD10" s="52">
        <v>38291</v>
      </c>
      <c r="BE10" s="52"/>
      <c r="BF10" s="259">
        <v>38291</v>
      </c>
    </row>
    <row r="11" spans="1:58" ht="14.25" x14ac:dyDescent="0.45">
      <c r="A11" t="s">
        <v>250</v>
      </c>
      <c r="B11" t="s">
        <v>251</v>
      </c>
      <c r="C11" t="s">
        <v>254</v>
      </c>
      <c r="D11" t="s">
        <v>196</v>
      </c>
      <c r="E11" t="s">
        <v>255</v>
      </c>
      <c r="F11" s="54"/>
      <c r="G11" s="8">
        <v>61336</v>
      </c>
      <c r="H11" s="8"/>
      <c r="I11" s="126"/>
      <c r="J11" s="8">
        <v>22556</v>
      </c>
      <c r="K11" s="8"/>
      <c r="L11" s="8"/>
      <c r="M11" s="8"/>
      <c r="N11" s="8"/>
      <c r="O11" s="8"/>
      <c r="P11" s="8"/>
      <c r="Q11" s="8"/>
      <c r="R11" s="8">
        <v>0</v>
      </c>
      <c r="S11" s="52">
        <v>22556</v>
      </c>
      <c r="T11" s="8">
        <v>22556</v>
      </c>
      <c r="U11" s="121"/>
      <c r="V11" s="58">
        <v>4</v>
      </c>
      <c r="W11" s="58"/>
      <c r="X11" s="58"/>
      <c r="Y11" s="58"/>
      <c r="Z11" s="58"/>
      <c r="AA11" s="58"/>
      <c r="AB11" s="58"/>
      <c r="AC11" s="58"/>
      <c r="AD11" s="58"/>
      <c r="AE11" s="58">
        <v>4</v>
      </c>
      <c r="AF11" s="58">
        <v>4</v>
      </c>
      <c r="AG11" s="54"/>
      <c r="AH11" s="8">
        <v>22556</v>
      </c>
      <c r="AI11" s="8"/>
      <c r="AJ11" s="8"/>
      <c r="AK11" s="8"/>
      <c r="AL11" s="8"/>
      <c r="AM11" s="8"/>
      <c r="AN11" s="8"/>
      <c r="AO11" s="8"/>
      <c r="AP11" s="8">
        <v>0</v>
      </c>
      <c r="AQ11" s="8">
        <v>22556</v>
      </c>
      <c r="AR11" s="8"/>
      <c r="AS11" s="202">
        <v>22556</v>
      </c>
      <c r="AT11" s="54"/>
      <c r="AU11" s="8">
        <v>22556</v>
      </c>
      <c r="AV11" s="8"/>
      <c r="AW11" s="8"/>
      <c r="AX11" s="8"/>
      <c r="AY11" s="8"/>
      <c r="AZ11" s="8"/>
      <c r="BA11" s="8"/>
      <c r="BB11" s="8"/>
      <c r="BC11" s="8"/>
      <c r="BD11" s="8">
        <v>22556</v>
      </c>
      <c r="BE11" s="8"/>
      <c r="BF11" s="202">
        <v>22556</v>
      </c>
    </row>
    <row r="12" spans="1:58" ht="14.25" x14ac:dyDescent="0.45">
      <c r="A12" t="s">
        <v>250</v>
      </c>
      <c r="B12" t="s">
        <v>251</v>
      </c>
      <c r="C12" t="s">
        <v>256</v>
      </c>
      <c r="D12" t="s">
        <v>199</v>
      </c>
      <c r="E12" t="s">
        <v>257</v>
      </c>
      <c r="F12" s="57"/>
      <c r="G12" s="51">
        <v>0</v>
      </c>
      <c r="H12" s="51"/>
      <c r="I12" s="125"/>
      <c r="J12" s="51">
        <v>0</v>
      </c>
      <c r="K12" s="51"/>
      <c r="L12" s="51"/>
      <c r="M12" s="51"/>
      <c r="N12" s="51"/>
      <c r="O12" s="51"/>
      <c r="P12" s="51"/>
      <c r="Q12" s="51"/>
      <c r="R12" s="51">
        <v>0</v>
      </c>
      <c r="S12" s="51">
        <v>0</v>
      </c>
      <c r="T12" s="51">
        <v>0</v>
      </c>
      <c r="U12" s="122"/>
      <c r="V12" s="60">
        <v>0</v>
      </c>
      <c r="W12" s="60"/>
      <c r="X12" s="60"/>
      <c r="Y12" s="60"/>
      <c r="Z12" s="60"/>
      <c r="AA12" s="60"/>
      <c r="AB12" s="60"/>
      <c r="AC12" s="60"/>
      <c r="AD12" s="60"/>
      <c r="AE12" s="60"/>
      <c r="AF12" s="60"/>
      <c r="AG12" s="57"/>
      <c r="AH12" s="51">
        <v>0</v>
      </c>
      <c r="AI12" s="51"/>
      <c r="AJ12" s="51"/>
      <c r="AK12" s="51"/>
      <c r="AL12" s="51"/>
      <c r="AM12" s="51"/>
      <c r="AN12" s="51"/>
      <c r="AO12" s="51"/>
      <c r="AP12" s="51">
        <v>0</v>
      </c>
      <c r="AQ12" s="51">
        <v>0</v>
      </c>
      <c r="AR12" s="51"/>
      <c r="AS12" s="201">
        <v>0</v>
      </c>
      <c r="AT12" s="57"/>
      <c r="AU12" s="51">
        <v>0</v>
      </c>
      <c r="AV12" s="51"/>
      <c r="AW12" s="51"/>
      <c r="AX12" s="51"/>
      <c r="AY12" s="51"/>
      <c r="AZ12" s="51"/>
      <c r="BA12" s="51"/>
      <c r="BB12" s="51"/>
      <c r="BC12" s="51"/>
      <c r="BD12" s="51">
        <v>0</v>
      </c>
      <c r="BE12" s="51"/>
      <c r="BF12" s="201">
        <v>0</v>
      </c>
    </row>
    <row r="13" spans="1:58" ht="14.25" x14ac:dyDescent="0.45">
      <c r="A13" t="s">
        <v>258</v>
      </c>
      <c r="B13" t="s">
        <v>259</v>
      </c>
      <c r="C13" t="s">
        <v>252</v>
      </c>
      <c r="D13" t="s">
        <v>193</v>
      </c>
      <c r="E13" t="s">
        <v>260</v>
      </c>
      <c r="F13" s="54"/>
      <c r="G13" s="8">
        <v>152005</v>
      </c>
      <c r="H13" s="8"/>
      <c r="I13" s="124"/>
      <c r="J13" s="52">
        <v>66756</v>
      </c>
      <c r="K13" s="52"/>
      <c r="L13" s="52"/>
      <c r="M13" s="52"/>
      <c r="N13" s="52"/>
      <c r="O13" s="52"/>
      <c r="P13" s="52"/>
      <c r="Q13" s="52"/>
      <c r="R13" s="52">
        <v>0</v>
      </c>
      <c r="S13" s="52">
        <v>66756</v>
      </c>
      <c r="T13" s="52">
        <v>66756</v>
      </c>
      <c r="U13" s="121"/>
      <c r="V13" s="58">
        <v>4</v>
      </c>
      <c r="W13" s="58"/>
      <c r="X13" s="58"/>
      <c r="Y13" s="58"/>
      <c r="Z13" s="58"/>
      <c r="AA13" s="58"/>
      <c r="AB13" s="58"/>
      <c r="AC13" s="58"/>
      <c r="AD13" s="58"/>
      <c r="AE13" s="58">
        <v>4</v>
      </c>
      <c r="AF13" s="58">
        <v>5</v>
      </c>
      <c r="AG13" s="167"/>
      <c r="AH13" s="52">
        <v>30344</v>
      </c>
      <c r="AI13" s="52"/>
      <c r="AJ13" s="52"/>
      <c r="AK13" s="52"/>
      <c r="AL13" s="52"/>
      <c r="AM13" s="52"/>
      <c r="AN13" s="52"/>
      <c r="AO13" s="52"/>
      <c r="AP13" s="52">
        <v>0</v>
      </c>
      <c r="AQ13" s="52">
        <v>30344</v>
      </c>
      <c r="AR13" s="52"/>
      <c r="AS13" s="259">
        <v>30344</v>
      </c>
      <c r="AT13" s="167"/>
      <c r="AU13" s="52">
        <v>30344</v>
      </c>
      <c r="AV13" s="52"/>
      <c r="AW13" s="52"/>
      <c r="AX13" s="52"/>
      <c r="AY13" s="52"/>
      <c r="AZ13" s="52"/>
      <c r="BA13" s="52"/>
      <c r="BB13" s="52"/>
      <c r="BC13" s="52"/>
      <c r="BD13" s="52">
        <v>30344</v>
      </c>
      <c r="BE13" s="52"/>
      <c r="BF13" s="259">
        <v>30344</v>
      </c>
    </row>
    <row r="14" spans="1:58" ht="14.25" x14ac:dyDescent="0.45">
      <c r="A14" t="s">
        <v>258</v>
      </c>
      <c r="B14" t="s">
        <v>259</v>
      </c>
      <c r="C14" t="s">
        <v>254</v>
      </c>
      <c r="D14" t="s">
        <v>196</v>
      </c>
      <c r="E14" t="s">
        <v>261</v>
      </c>
      <c r="F14" s="54"/>
      <c r="G14" s="8">
        <v>35228</v>
      </c>
      <c r="H14" s="8"/>
      <c r="I14" s="126"/>
      <c r="J14" s="8">
        <v>10783</v>
      </c>
      <c r="K14" s="8"/>
      <c r="L14" s="8"/>
      <c r="M14" s="8"/>
      <c r="N14" s="8"/>
      <c r="O14" s="8"/>
      <c r="P14" s="8"/>
      <c r="Q14" s="8"/>
      <c r="R14" s="8">
        <v>0</v>
      </c>
      <c r="S14" s="8">
        <v>10783</v>
      </c>
      <c r="T14" s="8">
        <v>10783</v>
      </c>
      <c r="U14" s="121"/>
      <c r="V14" s="58">
        <v>4</v>
      </c>
      <c r="W14" s="58"/>
      <c r="X14" s="58"/>
      <c r="Y14" s="58"/>
      <c r="Z14" s="58"/>
      <c r="AA14" s="58"/>
      <c r="AB14" s="58"/>
      <c r="AC14" s="58"/>
      <c r="AD14" s="58"/>
      <c r="AE14" s="58">
        <v>4</v>
      </c>
      <c r="AF14" s="58">
        <v>5</v>
      </c>
      <c r="AG14" s="54"/>
      <c r="AH14" s="8">
        <v>10783</v>
      </c>
      <c r="AI14" s="8"/>
      <c r="AJ14" s="8"/>
      <c r="AK14" s="8"/>
      <c r="AL14" s="8"/>
      <c r="AM14" s="8"/>
      <c r="AN14" s="8"/>
      <c r="AO14" s="8"/>
      <c r="AP14" s="8">
        <v>0</v>
      </c>
      <c r="AQ14" s="8">
        <v>10783</v>
      </c>
      <c r="AR14" s="8"/>
      <c r="AS14" s="202">
        <v>10783</v>
      </c>
      <c r="AT14" s="54"/>
      <c r="AU14" s="8">
        <v>10783</v>
      </c>
      <c r="AV14" s="8"/>
      <c r="AW14" s="8"/>
      <c r="AX14" s="8"/>
      <c r="AY14" s="8"/>
      <c r="AZ14" s="8"/>
      <c r="BA14" s="8"/>
      <c r="BB14" s="8"/>
      <c r="BC14" s="8"/>
      <c r="BD14" s="8">
        <v>10783</v>
      </c>
      <c r="BE14" s="8"/>
      <c r="BF14" s="202">
        <v>10783</v>
      </c>
    </row>
    <row r="15" spans="1:58" ht="14.25" x14ac:dyDescent="0.45">
      <c r="A15" t="s">
        <v>262</v>
      </c>
      <c r="B15" t="s">
        <v>263</v>
      </c>
      <c r="C15" t="s">
        <v>245</v>
      </c>
      <c r="D15" t="s">
        <v>199</v>
      </c>
      <c r="E15" t="s">
        <v>264</v>
      </c>
      <c r="F15" s="57"/>
      <c r="G15" s="51">
        <v>0</v>
      </c>
      <c r="H15" s="51"/>
      <c r="I15" s="125"/>
      <c r="J15" s="51">
        <v>0</v>
      </c>
      <c r="K15" s="51"/>
      <c r="L15" s="51"/>
      <c r="M15" s="51"/>
      <c r="N15" s="51"/>
      <c r="O15" s="51"/>
      <c r="P15" s="51"/>
      <c r="Q15" s="51"/>
      <c r="R15" s="51">
        <v>0</v>
      </c>
      <c r="S15" s="51">
        <v>0</v>
      </c>
      <c r="T15" s="51">
        <v>0</v>
      </c>
      <c r="U15" s="122"/>
      <c r="V15" s="60">
        <v>0</v>
      </c>
      <c r="W15" s="60"/>
      <c r="X15" s="60"/>
      <c r="Y15" s="60"/>
      <c r="Z15" s="60"/>
      <c r="AA15" s="60"/>
      <c r="AB15" s="60"/>
      <c r="AC15" s="60"/>
      <c r="AD15" s="60"/>
      <c r="AE15" s="60"/>
      <c r="AF15" s="60"/>
      <c r="AG15" s="57"/>
      <c r="AH15" s="51">
        <v>0</v>
      </c>
      <c r="AI15" s="51"/>
      <c r="AJ15" s="51"/>
      <c r="AK15" s="51"/>
      <c r="AL15" s="51"/>
      <c r="AM15" s="51"/>
      <c r="AN15" s="51"/>
      <c r="AO15" s="51"/>
      <c r="AP15" s="51">
        <v>0</v>
      </c>
      <c r="AQ15" s="51">
        <v>0</v>
      </c>
      <c r="AR15" s="51"/>
      <c r="AS15" s="201">
        <v>0</v>
      </c>
      <c r="AT15" s="57"/>
      <c r="AU15" s="51">
        <v>0</v>
      </c>
      <c r="AV15" s="51"/>
      <c r="AW15" s="51"/>
      <c r="AX15" s="51"/>
      <c r="AY15" s="51"/>
      <c r="AZ15" s="51"/>
      <c r="BA15" s="51"/>
      <c r="BB15" s="51"/>
      <c r="BC15" s="51"/>
      <c r="BD15" s="51">
        <v>0</v>
      </c>
      <c r="BE15" s="51"/>
      <c r="BF15" s="201">
        <v>0</v>
      </c>
    </row>
    <row r="16" spans="1:58" ht="14.25" x14ac:dyDescent="0.45">
      <c r="A16" t="s">
        <v>265</v>
      </c>
      <c r="B16" t="s">
        <v>266</v>
      </c>
      <c r="C16" t="s">
        <v>245</v>
      </c>
      <c r="D16" t="s">
        <v>199</v>
      </c>
      <c r="E16" t="s">
        <v>267</v>
      </c>
      <c r="F16" s="57"/>
      <c r="G16" s="51">
        <v>0</v>
      </c>
      <c r="H16" s="51"/>
      <c r="I16" s="125"/>
      <c r="J16" s="51">
        <v>0</v>
      </c>
      <c r="K16" s="51"/>
      <c r="L16" s="51"/>
      <c r="M16" s="51"/>
      <c r="N16" s="51"/>
      <c r="O16" s="51"/>
      <c r="P16" s="51"/>
      <c r="Q16" s="51"/>
      <c r="R16" s="51">
        <v>0</v>
      </c>
      <c r="S16" s="51">
        <v>0</v>
      </c>
      <c r="T16" s="51">
        <v>0</v>
      </c>
      <c r="U16" s="122"/>
      <c r="V16" s="60">
        <v>0</v>
      </c>
      <c r="W16" s="60"/>
      <c r="X16" s="60"/>
      <c r="Y16" s="60"/>
      <c r="Z16" s="60"/>
      <c r="AA16" s="60"/>
      <c r="AB16" s="60"/>
      <c r="AC16" s="60"/>
      <c r="AD16" s="60"/>
      <c r="AE16" s="60"/>
      <c r="AF16" s="60"/>
      <c r="AG16" s="57"/>
      <c r="AH16" s="51">
        <v>0</v>
      </c>
      <c r="AI16" s="51"/>
      <c r="AJ16" s="51"/>
      <c r="AK16" s="51"/>
      <c r="AL16" s="51"/>
      <c r="AM16" s="51"/>
      <c r="AN16" s="51"/>
      <c r="AO16" s="51"/>
      <c r="AP16" s="51">
        <v>0</v>
      </c>
      <c r="AQ16" s="51">
        <v>0</v>
      </c>
      <c r="AR16" s="51"/>
      <c r="AS16" s="201">
        <v>0</v>
      </c>
      <c r="AT16" s="57"/>
      <c r="AU16" s="51">
        <v>0</v>
      </c>
      <c r="AV16" s="51"/>
      <c r="AW16" s="51"/>
      <c r="AX16" s="51"/>
      <c r="AY16" s="51"/>
      <c r="AZ16" s="51"/>
      <c r="BA16" s="51"/>
      <c r="BB16" s="51"/>
      <c r="BC16" s="51"/>
      <c r="BD16" s="51">
        <v>0</v>
      </c>
      <c r="BE16" s="51"/>
      <c r="BF16" s="201">
        <v>0</v>
      </c>
    </row>
    <row r="17" spans="1:58" ht="14.25" x14ac:dyDescent="0.45">
      <c r="A17" t="s">
        <v>268</v>
      </c>
      <c r="B17" t="s">
        <v>269</v>
      </c>
      <c r="C17" t="s">
        <v>252</v>
      </c>
      <c r="D17" t="s">
        <v>193</v>
      </c>
      <c r="E17" t="s">
        <v>270</v>
      </c>
      <c r="F17" s="54"/>
      <c r="G17" s="8">
        <v>50450</v>
      </c>
      <c r="H17" s="8"/>
      <c r="I17" s="124"/>
      <c r="J17" s="52">
        <v>21919</v>
      </c>
      <c r="K17" s="52"/>
      <c r="L17" s="52"/>
      <c r="M17" s="52"/>
      <c r="N17" s="52"/>
      <c r="O17" s="52"/>
      <c r="P17" s="52"/>
      <c r="Q17" s="52"/>
      <c r="R17" s="52">
        <v>0</v>
      </c>
      <c r="S17" s="52">
        <v>21919</v>
      </c>
      <c r="T17" s="52">
        <v>21919</v>
      </c>
      <c r="U17" s="121"/>
      <c r="V17" s="58">
        <v>4</v>
      </c>
      <c r="W17" s="58"/>
      <c r="X17" s="58"/>
      <c r="Y17" s="58"/>
      <c r="Z17" s="58"/>
      <c r="AA17" s="58"/>
      <c r="AB17" s="58"/>
      <c r="AC17" s="58"/>
      <c r="AD17" s="58"/>
      <c r="AE17" s="58">
        <v>4</v>
      </c>
      <c r="AF17" s="58">
        <v>5</v>
      </c>
      <c r="AG17" s="167"/>
      <c r="AH17" s="52">
        <v>10438</v>
      </c>
      <c r="AI17" s="52"/>
      <c r="AJ17" s="52"/>
      <c r="AK17" s="52"/>
      <c r="AL17" s="52"/>
      <c r="AM17" s="52"/>
      <c r="AN17" s="52"/>
      <c r="AO17" s="52"/>
      <c r="AP17" s="52">
        <v>0</v>
      </c>
      <c r="AQ17" s="52">
        <v>10438</v>
      </c>
      <c r="AR17" s="52"/>
      <c r="AS17" s="259">
        <v>10438</v>
      </c>
      <c r="AT17" s="167"/>
      <c r="AU17" s="52">
        <v>10438</v>
      </c>
      <c r="AV17" s="52"/>
      <c r="AW17" s="52"/>
      <c r="AX17" s="52"/>
      <c r="AY17" s="52"/>
      <c r="AZ17" s="52"/>
      <c r="BA17" s="52"/>
      <c r="BB17" s="52"/>
      <c r="BC17" s="52"/>
      <c r="BD17" s="52">
        <v>10438</v>
      </c>
      <c r="BE17" s="52"/>
      <c r="BF17" s="259">
        <v>10438</v>
      </c>
    </row>
    <row r="18" spans="1:58" ht="14.25" x14ac:dyDescent="0.45">
      <c r="A18" t="s">
        <v>268</v>
      </c>
      <c r="B18" t="s">
        <v>269</v>
      </c>
      <c r="C18" t="s">
        <v>271</v>
      </c>
      <c r="D18" t="s">
        <v>196</v>
      </c>
      <c r="E18" t="s">
        <v>272</v>
      </c>
      <c r="F18" s="54"/>
      <c r="G18" s="8">
        <v>20057</v>
      </c>
      <c r="H18" s="8"/>
      <c r="I18" s="126"/>
      <c r="J18" s="8">
        <v>6238</v>
      </c>
      <c r="K18" s="8"/>
      <c r="L18" s="8"/>
      <c r="M18" s="8"/>
      <c r="N18" s="8"/>
      <c r="O18" s="8"/>
      <c r="P18" s="8"/>
      <c r="Q18" s="8"/>
      <c r="R18" s="8">
        <v>0</v>
      </c>
      <c r="S18" s="8">
        <v>6238</v>
      </c>
      <c r="T18" s="8">
        <v>6238</v>
      </c>
      <c r="U18" s="121"/>
      <c r="V18" s="58">
        <v>4</v>
      </c>
      <c r="W18" s="58"/>
      <c r="X18" s="58"/>
      <c r="Y18" s="58"/>
      <c r="Z18" s="58"/>
      <c r="AA18" s="58"/>
      <c r="AB18" s="58"/>
      <c r="AC18" s="58"/>
      <c r="AD18" s="58"/>
      <c r="AE18" s="58">
        <v>4</v>
      </c>
      <c r="AF18" s="58">
        <v>4</v>
      </c>
      <c r="AG18" s="54"/>
      <c r="AH18" s="8">
        <v>6238</v>
      </c>
      <c r="AI18" s="8"/>
      <c r="AJ18" s="8"/>
      <c r="AK18" s="8"/>
      <c r="AL18" s="8"/>
      <c r="AM18" s="8"/>
      <c r="AN18" s="8"/>
      <c r="AO18" s="8"/>
      <c r="AP18" s="8">
        <v>0</v>
      </c>
      <c r="AQ18" s="8">
        <v>6238</v>
      </c>
      <c r="AR18" s="8"/>
      <c r="AS18" s="202">
        <v>6238</v>
      </c>
      <c r="AT18" s="54"/>
      <c r="AU18" s="8">
        <v>6238</v>
      </c>
      <c r="AV18" s="8"/>
      <c r="AW18" s="8"/>
      <c r="AX18" s="8"/>
      <c r="AY18" s="8"/>
      <c r="AZ18" s="8"/>
      <c r="BA18" s="8"/>
      <c r="BB18" s="8"/>
      <c r="BC18" s="8"/>
      <c r="BD18" s="8">
        <v>6238</v>
      </c>
      <c r="BE18" s="8"/>
      <c r="BF18" s="202">
        <v>6238</v>
      </c>
    </row>
    <row r="19" spans="1:58" ht="14.25" x14ac:dyDescent="0.45">
      <c r="A19" t="s">
        <v>268</v>
      </c>
      <c r="B19" t="s">
        <v>269</v>
      </c>
      <c r="C19" t="s">
        <v>256</v>
      </c>
      <c r="D19" t="s">
        <v>199</v>
      </c>
      <c r="E19" t="s">
        <v>273</v>
      </c>
      <c r="F19" s="57"/>
      <c r="G19" s="51">
        <v>0</v>
      </c>
      <c r="H19" s="51"/>
      <c r="I19" s="125"/>
      <c r="J19" s="51">
        <v>0</v>
      </c>
      <c r="K19" s="51"/>
      <c r="L19" s="51"/>
      <c r="M19" s="51"/>
      <c r="N19" s="51"/>
      <c r="O19" s="51"/>
      <c r="P19" s="51"/>
      <c r="Q19" s="51"/>
      <c r="R19" s="51">
        <v>0</v>
      </c>
      <c r="S19" s="51">
        <v>0</v>
      </c>
      <c r="T19" s="51">
        <v>0</v>
      </c>
      <c r="U19" s="122"/>
      <c r="V19" s="60">
        <v>0</v>
      </c>
      <c r="W19" s="60"/>
      <c r="X19" s="60"/>
      <c r="Y19" s="60"/>
      <c r="Z19" s="60"/>
      <c r="AA19" s="60"/>
      <c r="AB19" s="60"/>
      <c r="AC19" s="60"/>
      <c r="AD19" s="60"/>
      <c r="AE19" s="60"/>
      <c r="AF19" s="60"/>
      <c r="AG19" s="57"/>
      <c r="AH19" s="51">
        <v>0</v>
      </c>
      <c r="AI19" s="51"/>
      <c r="AJ19" s="51"/>
      <c r="AK19" s="51"/>
      <c r="AL19" s="51"/>
      <c r="AM19" s="51"/>
      <c r="AN19" s="51"/>
      <c r="AO19" s="51"/>
      <c r="AP19" s="51">
        <v>0</v>
      </c>
      <c r="AQ19" s="51">
        <v>0</v>
      </c>
      <c r="AR19" s="51"/>
      <c r="AS19" s="201">
        <v>0</v>
      </c>
      <c r="AT19" s="57"/>
      <c r="AU19" s="51">
        <v>0</v>
      </c>
      <c r="AV19" s="51"/>
      <c r="AW19" s="51"/>
      <c r="AX19" s="51"/>
      <c r="AY19" s="51"/>
      <c r="AZ19" s="51"/>
      <c r="BA19" s="51"/>
      <c r="BB19" s="51"/>
      <c r="BC19" s="51"/>
      <c r="BD19" s="51">
        <v>0</v>
      </c>
      <c r="BE19" s="51"/>
      <c r="BF19" s="201">
        <v>0</v>
      </c>
    </row>
    <row r="20" spans="1:58" ht="14.25" x14ac:dyDescent="0.45">
      <c r="A20" t="s">
        <v>268</v>
      </c>
      <c r="B20" t="s">
        <v>269</v>
      </c>
      <c r="C20" t="s">
        <v>274</v>
      </c>
      <c r="D20" t="s">
        <v>196</v>
      </c>
      <c r="E20" t="s">
        <v>275</v>
      </c>
      <c r="F20" s="54"/>
      <c r="G20" s="8">
        <v>246953</v>
      </c>
      <c r="H20" s="8"/>
      <c r="I20" s="126"/>
      <c r="J20" s="8">
        <v>77417</v>
      </c>
      <c r="K20" s="8"/>
      <c r="L20" s="8"/>
      <c r="M20" s="8"/>
      <c r="N20" s="8"/>
      <c r="O20" s="8"/>
      <c r="P20" s="8"/>
      <c r="Q20" s="8"/>
      <c r="R20" s="8">
        <v>0</v>
      </c>
      <c r="S20" s="8">
        <v>77417</v>
      </c>
      <c r="T20" s="8">
        <v>77417</v>
      </c>
      <c r="U20" s="121"/>
      <c r="V20" s="58">
        <v>4</v>
      </c>
      <c r="W20" s="58"/>
      <c r="X20" s="58"/>
      <c r="Y20" s="58"/>
      <c r="Z20" s="58"/>
      <c r="AA20" s="58"/>
      <c r="AB20" s="58"/>
      <c r="AC20" s="58"/>
      <c r="AD20" s="58"/>
      <c r="AE20" s="58">
        <v>4</v>
      </c>
      <c r="AF20" s="58">
        <v>4</v>
      </c>
      <c r="AG20" s="54"/>
      <c r="AH20" s="8">
        <v>15483</v>
      </c>
      <c r="AI20" s="8"/>
      <c r="AJ20" s="8"/>
      <c r="AK20" s="8"/>
      <c r="AL20" s="8"/>
      <c r="AM20" s="8"/>
      <c r="AN20" s="8"/>
      <c r="AO20" s="8"/>
      <c r="AP20" s="8">
        <v>0</v>
      </c>
      <c r="AQ20" s="8">
        <v>15483</v>
      </c>
      <c r="AR20" s="8"/>
      <c r="AS20" s="202">
        <v>15483</v>
      </c>
      <c r="AT20" s="54"/>
      <c r="AU20" s="8">
        <v>15483</v>
      </c>
      <c r="AV20" s="8"/>
      <c r="AW20" s="8"/>
      <c r="AX20" s="8"/>
      <c r="AY20" s="8"/>
      <c r="AZ20" s="8"/>
      <c r="BA20" s="8"/>
      <c r="BB20" s="8"/>
      <c r="BC20" s="8"/>
      <c r="BD20" s="8">
        <v>15483</v>
      </c>
      <c r="BE20" s="8"/>
      <c r="BF20" s="202">
        <v>15483</v>
      </c>
    </row>
    <row r="21" spans="1:58" ht="14.25" x14ac:dyDescent="0.45">
      <c r="A21" t="s">
        <v>276</v>
      </c>
      <c r="B21" t="s">
        <v>277</v>
      </c>
      <c r="C21" t="s">
        <v>245</v>
      </c>
      <c r="D21" t="s">
        <v>199</v>
      </c>
      <c r="E21" t="s">
        <v>278</v>
      </c>
      <c r="F21" s="57"/>
      <c r="G21" s="51">
        <v>0</v>
      </c>
      <c r="H21" s="51"/>
      <c r="I21" s="125"/>
      <c r="J21" s="51">
        <v>0</v>
      </c>
      <c r="K21" s="51"/>
      <c r="L21" s="51"/>
      <c r="M21" s="51"/>
      <c r="N21" s="51"/>
      <c r="O21" s="51"/>
      <c r="P21" s="51"/>
      <c r="Q21" s="51"/>
      <c r="R21" s="51">
        <v>0</v>
      </c>
      <c r="S21" s="51">
        <v>0</v>
      </c>
      <c r="T21" s="51">
        <v>0</v>
      </c>
      <c r="U21" s="122"/>
      <c r="V21" s="60">
        <v>0</v>
      </c>
      <c r="W21" s="60"/>
      <c r="X21" s="60"/>
      <c r="Y21" s="60"/>
      <c r="Z21" s="60"/>
      <c r="AA21" s="60"/>
      <c r="AB21" s="60"/>
      <c r="AC21" s="60"/>
      <c r="AD21" s="60"/>
      <c r="AE21" s="60"/>
      <c r="AF21" s="60"/>
      <c r="AG21" s="57"/>
      <c r="AH21" s="51">
        <v>0</v>
      </c>
      <c r="AI21" s="51"/>
      <c r="AJ21" s="51"/>
      <c r="AK21" s="51"/>
      <c r="AL21" s="51"/>
      <c r="AM21" s="51"/>
      <c r="AN21" s="51"/>
      <c r="AO21" s="51"/>
      <c r="AP21" s="51">
        <v>0</v>
      </c>
      <c r="AQ21" s="51">
        <v>0</v>
      </c>
      <c r="AR21" s="51"/>
      <c r="AS21" s="201">
        <v>0</v>
      </c>
      <c r="AT21" s="57"/>
      <c r="AU21" s="51">
        <v>0</v>
      </c>
      <c r="AV21" s="51"/>
      <c r="AW21" s="51"/>
      <c r="AX21" s="51"/>
      <c r="AY21" s="51"/>
      <c r="AZ21" s="51"/>
      <c r="BA21" s="51"/>
      <c r="BB21" s="51"/>
      <c r="BC21" s="51"/>
      <c r="BD21" s="51">
        <v>0</v>
      </c>
      <c r="BE21" s="51"/>
      <c r="BF21" s="201">
        <v>0</v>
      </c>
    </row>
    <row r="22" spans="1:58" ht="14.25" x14ac:dyDescent="0.45">
      <c r="A22" t="s">
        <v>279</v>
      </c>
      <c r="B22" t="s">
        <v>280</v>
      </c>
      <c r="C22" t="s">
        <v>245</v>
      </c>
      <c r="D22" t="s">
        <v>199</v>
      </c>
      <c r="E22" t="s">
        <v>281</v>
      </c>
      <c r="F22" s="57"/>
      <c r="G22" s="51">
        <v>0</v>
      </c>
      <c r="H22" s="51"/>
      <c r="I22" s="125"/>
      <c r="J22" s="51">
        <v>0</v>
      </c>
      <c r="K22" s="51"/>
      <c r="L22" s="51"/>
      <c r="M22" s="51"/>
      <c r="N22" s="51"/>
      <c r="O22" s="51"/>
      <c r="P22" s="51"/>
      <c r="Q22" s="51"/>
      <c r="R22" s="51">
        <v>0</v>
      </c>
      <c r="S22" s="51">
        <v>0</v>
      </c>
      <c r="T22" s="51">
        <v>0</v>
      </c>
      <c r="U22" s="122"/>
      <c r="V22" s="60">
        <v>0</v>
      </c>
      <c r="W22" s="60"/>
      <c r="X22" s="60"/>
      <c r="Y22" s="60"/>
      <c r="Z22" s="60"/>
      <c r="AA22" s="60"/>
      <c r="AB22" s="60"/>
      <c r="AC22" s="60"/>
      <c r="AD22" s="60"/>
      <c r="AE22" s="60"/>
      <c r="AF22" s="60"/>
      <c r="AG22" s="57"/>
      <c r="AH22" s="51">
        <v>0</v>
      </c>
      <c r="AI22" s="51"/>
      <c r="AJ22" s="51"/>
      <c r="AK22" s="51"/>
      <c r="AL22" s="51"/>
      <c r="AM22" s="51"/>
      <c r="AN22" s="51"/>
      <c r="AO22" s="51"/>
      <c r="AP22" s="51">
        <v>0</v>
      </c>
      <c r="AQ22" s="51">
        <v>0</v>
      </c>
      <c r="AR22" s="51"/>
      <c r="AS22" s="201">
        <v>0</v>
      </c>
      <c r="AT22" s="57"/>
      <c r="AU22" s="51">
        <v>0</v>
      </c>
      <c r="AV22" s="51"/>
      <c r="AW22" s="51"/>
      <c r="AX22" s="51"/>
      <c r="AY22" s="51"/>
      <c r="AZ22" s="51"/>
      <c r="BA22" s="51"/>
      <c r="BB22" s="51"/>
      <c r="BC22" s="51"/>
      <c r="BD22" s="51">
        <v>0</v>
      </c>
      <c r="BE22" s="51"/>
      <c r="BF22" s="201">
        <v>0</v>
      </c>
    </row>
    <row r="23" spans="1:58" ht="14.25" x14ac:dyDescent="0.45">
      <c r="A23" t="s">
        <v>282</v>
      </c>
      <c r="B23" t="s">
        <v>283</v>
      </c>
      <c r="C23" t="s">
        <v>245</v>
      </c>
      <c r="D23" t="s">
        <v>199</v>
      </c>
      <c r="E23" t="s">
        <v>284</v>
      </c>
      <c r="F23" s="57"/>
      <c r="G23" s="51">
        <v>0</v>
      </c>
      <c r="H23" s="51"/>
      <c r="I23" s="125"/>
      <c r="J23" s="51">
        <v>0</v>
      </c>
      <c r="K23" s="51"/>
      <c r="L23" s="51"/>
      <c r="M23" s="51"/>
      <c r="N23" s="51"/>
      <c r="O23" s="51"/>
      <c r="P23" s="51"/>
      <c r="Q23" s="51"/>
      <c r="R23" s="51">
        <v>0</v>
      </c>
      <c r="S23" s="51">
        <v>0</v>
      </c>
      <c r="T23" s="51">
        <v>0</v>
      </c>
      <c r="U23" s="122"/>
      <c r="V23" s="60">
        <v>0</v>
      </c>
      <c r="W23" s="60"/>
      <c r="X23" s="60"/>
      <c r="Y23" s="60"/>
      <c r="Z23" s="60"/>
      <c r="AA23" s="60"/>
      <c r="AB23" s="60"/>
      <c r="AC23" s="60"/>
      <c r="AD23" s="60"/>
      <c r="AE23" s="60"/>
      <c r="AF23" s="60"/>
      <c r="AG23" s="57"/>
      <c r="AH23" s="51">
        <v>0</v>
      </c>
      <c r="AI23" s="51"/>
      <c r="AJ23" s="51"/>
      <c r="AK23" s="51"/>
      <c r="AL23" s="51"/>
      <c r="AM23" s="51"/>
      <c r="AN23" s="51"/>
      <c r="AO23" s="51"/>
      <c r="AP23" s="51">
        <v>0</v>
      </c>
      <c r="AQ23" s="51">
        <v>0</v>
      </c>
      <c r="AR23" s="51"/>
      <c r="AS23" s="201">
        <v>0</v>
      </c>
      <c r="AT23" s="57"/>
      <c r="AU23" s="51">
        <v>0</v>
      </c>
      <c r="AV23" s="51"/>
      <c r="AW23" s="51"/>
      <c r="AX23" s="51"/>
      <c r="AY23" s="51"/>
      <c r="AZ23" s="51"/>
      <c r="BA23" s="51"/>
      <c r="BB23" s="51"/>
      <c r="BC23" s="51"/>
      <c r="BD23" s="51">
        <v>0</v>
      </c>
      <c r="BE23" s="51"/>
      <c r="BF23" s="201">
        <v>0</v>
      </c>
    </row>
    <row r="24" spans="1:58" ht="14.25" x14ac:dyDescent="0.45">
      <c r="A24" t="s">
        <v>285</v>
      </c>
      <c r="B24" t="s">
        <v>286</v>
      </c>
      <c r="C24" t="s">
        <v>245</v>
      </c>
      <c r="D24" t="s">
        <v>199</v>
      </c>
      <c r="E24" t="s">
        <v>287</v>
      </c>
      <c r="F24" s="57"/>
      <c r="G24" s="51">
        <v>0</v>
      </c>
      <c r="H24" s="51"/>
      <c r="I24" s="125"/>
      <c r="J24" s="51">
        <v>0</v>
      </c>
      <c r="K24" s="51"/>
      <c r="L24" s="51"/>
      <c r="M24" s="51"/>
      <c r="N24" s="51"/>
      <c r="O24" s="51"/>
      <c r="P24" s="51"/>
      <c r="Q24" s="51"/>
      <c r="R24" s="51">
        <v>0</v>
      </c>
      <c r="S24" s="51">
        <v>0</v>
      </c>
      <c r="T24" s="51">
        <v>0</v>
      </c>
      <c r="U24" s="122"/>
      <c r="V24" s="60">
        <v>0</v>
      </c>
      <c r="W24" s="60"/>
      <c r="X24" s="60"/>
      <c r="Y24" s="60"/>
      <c r="Z24" s="60"/>
      <c r="AA24" s="60"/>
      <c r="AB24" s="60"/>
      <c r="AC24" s="60"/>
      <c r="AD24" s="60"/>
      <c r="AE24" s="60"/>
      <c r="AF24" s="60"/>
      <c r="AG24" s="57"/>
      <c r="AH24" s="51">
        <v>0</v>
      </c>
      <c r="AI24" s="51"/>
      <c r="AJ24" s="51"/>
      <c r="AK24" s="51"/>
      <c r="AL24" s="51"/>
      <c r="AM24" s="51"/>
      <c r="AN24" s="51"/>
      <c r="AO24" s="51"/>
      <c r="AP24" s="51">
        <v>0</v>
      </c>
      <c r="AQ24" s="51">
        <v>0</v>
      </c>
      <c r="AR24" s="51"/>
      <c r="AS24" s="201">
        <v>0</v>
      </c>
      <c r="AT24" s="57"/>
      <c r="AU24" s="51">
        <v>0</v>
      </c>
      <c r="AV24" s="51"/>
      <c r="AW24" s="51"/>
      <c r="AX24" s="51"/>
      <c r="AY24" s="51"/>
      <c r="AZ24" s="51"/>
      <c r="BA24" s="51"/>
      <c r="BB24" s="51"/>
      <c r="BC24" s="51"/>
      <c r="BD24" s="51">
        <v>0</v>
      </c>
      <c r="BE24" s="51"/>
      <c r="BF24" s="201">
        <v>0</v>
      </c>
    </row>
    <row r="25" spans="1:58" ht="14.25" x14ac:dyDescent="0.45">
      <c r="A25" t="s">
        <v>288</v>
      </c>
      <c r="B25" t="s">
        <v>289</v>
      </c>
      <c r="C25" t="s">
        <v>252</v>
      </c>
      <c r="D25" t="s">
        <v>193</v>
      </c>
      <c r="E25" t="s">
        <v>290</v>
      </c>
      <c r="F25" s="54"/>
      <c r="G25" s="8">
        <v>20407</v>
      </c>
      <c r="H25" s="8"/>
      <c r="I25" s="124"/>
      <c r="J25" s="52">
        <v>7063</v>
      </c>
      <c r="K25" s="52"/>
      <c r="L25" s="52"/>
      <c r="M25" s="52"/>
      <c r="N25" s="52"/>
      <c r="O25" s="52"/>
      <c r="P25" s="52"/>
      <c r="Q25" s="52"/>
      <c r="R25" s="52">
        <v>0</v>
      </c>
      <c r="S25" s="52">
        <v>7063</v>
      </c>
      <c r="T25" s="52">
        <v>7063</v>
      </c>
      <c r="U25" s="121"/>
      <c r="V25" s="58">
        <v>4</v>
      </c>
      <c r="W25" s="58"/>
      <c r="X25" s="58"/>
      <c r="Y25" s="58"/>
      <c r="Z25" s="58"/>
      <c r="AA25" s="58"/>
      <c r="AB25" s="58"/>
      <c r="AC25" s="58"/>
      <c r="AD25" s="58"/>
      <c r="AE25" s="58">
        <v>4</v>
      </c>
      <c r="AF25" s="58">
        <v>4</v>
      </c>
      <c r="AG25" s="167"/>
      <c r="AH25" s="52">
        <v>2018</v>
      </c>
      <c r="AI25" s="52"/>
      <c r="AJ25" s="52"/>
      <c r="AK25" s="52"/>
      <c r="AL25" s="52"/>
      <c r="AM25" s="52"/>
      <c r="AN25" s="52"/>
      <c r="AO25" s="52"/>
      <c r="AP25" s="52">
        <v>0</v>
      </c>
      <c r="AQ25" s="52">
        <v>2018</v>
      </c>
      <c r="AR25" s="52"/>
      <c r="AS25" s="259">
        <v>2018</v>
      </c>
      <c r="AT25" s="167"/>
      <c r="AU25" s="52">
        <v>2018</v>
      </c>
      <c r="AV25" s="52"/>
      <c r="AW25" s="52"/>
      <c r="AX25" s="52"/>
      <c r="AY25" s="52"/>
      <c r="AZ25" s="52"/>
      <c r="BA25" s="52"/>
      <c r="BB25" s="52"/>
      <c r="BC25" s="52"/>
      <c r="BD25" s="52">
        <v>2018</v>
      </c>
      <c r="BE25" s="52"/>
      <c r="BF25" s="259">
        <v>2018</v>
      </c>
    </row>
    <row r="26" spans="1:58" ht="14.25" x14ac:dyDescent="0.45">
      <c r="A26" t="s">
        <v>288</v>
      </c>
      <c r="B26" t="s">
        <v>289</v>
      </c>
      <c r="C26" t="s">
        <v>291</v>
      </c>
      <c r="D26" t="s">
        <v>196</v>
      </c>
      <c r="E26" t="s">
        <v>292</v>
      </c>
      <c r="F26" s="54"/>
      <c r="G26" s="8">
        <v>24449</v>
      </c>
      <c r="H26" s="8"/>
      <c r="I26" s="126"/>
      <c r="J26" s="8">
        <v>4301</v>
      </c>
      <c r="K26" s="8"/>
      <c r="L26" s="8"/>
      <c r="M26" s="8"/>
      <c r="N26" s="8"/>
      <c r="O26" s="8"/>
      <c r="P26" s="8"/>
      <c r="Q26" s="8"/>
      <c r="R26" s="8">
        <v>0</v>
      </c>
      <c r="S26" s="8">
        <v>4301</v>
      </c>
      <c r="T26" s="8">
        <v>4301</v>
      </c>
      <c r="U26" s="121"/>
      <c r="V26" s="58">
        <v>3</v>
      </c>
      <c r="W26" s="58"/>
      <c r="X26" s="58"/>
      <c r="Y26" s="58"/>
      <c r="Z26" s="58"/>
      <c r="AA26" s="58"/>
      <c r="AB26" s="58"/>
      <c r="AC26" s="58"/>
      <c r="AD26" s="58"/>
      <c r="AE26" s="58">
        <v>3</v>
      </c>
      <c r="AF26" s="58">
        <v>3</v>
      </c>
      <c r="AG26" s="54"/>
      <c r="AH26" s="8">
        <v>4301</v>
      </c>
      <c r="AI26" s="8"/>
      <c r="AJ26" s="8"/>
      <c r="AK26" s="8"/>
      <c r="AL26" s="8"/>
      <c r="AM26" s="8"/>
      <c r="AN26" s="8"/>
      <c r="AO26" s="8"/>
      <c r="AP26" s="8">
        <v>0</v>
      </c>
      <c r="AQ26" s="8">
        <v>4301</v>
      </c>
      <c r="AR26" s="8"/>
      <c r="AS26" s="202">
        <v>4301</v>
      </c>
      <c r="AT26" s="54"/>
      <c r="AU26" s="8">
        <v>860</v>
      </c>
      <c r="AV26" s="8"/>
      <c r="AW26" s="8"/>
      <c r="AX26" s="8"/>
      <c r="AY26" s="8"/>
      <c r="AZ26" s="8"/>
      <c r="BA26" s="8"/>
      <c r="BB26" s="8"/>
      <c r="BC26" s="8"/>
      <c r="BD26" s="8">
        <v>860</v>
      </c>
      <c r="BE26" s="8"/>
      <c r="BF26" s="202">
        <v>860</v>
      </c>
    </row>
    <row r="27" spans="1:58" ht="14.25" x14ac:dyDescent="0.45">
      <c r="A27" t="s">
        <v>288</v>
      </c>
      <c r="B27" t="s">
        <v>289</v>
      </c>
      <c r="C27" t="s">
        <v>256</v>
      </c>
      <c r="D27" t="s">
        <v>199</v>
      </c>
      <c r="E27" t="s">
        <v>293</v>
      </c>
      <c r="F27" s="57"/>
      <c r="G27" s="51">
        <v>0</v>
      </c>
      <c r="H27" s="51"/>
      <c r="I27" s="125"/>
      <c r="J27" s="51">
        <v>0</v>
      </c>
      <c r="K27" s="51"/>
      <c r="L27" s="51"/>
      <c r="M27" s="51"/>
      <c r="N27" s="51"/>
      <c r="O27" s="51"/>
      <c r="P27" s="51"/>
      <c r="Q27" s="51"/>
      <c r="R27" s="51">
        <v>0</v>
      </c>
      <c r="S27" s="51">
        <v>0</v>
      </c>
      <c r="T27" s="51">
        <v>0</v>
      </c>
      <c r="U27" s="122"/>
      <c r="V27" s="60">
        <v>0</v>
      </c>
      <c r="W27" s="60"/>
      <c r="X27" s="60"/>
      <c r="Y27" s="60"/>
      <c r="Z27" s="60"/>
      <c r="AA27" s="60"/>
      <c r="AB27" s="60"/>
      <c r="AC27" s="60"/>
      <c r="AD27" s="60"/>
      <c r="AE27" s="60"/>
      <c r="AF27" s="60"/>
      <c r="AG27" s="57"/>
      <c r="AH27" s="51">
        <v>0</v>
      </c>
      <c r="AI27" s="51"/>
      <c r="AJ27" s="51"/>
      <c r="AK27" s="51"/>
      <c r="AL27" s="51"/>
      <c r="AM27" s="51"/>
      <c r="AN27" s="51"/>
      <c r="AO27" s="51"/>
      <c r="AP27" s="51">
        <v>0</v>
      </c>
      <c r="AQ27" s="51">
        <v>0</v>
      </c>
      <c r="AR27" s="51"/>
      <c r="AS27" s="201">
        <v>0</v>
      </c>
      <c r="AT27" s="57"/>
      <c r="AU27" s="51">
        <v>0</v>
      </c>
      <c r="AV27" s="51"/>
      <c r="AW27" s="51"/>
      <c r="AX27" s="51"/>
      <c r="AY27" s="51"/>
      <c r="AZ27" s="51"/>
      <c r="BA27" s="51"/>
      <c r="BB27" s="51"/>
      <c r="BC27" s="51"/>
      <c r="BD27" s="51">
        <v>0</v>
      </c>
      <c r="BE27" s="51"/>
      <c r="BF27" s="201">
        <v>0</v>
      </c>
    </row>
    <row r="28" spans="1:58" ht="14.25" x14ac:dyDescent="0.45">
      <c r="A28" t="s">
        <v>288</v>
      </c>
      <c r="B28" t="s">
        <v>289</v>
      </c>
      <c r="C28" t="s">
        <v>294</v>
      </c>
      <c r="D28" t="s">
        <v>196</v>
      </c>
      <c r="E28" t="s">
        <v>295</v>
      </c>
      <c r="F28" s="54"/>
      <c r="G28" s="8">
        <v>139010</v>
      </c>
      <c r="H28" s="8"/>
      <c r="I28" s="126"/>
      <c r="J28" s="8">
        <v>22056</v>
      </c>
      <c r="K28" s="8"/>
      <c r="L28" s="8"/>
      <c r="M28" s="8"/>
      <c r="N28" s="8"/>
      <c r="O28" s="8"/>
      <c r="P28" s="8"/>
      <c r="Q28" s="8"/>
      <c r="R28" s="8">
        <v>0</v>
      </c>
      <c r="S28" s="8">
        <v>22056</v>
      </c>
      <c r="T28" s="8">
        <v>22056</v>
      </c>
      <c r="U28" s="121"/>
      <c r="V28" s="58">
        <v>4</v>
      </c>
      <c r="W28" s="58"/>
      <c r="X28" s="58"/>
      <c r="Y28" s="58"/>
      <c r="Z28" s="58"/>
      <c r="AA28" s="58"/>
      <c r="AB28" s="58"/>
      <c r="AC28" s="58"/>
      <c r="AD28" s="58"/>
      <c r="AE28" s="58">
        <v>4</v>
      </c>
      <c r="AF28" s="58">
        <v>4</v>
      </c>
      <c r="AG28" s="54"/>
      <c r="AH28" s="8">
        <v>4411</v>
      </c>
      <c r="AI28" s="8"/>
      <c r="AJ28" s="8"/>
      <c r="AK28" s="8"/>
      <c r="AL28" s="8"/>
      <c r="AM28" s="8"/>
      <c r="AN28" s="8"/>
      <c r="AO28" s="8"/>
      <c r="AP28" s="8">
        <v>0</v>
      </c>
      <c r="AQ28" s="8">
        <v>4411</v>
      </c>
      <c r="AR28" s="8"/>
      <c r="AS28" s="202">
        <v>4411</v>
      </c>
      <c r="AT28" s="54"/>
      <c r="AU28" s="8">
        <v>4411</v>
      </c>
      <c r="AV28" s="8"/>
      <c r="AW28" s="8"/>
      <c r="AX28" s="8"/>
      <c r="AY28" s="8"/>
      <c r="AZ28" s="8"/>
      <c r="BA28" s="8"/>
      <c r="BB28" s="8"/>
      <c r="BC28" s="8"/>
      <c r="BD28" s="8">
        <v>4411</v>
      </c>
      <c r="BE28" s="8"/>
      <c r="BF28" s="202">
        <v>4411</v>
      </c>
    </row>
    <row r="29" spans="1:58" ht="14.25" x14ac:dyDescent="0.45">
      <c r="A29" t="s">
        <v>296</v>
      </c>
      <c r="B29" t="s">
        <v>297</v>
      </c>
      <c r="C29" t="s">
        <v>245</v>
      </c>
      <c r="D29" t="s">
        <v>199</v>
      </c>
      <c r="E29" t="s">
        <v>298</v>
      </c>
      <c r="F29" s="57"/>
      <c r="G29" s="51">
        <v>0</v>
      </c>
      <c r="H29" s="51"/>
      <c r="I29" s="125"/>
      <c r="J29" s="51">
        <v>0</v>
      </c>
      <c r="K29" s="51"/>
      <c r="L29" s="51"/>
      <c r="M29" s="51"/>
      <c r="N29" s="51"/>
      <c r="O29" s="51"/>
      <c r="P29" s="51"/>
      <c r="Q29" s="51"/>
      <c r="R29" s="51">
        <v>0</v>
      </c>
      <c r="S29" s="51">
        <v>0</v>
      </c>
      <c r="T29" s="51">
        <v>0</v>
      </c>
      <c r="U29" s="122"/>
      <c r="V29" s="60">
        <v>0</v>
      </c>
      <c r="W29" s="60"/>
      <c r="X29" s="60"/>
      <c r="Y29" s="60"/>
      <c r="Z29" s="60"/>
      <c r="AA29" s="60"/>
      <c r="AB29" s="60"/>
      <c r="AC29" s="60"/>
      <c r="AD29" s="60"/>
      <c r="AE29" s="60"/>
      <c r="AF29" s="60"/>
      <c r="AG29" s="57"/>
      <c r="AH29" s="51">
        <v>0</v>
      </c>
      <c r="AI29" s="51"/>
      <c r="AJ29" s="51"/>
      <c r="AK29" s="51"/>
      <c r="AL29" s="51"/>
      <c r="AM29" s="51"/>
      <c r="AN29" s="51"/>
      <c r="AO29" s="51"/>
      <c r="AP29" s="51">
        <v>0</v>
      </c>
      <c r="AQ29" s="51">
        <v>0</v>
      </c>
      <c r="AR29" s="51"/>
      <c r="AS29" s="201">
        <v>0</v>
      </c>
      <c r="AT29" s="57"/>
      <c r="AU29" s="51">
        <v>0</v>
      </c>
      <c r="AV29" s="51"/>
      <c r="AW29" s="51"/>
      <c r="AX29" s="51"/>
      <c r="AY29" s="51"/>
      <c r="AZ29" s="51"/>
      <c r="BA29" s="51"/>
      <c r="BB29" s="51"/>
      <c r="BC29" s="51"/>
      <c r="BD29" s="51">
        <v>0</v>
      </c>
      <c r="BE29" s="51"/>
      <c r="BF29" s="201">
        <v>0</v>
      </c>
    </row>
    <row r="30" spans="1:58" ht="14.25" x14ac:dyDescent="0.45">
      <c r="A30" t="s">
        <v>299</v>
      </c>
      <c r="B30" t="s">
        <v>300</v>
      </c>
      <c r="C30" t="s">
        <v>245</v>
      </c>
      <c r="D30" t="s">
        <v>199</v>
      </c>
      <c r="E30" t="s">
        <v>301</v>
      </c>
      <c r="F30" s="57"/>
      <c r="G30" s="51">
        <v>0</v>
      </c>
      <c r="H30" s="51"/>
      <c r="I30" s="125"/>
      <c r="J30" s="51">
        <v>0</v>
      </c>
      <c r="K30" s="51"/>
      <c r="L30" s="51"/>
      <c r="M30" s="51"/>
      <c r="N30" s="51"/>
      <c r="O30" s="51"/>
      <c r="P30" s="51"/>
      <c r="Q30" s="51"/>
      <c r="R30" s="51">
        <v>0</v>
      </c>
      <c r="S30" s="51">
        <v>0</v>
      </c>
      <c r="T30" s="51">
        <v>0</v>
      </c>
      <c r="U30" s="122"/>
      <c r="V30" s="60">
        <v>0</v>
      </c>
      <c r="W30" s="60"/>
      <c r="X30" s="60"/>
      <c r="Y30" s="60"/>
      <c r="Z30" s="60"/>
      <c r="AA30" s="60"/>
      <c r="AB30" s="60"/>
      <c r="AC30" s="60"/>
      <c r="AD30" s="60"/>
      <c r="AE30" s="60"/>
      <c r="AF30" s="60"/>
      <c r="AG30" s="57"/>
      <c r="AH30" s="51">
        <v>0</v>
      </c>
      <c r="AI30" s="51"/>
      <c r="AJ30" s="51"/>
      <c r="AK30" s="51"/>
      <c r="AL30" s="51"/>
      <c r="AM30" s="51"/>
      <c r="AN30" s="51"/>
      <c r="AO30" s="51"/>
      <c r="AP30" s="51">
        <v>0</v>
      </c>
      <c r="AQ30" s="51">
        <v>0</v>
      </c>
      <c r="AR30" s="51"/>
      <c r="AS30" s="201">
        <v>0</v>
      </c>
      <c r="AT30" s="57"/>
      <c r="AU30" s="51">
        <v>0</v>
      </c>
      <c r="AV30" s="51"/>
      <c r="AW30" s="51"/>
      <c r="AX30" s="51"/>
      <c r="AY30" s="51"/>
      <c r="AZ30" s="51"/>
      <c r="BA30" s="51"/>
      <c r="BB30" s="51"/>
      <c r="BC30" s="51"/>
      <c r="BD30" s="51">
        <v>0</v>
      </c>
      <c r="BE30" s="51"/>
      <c r="BF30" s="201">
        <v>0</v>
      </c>
    </row>
    <row r="31" spans="1:58" ht="14.25" x14ac:dyDescent="0.45">
      <c r="A31" t="s">
        <v>302</v>
      </c>
      <c r="B31" t="s">
        <v>303</v>
      </c>
      <c r="C31" t="s">
        <v>245</v>
      </c>
      <c r="D31" t="s">
        <v>199</v>
      </c>
      <c r="E31" t="s">
        <v>304</v>
      </c>
      <c r="F31" s="57"/>
      <c r="G31" s="51">
        <v>0</v>
      </c>
      <c r="H31" s="51"/>
      <c r="I31" s="125"/>
      <c r="J31" s="51">
        <v>0</v>
      </c>
      <c r="K31" s="51"/>
      <c r="L31" s="51"/>
      <c r="M31" s="51"/>
      <c r="N31" s="51"/>
      <c r="O31" s="51"/>
      <c r="P31" s="51"/>
      <c r="Q31" s="51"/>
      <c r="R31" s="51">
        <v>0</v>
      </c>
      <c r="S31" s="51">
        <v>0</v>
      </c>
      <c r="T31" s="51">
        <v>0</v>
      </c>
      <c r="U31" s="122"/>
      <c r="V31" s="60">
        <v>0</v>
      </c>
      <c r="W31" s="60"/>
      <c r="X31" s="60"/>
      <c r="Y31" s="60"/>
      <c r="Z31" s="60"/>
      <c r="AA31" s="60"/>
      <c r="AB31" s="60"/>
      <c r="AC31" s="60"/>
      <c r="AD31" s="60"/>
      <c r="AE31" s="60"/>
      <c r="AF31" s="60"/>
      <c r="AG31" s="57"/>
      <c r="AH31" s="51">
        <v>0</v>
      </c>
      <c r="AI31" s="51"/>
      <c r="AJ31" s="51"/>
      <c r="AK31" s="51"/>
      <c r="AL31" s="51"/>
      <c r="AM31" s="51"/>
      <c r="AN31" s="51"/>
      <c r="AO31" s="51"/>
      <c r="AP31" s="51">
        <v>0</v>
      </c>
      <c r="AQ31" s="51">
        <v>0</v>
      </c>
      <c r="AR31" s="51"/>
      <c r="AS31" s="201">
        <v>0</v>
      </c>
      <c r="AT31" s="57"/>
      <c r="AU31" s="51">
        <v>0</v>
      </c>
      <c r="AV31" s="51"/>
      <c r="AW31" s="51"/>
      <c r="AX31" s="51"/>
      <c r="AY31" s="51"/>
      <c r="AZ31" s="51"/>
      <c r="BA31" s="51"/>
      <c r="BB31" s="51"/>
      <c r="BC31" s="51"/>
      <c r="BD31" s="51">
        <v>0</v>
      </c>
      <c r="BE31" s="51"/>
      <c r="BF31" s="201">
        <v>0</v>
      </c>
    </row>
    <row r="32" spans="1:58" ht="14.25" x14ac:dyDescent="0.45">
      <c r="A32" t="s">
        <v>305</v>
      </c>
      <c r="B32" t="s">
        <v>306</v>
      </c>
      <c r="C32" t="s">
        <v>307</v>
      </c>
      <c r="D32" t="s">
        <v>193</v>
      </c>
      <c r="E32" t="s">
        <v>308</v>
      </c>
      <c r="F32" s="54"/>
      <c r="G32" s="8">
        <v>107044</v>
      </c>
      <c r="H32" s="8"/>
      <c r="I32" s="124"/>
      <c r="J32" s="52">
        <v>18833</v>
      </c>
      <c r="K32" s="52"/>
      <c r="L32" s="52"/>
      <c r="M32" s="52"/>
      <c r="N32" s="52"/>
      <c r="O32" s="52"/>
      <c r="P32" s="52"/>
      <c r="Q32" s="52"/>
      <c r="R32" s="52">
        <v>0</v>
      </c>
      <c r="S32" s="52">
        <v>18833</v>
      </c>
      <c r="T32" s="52">
        <v>18833</v>
      </c>
      <c r="U32" s="121"/>
      <c r="V32" s="58">
        <v>4</v>
      </c>
      <c r="W32" s="58"/>
      <c r="X32" s="58"/>
      <c r="Y32" s="58"/>
      <c r="Z32" s="58"/>
      <c r="AA32" s="58"/>
      <c r="AB32" s="58"/>
      <c r="AC32" s="58"/>
      <c r="AD32" s="58"/>
      <c r="AE32" s="58">
        <v>4</v>
      </c>
      <c r="AF32" s="58">
        <v>5</v>
      </c>
      <c r="AG32" s="167"/>
      <c r="AH32" s="52">
        <v>9417</v>
      </c>
      <c r="AI32" s="52"/>
      <c r="AJ32" s="52"/>
      <c r="AK32" s="52"/>
      <c r="AL32" s="52"/>
      <c r="AM32" s="52"/>
      <c r="AN32" s="52"/>
      <c r="AO32" s="52"/>
      <c r="AP32" s="52">
        <v>0</v>
      </c>
      <c r="AQ32" s="52">
        <v>9417</v>
      </c>
      <c r="AR32" s="52"/>
      <c r="AS32" s="259">
        <v>9417</v>
      </c>
      <c r="AT32" s="167"/>
      <c r="AU32" s="52">
        <v>9417</v>
      </c>
      <c r="AV32" s="52"/>
      <c r="AW32" s="52"/>
      <c r="AX32" s="52"/>
      <c r="AY32" s="52"/>
      <c r="AZ32" s="52"/>
      <c r="BA32" s="52"/>
      <c r="BB32" s="52"/>
      <c r="BC32" s="52"/>
      <c r="BD32" s="52">
        <v>9417</v>
      </c>
      <c r="BE32" s="52"/>
      <c r="BF32" s="259">
        <v>9417</v>
      </c>
    </row>
    <row r="33" spans="1:58" ht="14.25" x14ac:dyDescent="0.45">
      <c r="A33" t="s">
        <v>305</v>
      </c>
      <c r="B33" t="s">
        <v>306</v>
      </c>
      <c r="C33" t="s">
        <v>254</v>
      </c>
      <c r="D33" t="s">
        <v>196</v>
      </c>
      <c r="E33" t="s">
        <v>309</v>
      </c>
      <c r="F33" s="54"/>
      <c r="G33" s="8">
        <v>93192</v>
      </c>
      <c r="H33" s="8"/>
      <c r="I33" s="126"/>
      <c r="J33" s="8">
        <v>14428</v>
      </c>
      <c r="K33" s="8"/>
      <c r="L33" s="8"/>
      <c r="M33" s="8"/>
      <c r="N33" s="8"/>
      <c r="O33" s="8"/>
      <c r="P33" s="8"/>
      <c r="Q33" s="8"/>
      <c r="R33" s="8">
        <v>0</v>
      </c>
      <c r="S33" s="8">
        <v>14428</v>
      </c>
      <c r="T33" s="8">
        <v>14428</v>
      </c>
      <c r="U33" s="121"/>
      <c r="V33" s="58">
        <v>3</v>
      </c>
      <c r="W33" s="58"/>
      <c r="X33" s="58"/>
      <c r="Y33" s="58"/>
      <c r="Z33" s="58"/>
      <c r="AA33" s="58"/>
      <c r="AB33" s="58"/>
      <c r="AC33" s="58"/>
      <c r="AD33" s="58"/>
      <c r="AE33" s="58">
        <v>3</v>
      </c>
      <c r="AF33" s="58">
        <v>3</v>
      </c>
      <c r="AG33" s="54"/>
      <c r="AH33" s="8">
        <v>7214</v>
      </c>
      <c r="AI33" s="8"/>
      <c r="AJ33" s="8"/>
      <c r="AK33" s="8"/>
      <c r="AL33" s="8"/>
      <c r="AM33" s="8"/>
      <c r="AN33" s="8"/>
      <c r="AO33" s="8"/>
      <c r="AP33" s="8">
        <v>0</v>
      </c>
      <c r="AQ33" s="8">
        <v>7214</v>
      </c>
      <c r="AR33" s="8"/>
      <c r="AS33" s="202">
        <v>7214</v>
      </c>
      <c r="AT33" s="54"/>
      <c r="AU33" s="8">
        <v>1443</v>
      </c>
      <c r="AV33" s="8"/>
      <c r="AW33" s="8"/>
      <c r="AX33" s="8"/>
      <c r="AY33" s="8"/>
      <c r="AZ33" s="8"/>
      <c r="BA33" s="8"/>
      <c r="BB33" s="8"/>
      <c r="BC33" s="8"/>
      <c r="BD33" s="8">
        <v>1443</v>
      </c>
      <c r="BE33" s="8"/>
      <c r="BF33" s="202">
        <v>1443</v>
      </c>
    </row>
    <row r="34" spans="1:58" ht="14.25" x14ac:dyDescent="0.45">
      <c r="A34" t="s">
        <v>305</v>
      </c>
      <c r="B34" t="s">
        <v>306</v>
      </c>
      <c r="C34" t="s">
        <v>256</v>
      </c>
      <c r="D34" t="s">
        <v>199</v>
      </c>
      <c r="E34" t="s">
        <v>310</v>
      </c>
      <c r="F34" s="57"/>
      <c r="G34" s="51">
        <v>0</v>
      </c>
      <c r="H34" s="51"/>
      <c r="I34" s="125"/>
      <c r="J34" s="51">
        <v>0</v>
      </c>
      <c r="K34" s="51"/>
      <c r="L34" s="51"/>
      <c r="M34" s="51"/>
      <c r="N34" s="51"/>
      <c r="O34" s="51"/>
      <c r="P34" s="51"/>
      <c r="Q34" s="51"/>
      <c r="R34" s="51">
        <v>0</v>
      </c>
      <c r="S34" s="51">
        <v>0</v>
      </c>
      <c r="T34" s="51">
        <v>0</v>
      </c>
      <c r="U34" s="122"/>
      <c r="V34" s="60">
        <v>0</v>
      </c>
      <c r="W34" s="60"/>
      <c r="X34" s="60"/>
      <c r="Y34" s="60"/>
      <c r="Z34" s="60"/>
      <c r="AA34" s="60"/>
      <c r="AB34" s="60"/>
      <c r="AC34" s="60"/>
      <c r="AD34" s="60"/>
      <c r="AE34" s="60"/>
      <c r="AF34" s="60"/>
      <c r="AG34" s="57"/>
      <c r="AH34" s="51">
        <v>0</v>
      </c>
      <c r="AI34" s="51"/>
      <c r="AJ34" s="51"/>
      <c r="AK34" s="51"/>
      <c r="AL34" s="51"/>
      <c r="AM34" s="51"/>
      <c r="AN34" s="51"/>
      <c r="AO34" s="51"/>
      <c r="AP34" s="51">
        <v>0</v>
      </c>
      <c r="AQ34" s="51">
        <v>0</v>
      </c>
      <c r="AR34" s="51"/>
      <c r="AS34" s="201">
        <v>0</v>
      </c>
      <c r="AT34" s="57"/>
      <c r="AU34" s="51">
        <v>0</v>
      </c>
      <c r="AV34" s="51"/>
      <c r="AW34" s="51"/>
      <c r="AX34" s="51"/>
      <c r="AY34" s="51"/>
      <c r="AZ34" s="51"/>
      <c r="BA34" s="51"/>
      <c r="BB34" s="51"/>
      <c r="BC34" s="51"/>
      <c r="BD34" s="51">
        <v>0</v>
      </c>
      <c r="BE34" s="51"/>
      <c r="BF34" s="201">
        <v>0</v>
      </c>
    </row>
    <row r="35" spans="1:58" ht="14.25" x14ac:dyDescent="0.45">
      <c r="A35" t="s">
        <v>305</v>
      </c>
      <c r="B35" t="s">
        <v>306</v>
      </c>
      <c r="C35" t="s">
        <v>311</v>
      </c>
      <c r="D35" t="s">
        <v>193</v>
      </c>
      <c r="E35" t="s">
        <v>312</v>
      </c>
      <c r="F35" s="54"/>
      <c r="G35" s="8">
        <v>231388</v>
      </c>
      <c r="H35" s="8"/>
      <c r="I35" s="124"/>
      <c r="J35" s="52">
        <v>29927</v>
      </c>
      <c r="K35" s="52"/>
      <c r="L35" s="52"/>
      <c r="M35" s="52"/>
      <c r="N35" s="52"/>
      <c r="O35" s="52"/>
      <c r="P35" s="52"/>
      <c r="Q35" s="52"/>
      <c r="R35" s="52">
        <v>0</v>
      </c>
      <c r="S35" s="52">
        <v>29927</v>
      </c>
      <c r="T35" s="52">
        <v>29927</v>
      </c>
      <c r="U35" s="121"/>
      <c r="V35" s="58">
        <v>4</v>
      </c>
      <c r="W35" s="58"/>
      <c r="X35" s="58"/>
      <c r="Y35" s="58"/>
      <c r="Z35" s="58"/>
      <c r="AA35" s="58"/>
      <c r="AB35" s="58"/>
      <c r="AC35" s="58"/>
      <c r="AD35" s="58"/>
      <c r="AE35" s="58">
        <v>4</v>
      </c>
      <c r="AF35" s="58">
        <v>4</v>
      </c>
      <c r="AG35" s="167"/>
      <c r="AH35" s="52">
        <v>2992</v>
      </c>
      <c r="AI35" s="52"/>
      <c r="AJ35" s="52"/>
      <c r="AK35" s="52"/>
      <c r="AL35" s="52"/>
      <c r="AM35" s="52"/>
      <c r="AN35" s="52"/>
      <c r="AO35" s="52"/>
      <c r="AP35" s="52">
        <v>0</v>
      </c>
      <c r="AQ35" s="52">
        <v>2992</v>
      </c>
      <c r="AR35" s="52"/>
      <c r="AS35" s="259">
        <v>2992</v>
      </c>
      <c r="AT35" s="167"/>
      <c r="AU35" s="52">
        <v>2992</v>
      </c>
      <c r="AV35" s="52"/>
      <c r="AW35" s="52"/>
      <c r="AX35" s="52"/>
      <c r="AY35" s="52"/>
      <c r="AZ35" s="52"/>
      <c r="BA35" s="52"/>
      <c r="BB35" s="52"/>
      <c r="BC35" s="52"/>
      <c r="BD35" s="52">
        <v>2992</v>
      </c>
      <c r="BE35" s="52"/>
      <c r="BF35" s="259">
        <v>2992</v>
      </c>
    </row>
    <row r="36" spans="1:58" ht="14.25" x14ac:dyDescent="0.45">
      <c r="A36" t="s">
        <v>313</v>
      </c>
      <c r="B36" t="s">
        <v>314</v>
      </c>
      <c r="C36" t="s">
        <v>245</v>
      </c>
      <c r="D36" t="s">
        <v>199</v>
      </c>
      <c r="E36" t="s">
        <v>315</v>
      </c>
      <c r="F36" s="57"/>
      <c r="G36" s="51">
        <v>0</v>
      </c>
      <c r="H36" s="51"/>
      <c r="I36" s="125"/>
      <c r="J36" s="51">
        <v>0</v>
      </c>
      <c r="K36" s="51"/>
      <c r="L36" s="51"/>
      <c r="M36" s="51"/>
      <c r="N36" s="51"/>
      <c r="O36" s="51"/>
      <c r="P36" s="51"/>
      <c r="Q36" s="51"/>
      <c r="R36" s="51">
        <v>0</v>
      </c>
      <c r="S36" s="51">
        <v>0</v>
      </c>
      <c r="T36" s="51">
        <v>0</v>
      </c>
      <c r="U36" s="122"/>
      <c r="V36" s="60">
        <v>0</v>
      </c>
      <c r="W36" s="60"/>
      <c r="X36" s="60"/>
      <c r="Y36" s="60"/>
      <c r="Z36" s="60"/>
      <c r="AA36" s="60"/>
      <c r="AB36" s="60"/>
      <c r="AC36" s="60"/>
      <c r="AD36" s="60"/>
      <c r="AE36" s="60"/>
      <c r="AF36" s="60"/>
      <c r="AG36" s="57"/>
      <c r="AH36" s="51">
        <v>0</v>
      </c>
      <c r="AI36" s="51"/>
      <c r="AJ36" s="51"/>
      <c r="AK36" s="51"/>
      <c r="AL36" s="51"/>
      <c r="AM36" s="51"/>
      <c r="AN36" s="51"/>
      <c r="AO36" s="51"/>
      <c r="AP36" s="51">
        <v>0</v>
      </c>
      <c r="AQ36" s="51">
        <v>0</v>
      </c>
      <c r="AR36" s="51"/>
      <c r="AS36" s="201">
        <v>0</v>
      </c>
      <c r="AT36" s="57"/>
      <c r="AU36" s="51">
        <v>0</v>
      </c>
      <c r="AV36" s="51"/>
      <c r="AW36" s="51"/>
      <c r="AX36" s="51"/>
      <c r="AY36" s="51"/>
      <c r="AZ36" s="51"/>
      <c r="BA36" s="51"/>
      <c r="BB36" s="51"/>
      <c r="BC36" s="51"/>
      <c r="BD36" s="51">
        <v>0</v>
      </c>
      <c r="BE36" s="51"/>
      <c r="BF36" s="201">
        <v>0</v>
      </c>
    </row>
    <row r="37" spans="1:58" ht="14.25" x14ac:dyDescent="0.45">
      <c r="A37" t="s">
        <v>316</v>
      </c>
      <c r="B37" t="s">
        <v>317</v>
      </c>
      <c r="C37" t="s">
        <v>252</v>
      </c>
      <c r="D37" t="s">
        <v>193</v>
      </c>
      <c r="E37" t="s">
        <v>318</v>
      </c>
      <c r="F37" s="54"/>
      <c r="G37" s="8">
        <v>173398</v>
      </c>
      <c r="H37" s="8"/>
      <c r="I37" s="124"/>
      <c r="J37" s="52">
        <v>64082</v>
      </c>
      <c r="K37" s="52"/>
      <c r="L37" s="52"/>
      <c r="M37" s="52"/>
      <c r="N37" s="52"/>
      <c r="O37" s="52"/>
      <c r="P37" s="52"/>
      <c r="Q37" s="52"/>
      <c r="R37" s="52">
        <v>0</v>
      </c>
      <c r="S37" s="52">
        <v>64082</v>
      </c>
      <c r="T37" s="52">
        <v>64082</v>
      </c>
      <c r="U37" s="121"/>
      <c r="V37" s="58">
        <v>4</v>
      </c>
      <c r="W37" s="58"/>
      <c r="X37" s="58"/>
      <c r="Y37" s="58"/>
      <c r="Z37" s="58"/>
      <c r="AA37" s="58"/>
      <c r="AB37" s="58"/>
      <c r="AC37" s="58"/>
      <c r="AD37" s="58"/>
      <c r="AE37" s="58">
        <v>4</v>
      </c>
      <c r="AF37" s="58">
        <v>5</v>
      </c>
      <c r="AG37" s="167"/>
      <c r="AH37" s="52">
        <v>24412</v>
      </c>
      <c r="AI37" s="52"/>
      <c r="AJ37" s="52"/>
      <c r="AK37" s="52"/>
      <c r="AL37" s="52"/>
      <c r="AM37" s="52"/>
      <c r="AN37" s="52"/>
      <c r="AO37" s="52"/>
      <c r="AP37" s="52">
        <v>0</v>
      </c>
      <c r="AQ37" s="52">
        <v>24412</v>
      </c>
      <c r="AR37" s="52"/>
      <c r="AS37" s="259">
        <v>24412</v>
      </c>
      <c r="AT37" s="167"/>
      <c r="AU37" s="52">
        <v>24412</v>
      </c>
      <c r="AV37" s="52"/>
      <c r="AW37" s="52"/>
      <c r="AX37" s="52"/>
      <c r="AY37" s="52"/>
      <c r="AZ37" s="52"/>
      <c r="BA37" s="52"/>
      <c r="BB37" s="52"/>
      <c r="BC37" s="52"/>
      <c r="BD37" s="52">
        <v>24412</v>
      </c>
      <c r="BE37" s="52"/>
      <c r="BF37" s="259">
        <v>24412</v>
      </c>
    </row>
    <row r="38" spans="1:58" ht="14.25" x14ac:dyDescent="0.45">
      <c r="A38" t="s">
        <v>316</v>
      </c>
      <c r="B38" t="s">
        <v>317</v>
      </c>
      <c r="C38" t="s">
        <v>319</v>
      </c>
      <c r="D38" t="s">
        <v>196</v>
      </c>
      <c r="E38" t="s">
        <v>320</v>
      </c>
      <c r="F38" s="54"/>
      <c r="G38" s="8">
        <v>88205</v>
      </c>
      <c r="H38" s="8"/>
      <c r="I38" s="126"/>
      <c r="J38" s="8">
        <v>20664</v>
      </c>
      <c r="K38" s="8"/>
      <c r="L38" s="8"/>
      <c r="M38" s="8"/>
      <c r="N38" s="8"/>
      <c r="O38" s="8"/>
      <c r="P38" s="8"/>
      <c r="Q38" s="8"/>
      <c r="R38" s="8">
        <v>0</v>
      </c>
      <c r="S38" s="8">
        <v>20664</v>
      </c>
      <c r="T38" s="8">
        <v>20664</v>
      </c>
      <c r="U38" s="121"/>
      <c r="V38" s="58">
        <v>4</v>
      </c>
      <c r="W38" s="58"/>
      <c r="X38" s="58"/>
      <c r="Y38" s="58"/>
      <c r="Z38" s="58"/>
      <c r="AA38" s="58"/>
      <c r="AB38" s="58"/>
      <c r="AC38" s="58"/>
      <c r="AD38" s="58"/>
      <c r="AE38" s="58">
        <v>4</v>
      </c>
      <c r="AF38" s="58">
        <v>4</v>
      </c>
      <c r="AG38" s="54"/>
      <c r="AH38" s="8">
        <v>10332</v>
      </c>
      <c r="AI38" s="8"/>
      <c r="AJ38" s="8"/>
      <c r="AK38" s="8"/>
      <c r="AL38" s="8"/>
      <c r="AM38" s="8"/>
      <c r="AN38" s="8"/>
      <c r="AO38" s="8"/>
      <c r="AP38" s="8">
        <v>0</v>
      </c>
      <c r="AQ38" s="8">
        <v>10332</v>
      </c>
      <c r="AR38" s="8"/>
      <c r="AS38" s="202">
        <v>10332</v>
      </c>
      <c r="AT38" s="54"/>
      <c r="AU38" s="8">
        <v>10332</v>
      </c>
      <c r="AV38" s="8"/>
      <c r="AW38" s="8"/>
      <c r="AX38" s="8"/>
      <c r="AY38" s="8"/>
      <c r="AZ38" s="8"/>
      <c r="BA38" s="8"/>
      <c r="BB38" s="8"/>
      <c r="BC38" s="8"/>
      <c r="BD38" s="8">
        <v>10332</v>
      </c>
      <c r="BE38" s="8"/>
      <c r="BF38" s="202">
        <v>10332</v>
      </c>
    </row>
    <row r="39" spans="1:58" ht="14.25" x14ac:dyDescent="0.45">
      <c r="A39" t="s">
        <v>316</v>
      </c>
      <c r="B39" t="s">
        <v>317</v>
      </c>
      <c r="C39" t="s">
        <v>256</v>
      </c>
      <c r="D39" t="s">
        <v>199</v>
      </c>
      <c r="E39" t="s">
        <v>321</v>
      </c>
      <c r="F39" s="57"/>
      <c r="G39" s="51">
        <v>0</v>
      </c>
      <c r="H39" s="51"/>
      <c r="I39" s="125"/>
      <c r="J39" s="51">
        <v>0</v>
      </c>
      <c r="K39" s="51"/>
      <c r="L39" s="51"/>
      <c r="M39" s="51"/>
      <c r="N39" s="51"/>
      <c r="O39" s="51"/>
      <c r="P39" s="51"/>
      <c r="Q39" s="51"/>
      <c r="R39" s="51">
        <v>0</v>
      </c>
      <c r="S39" s="51">
        <v>0</v>
      </c>
      <c r="T39" s="51">
        <v>0</v>
      </c>
      <c r="U39" s="122"/>
      <c r="V39" s="60">
        <v>0</v>
      </c>
      <c r="W39" s="60"/>
      <c r="X39" s="60"/>
      <c r="Y39" s="60"/>
      <c r="Z39" s="60"/>
      <c r="AA39" s="60"/>
      <c r="AB39" s="60"/>
      <c r="AC39" s="60"/>
      <c r="AD39" s="60"/>
      <c r="AE39" s="60"/>
      <c r="AF39" s="60"/>
      <c r="AG39" s="57"/>
      <c r="AH39" s="51">
        <v>0</v>
      </c>
      <c r="AI39" s="51"/>
      <c r="AJ39" s="51"/>
      <c r="AK39" s="51"/>
      <c r="AL39" s="51"/>
      <c r="AM39" s="51"/>
      <c r="AN39" s="51"/>
      <c r="AO39" s="51"/>
      <c r="AP39" s="51">
        <v>0</v>
      </c>
      <c r="AQ39" s="51">
        <v>0</v>
      </c>
      <c r="AR39" s="51"/>
      <c r="AS39" s="201">
        <v>0</v>
      </c>
      <c r="AT39" s="57"/>
      <c r="AU39" s="51">
        <v>0</v>
      </c>
      <c r="AV39" s="51"/>
      <c r="AW39" s="51"/>
      <c r="AX39" s="51"/>
      <c r="AY39" s="51"/>
      <c r="AZ39" s="51"/>
      <c r="BA39" s="51"/>
      <c r="BB39" s="51"/>
      <c r="BC39" s="51"/>
      <c r="BD39" s="51">
        <v>0</v>
      </c>
      <c r="BE39" s="51"/>
      <c r="BF39" s="201">
        <v>0</v>
      </c>
    </row>
    <row r="40" spans="1:58" ht="14.25" x14ac:dyDescent="0.45">
      <c r="A40" t="s">
        <v>316</v>
      </c>
      <c r="B40" t="s">
        <v>317</v>
      </c>
      <c r="C40" t="s">
        <v>322</v>
      </c>
      <c r="D40" t="s">
        <v>196</v>
      </c>
      <c r="E40" t="s">
        <v>323</v>
      </c>
      <c r="F40" s="54"/>
      <c r="G40" s="8">
        <v>511155</v>
      </c>
      <c r="H40" s="8"/>
      <c r="I40" s="126"/>
      <c r="J40" s="8">
        <v>107239</v>
      </c>
      <c r="K40" s="8"/>
      <c r="L40" s="8"/>
      <c r="M40" s="8"/>
      <c r="N40" s="8"/>
      <c r="O40" s="8"/>
      <c r="P40" s="8"/>
      <c r="Q40" s="8"/>
      <c r="R40" s="8">
        <v>0</v>
      </c>
      <c r="S40" s="8">
        <v>107239</v>
      </c>
      <c r="T40" s="8">
        <v>107239</v>
      </c>
      <c r="U40" s="121"/>
      <c r="V40" s="58">
        <v>4</v>
      </c>
      <c r="W40" s="58"/>
      <c r="X40" s="58"/>
      <c r="Y40" s="58"/>
      <c r="Z40" s="58"/>
      <c r="AA40" s="58"/>
      <c r="AB40" s="58"/>
      <c r="AC40" s="58"/>
      <c r="AD40" s="58"/>
      <c r="AE40" s="58">
        <v>4</v>
      </c>
      <c r="AF40" s="58">
        <v>4</v>
      </c>
      <c r="AG40" s="54"/>
      <c r="AH40" s="8">
        <v>21448</v>
      </c>
      <c r="AI40" s="8"/>
      <c r="AJ40" s="8"/>
      <c r="AK40" s="8"/>
      <c r="AL40" s="8"/>
      <c r="AM40" s="8"/>
      <c r="AN40" s="8"/>
      <c r="AO40" s="8"/>
      <c r="AP40" s="8">
        <v>0</v>
      </c>
      <c r="AQ40" s="8">
        <v>21448</v>
      </c>
      <c r="AR40" s="8"/>
      <c r="AS40" s="202">
        <v>21448</v>
      </c>
      <c r="AT40" s="54"/>
      <c r="AU40" s="8">
        <v>21448</v>
      </c>
      <c r="AV40" s="8"/>
      <c r="AW40" s="8"/>
      <c r="AX40" s="8"/>
      <c r="AY40" s="8"/>
      <c r="AZ40" s="8"/>
      <c r="BA40" s="8"/>
      <c r="BB40" s="8"/>
      <c r="BC40" s="8"/>
      <c r="BD40" s="8">
        <v>21448</v>
      </c>
      <c r="BE40" s="8"/>
      <c r="BF40" s="202">
        <v>21448</v>
      </c>
    </row>
    <row r="41" spans="1:58" ht="14.25" x14ac:dyDescent="0.45">
      <c r="A41" t="s">
        <v>324</v>
      </c>
      <c r="B41" t="s">
        <v>325</v>
      </c>
      <c r="C41" t="s">
        <v>326</v>
      </c>
      <c r="D41" t="s">
        <v>193</v>
      </c>
      <c r="E41" t="s">
        <v>327</v>
      </c>
      <c r="F41" s="54"/>
      <c r="G41" s="8">
        <v>18255</v>
      </c>
      <c r="H41" s="8"/>
      <c r="I41" s="124"/>
      <c r="J41" s="52">
        <v>6050</v>
      </c>
      <c r="K41" s="52"/>
      <c r="L41" s="52"/>
      <c r="M41" s="52"/>
      <c r="N41" s="52"/>
      <c r="O41" s="52"/>
      <c r="P41" s="52"/>
      <c r="Q41" s="52"/>
      <c r="R41" s="52">
        <v>0</v>
      </c>
      <c r="S41" s="52">
        <v>6050</v>
      </c>
      <c r="T41" s="52">
        <v>6050</v>
      </c>
      <c r="U41" s="121"/>
      <c r="V41" s="58">
        <v>4</v>
      </c>
      <c r="W41" s="58"/>
      <c r="X41" s="58"/>
      <c r="Y41" s="58"/>
      <c r="Z41" s="58"/>
      <c r="AA41" s="58"/>
      <c r="AB41" s="58"/>
      <c r="AC41" s="58"/>
      <c r="AD41" s="58"/>
      <c r="AE41" s="58">
        <v>4</v>
      </c>
      <c r="AF41" s="58">
        <v>5</v>
      </c>
      <c r="AG41" s="167"/>
      <c r="AH41" s="52">
        <v>3025</v>
      </c>
      <c r="AI41" s="52"/>
      <c r="AJ41" s="52"/>
      <c r="AK41" s="52"/>
      <c r="AL41" s="52"/>
      <c r="AM41" s="52"/>
      <c r="AN41" s="52"/>
      <c r="AO41" s="52"/>
      <c r="AP41" s="52">
        <v>0</v>
      </c>
      <c r="AQ41" s="52">
        <v>3025</v>
      </c>
      <c r="AR41" s="52"/>
      <c r="AS41" s="259">
        <v>3025</v>
      </c>
      <c r="AT41" s="167"/>
      <c r="AU41" s="52">
        <v>3025</v>
      </c>
      <c r="AV41" s="52"/>
      <c r="AW41" s="52"/>
      <c r="AX41" s="52"/>
      <c r="AY41" s="52"/>
      <c r="AZ41" s="52"/>
      <c r="BA41" s="52"/>
      <c r="BB41" s="52"/>
      <c r="BC41" s="52"/>
      <c r="BD41" s="52">
        <v>3025</v>
      </c>
      <c r="BE41" s="52"/>
      <c r="BF41" s="259">
        <v>3025</v>
      </c>
    </row>
    <row r="42" spans="1:58" ht="14.25" x14ac:dyDescent="0.45">
      <c r="A42" t="s">
        <v>324</v>
      </c>
      <c r="B42" t="s">
        <v>325</v>
      </c>
      <c r="C42" t="s">
        <v>254</v>
      </c>
      <c r="D42" t="s">
        <v>196</v>
      </c>
      <c r="E42" t="s">
        <v>328</v>
      </c>
      <c r="F42" s="54"/>
      <c r="G42" s="8">
        <v>3344</v>
      </c>
      <c r="H42" s="8"/>
      <c r="I42" s="126"/>
      <c r="J42" s="8">
        <v>1098</v>
      </c>
      <c r="K42" s="8"/>
      <c r="L42" s="8"/>
      <c r="M42" s="8"/>
      <c r="N42" s="8"/>
      <c r="O42" s="8"/>
      <c r="P42" s="8"/>
      <c r="Q42" s="8"/>
      <c r="R42" s="8">
        <v>0</v>
      </c>
      <c r="S42" s="8">
        <v>1098</v>
      </c>
      <c r="T42" s="8">
        <v>1098</v>
      </c>
      <c r="U42" s="121"/>
      <c r="V42" s="58">
        <v>4</v>
      </c>
      <c r="W42" s="58"/>
      <c r="X42" s="58"/>
      <c r="Y42" s="58"/>
      <c r="Z42" s="58"/>
      <c r="AA42" s="58"/>
      <c r="AB42" s="58"/>
      <c r="AC42" s="58"/>
      <c r="AD42" s="58"/>
      <c r="AE42" s="58">
        <v>4</v>
      </c>
      <c r="AF42" s="58">
        <v>4</v>
      </c>
      <c r="AG42" s="54"/>
      <c r="AH42" s="8">
        <v>1098</v>
      </c>
      <c r="AI42" s="8"/>
      <c r="AJ42" s="8"/>
      <c r="AK42" s="8"/>
      <c r="AL42" s="8"/>
      <c r="AM42" s="8"/>
      <c r="AN42" s="8"/>
      <c r="AO42" s="8"/>
      <c r="AP42" s="8">
        <v>0</v>
      </c>
      <c r="AQ42" s="8">
        <v>1098</v>
      </c>
      <c r="AR42" s="8"/>
      <c r="AS42" s="202">
        <v>1098</v>
      </c>
      <c r="AT42" s="54"/>
      <c r="AU42" s="8">
        <v>1098</v>
      </c>
      <c r="AV42" s="8"/>
      <c r="AW42" s="8"/>
      <c r="AX42" s="8"/>
      <c r="AY42" s="8"/>
      <c r="AZ42" s="8"/>
      <c r="BA42" s="8"/>
      <c r="BB42" s="8"/>
      <c r="BC42" s="8"/>
      <c r="BD42" s="8">
        <v>1098</v>
      </c>
      <c r="BE42" s="8"/>
      <c r="BF42" s="202">
        <v>1098</v>
      </c>
    </row>
    <row r="43" spans="1:58" ht="14.25" x14ac:dyDescent="0.45">
      <c r="A43" t="s">
        <v>324</v>
      </c>
      <c r="B43" t="s">
        <v>325</v>
      </c>
      <c r="C43" t="s">
        <v>256</v>
      </c>
      <c r="D43" t="s">
        <v>199</v>
      </c>
      <c r="E43" t="s">
        <v>329</v>
      </c>
      <c r="F43" s="57"/>
      <c r="G43" s="51">
        <v>0</v>
      </c>
      <c r="H43" s="51"/>
      <c r="I43" s="125"/>
      <c r="J43" s="51">
        <v>0</v>
      </c>
      <c r="K43" s="51"/>
      <c r="L43" s="51"/>
      <c r="M43" s="51"/>
      <c r="N43" s="51"/>
      <c r="O43" s="51"/>
      <c r="P43" s="51"/>
      <c r="Q43" s="51"/>
      <c r="R43" s="51">
        <v>0</v>
      </c>
      <c r="S43" s="51">
        <v>0</v>
      </c>
      <c r="T43" s="51">
        <v>0</v>
      </c>
      <c r="U43" s="122"/>
      <c r="V43" s="60">
        <v>0</v>
      </c>
      <c r="W43" s="60"/>
      <c r="X43" s="60"/>
      <c r="Y43" s="60"/>
      <c r="Z43" s="60"/>
      <c r="AA43" s="60"/>
      <c r="AB43" s="60"/>
      <c r="AC43" s="60"/>
      <c r="AD43" s="60"/>
      <c r="AE43" s="60"/>
      <c r="AF43" s="60"/>
      <c r="AG43" s="57"/>
      <c r="AH43" s="51">
        <v>0</v>
      </c>
      <c r="AI43" s="51"/>
      <c r="AJ43" s="51"/>
      <c r="AK43" s="51"/>
      <c r="AL43" s="51"/>
      <c r="AM43" s="51"/>
      <c r="AN43" s="51"/>
      <c r="AO43" s="51"/>
      <c r="AP43" s="51">
        <v>0</v>
      </c>
      <c r="AQ43" s="51">
        <v>0</v>
      </c>
      <c r="AR43" s="51"/>
      <c r="AS43" s="201">
        <v>0</v>
      </c>
      <c r="AT43" s="57"/>
      <c r="AU43" s="51">
        <v>0</v>
      </c>
      <c r="AV43" s="51"/>
      <c r="AW43" s="51"/>
      <c r="AX43" s="51"/>
      <c r="AY43" s="51"/>
      <c r="AZ43" s="51"/>
      <c r="BA43" s="51"/>
      <c r="BB43" s="51"/>
      <c r="BC43" s="51"/>
      <c r="BD43" s="51">
        <v>0</v>
      </c>
      <c r="BE43" s="51"/>
      <c r="BF43" s="201">
        <v>0</v>
      </c>
    </row>
    <row r="44" spans="1:58" ht="14.25" x14ac:dyDescent="0.45">
      <c r="A44" t="s">
        <v>324</v>
      </c>
      <c r="B44" t="s">
        <v>325</v>
      </c>
      <c r="C44" t="s">
        <v>330</v>
      </c>
      <c r="D44" t="s">
        <v>193</v>
      </c>
      <c r="E44" t="s">
        <v>331</v>
      </c>
      <c r="F44" s="54"/>
      <c r="G44" s="8">
        <v>67022</v>
      </c>
      <c r="H44" s="8"/>
      <c r="I44" s="124"/>
      <c r="J44" s="52">
        <v>22475</v>
      </c>
      <c r="K44" s="52"/>
      <c r="L44" s="52"/>
      <c r="M44" s="52"/>
      <c r="N44" s="52"/>
      <c r="O44" s="52"/>
      <c r="P44" s="52"/>
      <c r="Q44" s="52"/>
      <c r="R44" s="52">
        <v>0</v>
      </c>
      <c r="S44" s="52">
        <v>22475</v>
      </c>
      <c r="T44" s="52">
        <v>22475</v>
      </c>
      <c r="U44" s="121"/>
      <c r="V44" s="58">
        <v>4</v>
      </c>
      <c r="W44" s="58"/>
      <c r="X44" s="58"/>
      <c r="Y44" s="58"/>
      <c r="Z44" s="58"/>
      <c r="AA44" s="58"/>
      <c r="AB44" s="58"/>
      <c r="AC44" s="58"/>
      <c r="AD44" s="58"/>
      <c r="AE44" s="58">
        <v>4</v>
      </c>
      <c r="AF44" s="58">
        <v>5</v>
      </c>
      <c r="AG44" s="167"/>
      <c r="AH44" s="52">
        <v>11237</v>
      </c>
      <c r="AI44" s="52"/>
      <c r="AJ44" s="52"/>
      <c r="AK44" s="52"/>
      <c r="AL44" s="52"/>
      <c r="AM44" s="52"/>
      <c r="AN44" s="52"/>
      <c r="AO44" s="52"/>
      <c r="AP44" s="52">
        <v>0</v>
      </c>
      <c r="AQ44" s="52">
        <v>11237</v>
      </c>
      <c r="AR44" s="52"/>
      <c r="AS44" s="259">
        <v>11237</v>
      </c>
      <c r="AT44" s="167"/>
      <c r="AU44" s="52">
        <v>11237</v>
      </c>
      <c r="AV44" s="52"/>
      <c r="AW44" s="52"/>
      <c r="AX44" s="52"/>
      <c r="AY44" s="52"/>
      <c r="AZ44" s="52"/>
      <c r="BA44" s="52"/>
      <c r="BB44" s="52"/>
      <c r="BC44" s="52"/>
      <c r="BD44" s="52">
        <v>11237</v>
      </c>
      <c r="BE44" s="52"/>
      <c r="BF44" s="259">
        <v>11237</v>
      </c>
    </row>
    <row r="45" spans="1:58" ht="14.25" x14ac:dyDescent="0.45">
      <c r="A45" t="s">
        <v>332</v>
      </c>
      <c r="B45" t="s">
        <v>333</v>
      </c>
      <c r="C45" t="s">
        <v>245</v>
      </c>
      <c r="D45" t="s">
        <v>199</v>
      </c>
      <c r="E45" t="s">
        <v>334</v>
      </c>
      <c r="F45" s="57"/>
      <c r="G45" s="51">
        <v>0</v>
      </c>
      <c r="H45" s="51"/>
      <c r="I45" s="125"/>
      <c r="J45" s="51">
        <v>0</v>
      </c>
      <c r="K45" s="51"/>
      <c r="L45" s="51"/>
      <c r="M45" s="51"/>
      <c r="N45" s="51"/>
      <c r="O45" s="51"/>
      <c r="P45" s="51"/>
      <c r="Q45" s="51"/>
      <c r="R45" s="51">
        <v>0</v>
      </c>
      <c r="S45" s="51">
        <v>0</v>
      </c>
      <c r="T45" s="51">
        <v>0</v>
      </c>
      <c r="U45" s="122"/>
      <c r="V45" s="60">
        <v>0</v>
      </c>
      <c r="W45" s="60"/>
      <c r="X45" s="60"/>
      <c r="Y45" s="60"/>
      <c r="Z45" s="60"/>
      <c r="AA45" s="60"/>
      <c r="AB45" s="60"/>
      <c r="AC45" s="60"/>
      <c r="AD45" s="60"/>
      <c r="AE45" s="60"/>
      <c r="AF45" s="60"/>
      <c r="AG45" s="57"/>
      <c r="AH45" s="51">
        <v>0</v>
      </c>
      <c r="AI45" s="51"/>
      <c r="AJ45" s="51"/>
      <c r="AK45" s="51"/>
      <c r="AL45" s="51"/>
      <c r="AM45" s="51"/>
      <c r="AN45" s="51"/>
      <c r="AO45" s="51"/>
      <c r="AP45" s="51">
        <v>0</v>
      </c>
      <c r="AQ45" s="51">
        <v>0</v>
      </c>
      <c r="AR45" s="51"/>
      <c r="AS45" s="201">
        <v>0</v>
      </c>
      <c r="AT45" s="57"/>
      <c r="AU45" s="51">
        <v>0</v>
      </c>
      <c r="AV45" s="51"/>
      <c r="AW45" s="51"/>
      <c r="AX45" s="51"/>
      <c r="AY45" s="51"/>
      <c r="AZ45" s="51"/>
      <c r="BA45" s="51"/>
      <c r="BB45" s="51"/>
      <c r="BC45" s="51"/>
      <c r="BD45" s="51">
        <v>0</v>
      </c>
      <c r="BE45" s="51"/>
      <c r="BF45" s="201">
        <v>0</v>
      </c>
    </row>
    <row r="46" spans="1:58" ht="14.25" x14ac:dyDescent="0.45">
      <c r="A46" t="s">
        <v>335</v>
      </c>
      <c r="B46" t="s">
        <v>336</v>
      </c>
      <c r="C46" t="s">
        <v>245</v>
      </c>
      <c r="D46" t="s">
        <v>199</v>
      </c>
      <c r="E46" t="s">
        <v>337</v>
      </c>
      <c r="F46" s="57"/>
      <c r="G46" s="51">
        <v>0</v>
      </c>
      <c r="H46" s="51"/>
      <c r="I46" s="125"/>
      <c r="J46" s="51">
        <v>0</v>
      </c>
      <c r="K46" s="51"/>
      <c r="L46" s="51"/>
      <c r="M46" s="51"/>
      <c r="N46" s="51"/>
      <c r="O46" s="51"/>
      <c r="P46" s="51"/>
      <c r="Q46" s="51"/>
      <c r="R46" s="51">
        <v>0</v>
      </c>
      <c r="S46" s="51">
        <v>0</v>
      </c>
      <c r="T46" s="51">
        <v>0</v>
      </c>
      <c r="U46" s="122"/>
      <c r="V46" s="60">
        <v>0</v>
      </c>
      <c r="W46" s="60"/>
      <c r="X46" s="60"/>
      <c r="Y46" s="60"/>
      <c r="Z46" s="60"/>
      <c r="AA46" s="60"/>
      <c r="AB46" s="60"/>
      <c r="AC46" s="60"/>
      <c r="AD46" s="60"/>
      <c r="AE46" s="60"/>
      <c r="AF46" s="60"/>
      <c r="AG46" s="57"/>
      <c r="AH46" s="51">
        <v>0</v>
      </c>
      <c r="AI46" s="51"/>
      <c r="AJ46" s="51"/>
      <c r="AK46" s="51"/>
      <c r="AL46" s="51"/>
      <c r="AM46" s="51"/>
      <c r="AN46" s="51"/>
      <c r="AO46" s="51"/>
      <c r="AP46" s="51">
        <v>0</v>
      </c>
      <c r="AQ46" s="51">
        <v>0</v>
      </c>
      <c r="AR46" s="51"/>
      <c r="AS46" s="201">
        <v>0</v>
      </c>
      <c r="AT46" s="57"/>
      <c r="AU46" s="51">
        <v>0</v>
      </c>
      <c r="AV46" s="51"/>
      <c r="AW46" s="51"/>
      <c r="AX46" s="51"/>
      <c r="AY46" s="51"/>
      <c r="AZ46" s="51"/>
      <c r="BA46" s="51"/>
      <c r="BB46" s="51"/>
      <c r="BC46" s="51"/>
      <c r="BD46" s="51">
        <v>0</v>
      </c>
      <c r="BE46" s="51"/>
      <c r="BF46" s="201">
        <v>0</v>
      </c>
    </row>
    <row r="47" spans="1:58" ht="14.25" x14ac:dyDescent="0.45">
      <c r="A47" t="s">
        <v>338</v>
      </c>
      <c r="B47" t="s">
        <v>339</v>
      </c>
      <c r="C47" t="s">
        <v>245</v>
      </c>
      <c r="D47" t="s">
        <v>199</v>
      </c>
      <c r="E47" t="s">
        <v>340</v>
      </c>
      <c r="F47" s="57"/>
      <c r="G47" s="51">
        <v>0</v>
      </c>
      <c r="H47" s="51"/>
      <c r="I47" s="125"/>
      <c r="J47" s="51">
        <v>0</v>
      </c>
      <c r="K47" s="51"/>
      <c r="L47" s="51"/>
      <c r="M47" s="51"/>
      <c r="N47" s="51"/>
      <c r="O47" s="51"/>
      <c r="P47" s="51"/>
      <c r="Q47" s="51"/>
      <c r="R47" s="51">
        <v>0</v>
      </c>
      <c r="S47" s="51">
        <v>0</v>
      </c>
      <c r="T47" s="51">
        <v>0</v>
      </c>
      <c r="U47" s="122"/>
      <c r="V47" s="60">
        <v>0</v>
      </c>
      <c r="W47" s="60"/>
      <c r="X47" s="60"/>
      <c r="Y47" s="60"/>
      <c r="Z47" s="60"/>
      <c r="AA47" s="60"/>
      <c r="AB47" s="60"/>
      <c r="AC47" s="60"/>
      <c r="AD47" s="60"/>
      <c r="AE47" s="60"/>
      <c r="AF47" s="60"/>
      <c r="AG47" s="57"/>
      <c r="AH47" s="51">
        <v>0</v>
      </c>
      <c r="AI47" s="51"/>
      <c r="AJ47" s="51"/>
      <c r="AK47" s="51"/>
      <c r="AL47" s="51"/>
      <c r="AM47" s="51"/>
      <c r="AN47" s="51"/>
      <c r="AO47" s="51"/>
      <c r="AP47" s="51">
        <v>0</v>
      </c>
      <c r="AQ47" s="51">
        <v>0</v>
      </c>
      <c r="AR47" s="51"/>
      <c r="AS47" s="201">
        <v>0</v>
      </c>
      <c r="AT47" s="57"/>
      <c r="AU47" s="51">
        <v>0</v>
      </c>
      <c r="AV47" s="51"/>
      <c r="AW47" s="51"/>
      <c r="AX47" s="51"/>
      <c r="AY47" s="51"/>
      <c r="AZ47" s="51"/>
      <c r="BA47" s="51"/>
      <c r="BB47" s="51"/>
      <c r="BC47" s="51"/>
      <c r="BD47" s="51">
        <v>0</v>
      </c>
      <c r="BE47" s="51"/>
      <c r="BF47" s="201">
        <v>0</v>
      </c>
    </row>
    <row r="48" spans="1:58" ht="14.25" x14ac:dyDescent="0.45">
      <c r="A48" t="s">
        <v>341</v>
      </c>
      <c r="B48" t="s">
        <v>342</v>
      </c>
      <c r="C48" t="s">
        <v>252</v>
      </c>
      <c r="D48" t="s">
        <v>193</v>
      </c>
      <c r="E48" t="s">
        <v>343</v>
      </c>
      <c r="F48" s="54"/>
      <c r="G48" s="8">
        <v>79652</v>
      </c>
      <c r="H48" s="8"/>
      <c r="I48" s="124"/>
      <c r="J48" s="52">
        <v>11301</v>
      </c>
      <c r="K48" s="52"/>
      <c r="L48" s="52"/>
      <c r="M48" s="52"/>
      <c r="N48" s="52"/>
      <c r="O48" s="52"/>
      <c r="P48" s="52"/>
      <c r="Q48" s="52"/>
      <c r="R48" s="52">
        <v>0</v>
      </c>
      <c r="S48" s="52">
        <v>11301</v>
      </c>
      <c r="T48" s="52">
        <v>11301</v>
      </c>
      <c r="U48" s="121"/>
      <c r="V48" s="58">
        <v>4</v>
      </c>
      <c r="W48" s="58"/>
      <c r="X48" s="58"/>
      <c r="Y48" s="58"/>
      <c r="Z48" s="58"/>
      <c r="AA48" s="58"/>
      <c r="AB48" s="58"/>
      <c r="AC48" s="58"/>
      <c r="AD48" s="58"/>
      <c r="AE48" s="58">
        <v>4</v>
      </c>
      <c r="AF48" s="58">
        <v>5</v>
      </c>
      <c r="AG48" s="167"/>
      <c r="AH48" s="52">
        <v>2690</v>
      </c>
      <c r="AI48" s="52"/>
      <c r="AJ48" s="52"/>
      <c r="AK48" s="52"/>
      <c r="AL48" s="52"/>
      <c r="AM48" s="52"/>
      <c r="AN48" s="52"/>
      <c r="AO48" s="52"/>
      <c r="AP48" s="52">
        <v>0</v>
      </c>
      <c r="AQ48" s="52">
        <v>2690</v>
      </c>
      <c r="AR48" s="52"/>
      <c r="AS48" s="259">
        <v>2690</v>
      </c>
      <c r="AT48" s="167"/>
      <c r="AU48" s="52">
        <v>2690</v>
      </c>
      <c r="AV48" s="52"/>
      <c r="AW48" s="52"/>
      <c r="AX48" s="52"/>
      <c r="AY48" s="52"/>
      <c r="AZ48" s="52"/>
      <c r="BA48" s="52"/>
      <c r="BB48" s="52"/>
      <c r="BC48" s="52"/>
      <c r="BD48" s="52">
        <v>2690</v>
      </c>
      <c r="BE48" s="52"/>
      <c r="BF48" s="259">
        <v>2690</v>
      </c>
    </row>
    <row r="49" spans="1:58" ht="14.25" x14ac:dyDescent="0.45">
      <c r="A49" t="s">
        <v>341</v>
      </c>
      <c r="B49" t="s">
        <v>342</v>
      </c>
      <c r="C49" t="s">
        <v>254</v>
      </c>
      <c r="D49" t="s">
        <v>196</v>
      </c>
      <c r="E49" t="s">
        <v>344</v>
      </c>
      <c r="F49" s="54"/>
      <c r="G49" s="8">
        <v>5332</v>
      </c>
      <c r="H49" s="8"/>
      <c r="I49" s="126"/>
      <c r="J49" s="8">
        <v>446</v>
      </c>
      <c r="K49" s="8"/>
      <c r="L49" s="8"/>
      <c r="M49" s="8"/>
      <c r="N49" s="8"/>
      <c r="O49" s="8"/>
      <c r="P49" s="8"/>
      <c r="Q49" s="8"/>
      <c r="R49" s="8">
        <v>0</v>
      </c>
      <c r="S49" s="8">
        <v>446</v>
      </c>
      <c r="T49" s="8">
        <v>446</v>
      </c>
      <c r="U49" s="121"/>
      <c r="V49" s="58">
        <v>3</v>
      </c>
      <c r="W49" s="58"/>
      <c r="X49" s="58"/>
      <c r="Y49" s="58"/>
      <c r="Z49" s="58"/>
      <c r="AA49" s="58"/>
      <c r="AB49" s="58"/>
      <c r="AC49" s="58"/>
      <c r="AD49" s="58"/>
      <c r="AE49" s="58">
        <v>3</v>
      </c>
      <c r="AF49" s="58">
        <v>3</v>
      </c>
      <c r="AG49" s="54"/>
      <c r="AH49" s="8">
        <v>223</v>
      </c>
      <c r="AI49" s="8"/>
      <c r="AJ49" s="8"/>
      <c r="AK49" s="8"/>
      <c r="AL49" s="8"/>
      <c r="AM49" s="8"/>
      <c r="AN49" s="8"/>
      <c r="AO49" s="8"/>
      <c r="AP49" s="8">
        <v>0</v>
      </c>
      <c r="AQ49" s="8">
        <v>223</v>
      </c>
      <c r="AR49" s="8"/>
      <c r="AS49" s="202">
        <v>223</v>
      </c>
      <c r="AT49" s="54"/>
      <c r="AU49" s="8">
        <v>45</v>
      </c>
      <c r="AV49" s="8"/>
      <c r="AW49" s="8"/>
      <c r="AX49" s="8"/>
      <c r="AY49" s="8"/>
      <c r="AZ49" s="8"/>
      <c r="BA49" s="8"/>
      <c r="BB49" s="8"/>
      <c r="BC49" s="8"/>
      <c r="BD49" s="8">
        <v>45</v>
      </c>
      <c r="BE49" s="8"/>
      <c r="BF49" s="202">
        <v>45</v>
      </c>
    </row>
    <row r="50" spans="1:58" ht="14.25" x14ac:dyDescent="0.45">
      <c r="A50" t="s">
        <v>341</v>
      </c>
      <c r="B50" t="s">
        <v>342</v>
      </c>
      <c r="C50" t="s">
        <v>256</v>
      </c>
      <c r="D50" t="s">
        <v>199</v>
      </c>
      <c r="E50" t="s">
        <v>345</v>
      </c>
      <c r="F50" s="57"/>
      <c r="G50" s="51">
        <v>0</v>
      </c>
      <c r="H50" s="51"/>
      <c r="I50" s="125"/>
      <c r="J50" s="51">
        <v>0</v>
      </c>
      <c r="K50" s="51"/>
      <c r="L50" s="51"/>
      <c r="M50" s="51"/>
      <c r="N50" s="51"/>
      <c r="O50" s="51"/>
      <c r="P50" s="51"/>
      <c r="Q50" s="51"/>
      <c r="R50" s="51">
        <v>0</v>
      </c>
      <c r="S50" s="51">
        <v>0</v>
      </c>
      <c r="T50" s="51">
        <v>0</v>
      </c>
      <c r="U50" s="122"/>
      <c r="V50" s="60">
        <v>0</v>
      </c>
      <c r="W50" s="60"/>
      <c r="X50" s="60"/>
      <c r="Y50" s="60"/>
      <c r="Z50" s="60"/>
      <c r="AA50" s="60"/>
      <c r="AB50" s="60"/>
      <c r="AC50" s="60"/>
      <c r="AD50" s="60"/>
      <c r="AE50" s="60"/>
      <c r="AF50" s="60"/>
      <c r="AG50" s="57"/>
      <c r="AH50" s="51">
        <v>0</v>
      </c>
      <c r="AI50" s="51"/>
      <c r="AJ50" s="51"/>
      <c r="AK50" s="51"/>
      <c r="AL50" s="51"/>
      <c r="AM50" s="51"/>
      <c r="AN50" s="51"/>
      <c r="AO50" s="51"/>
      <c r="AP50" s="51">
        <v>0</v>
      </c>
      <c r="AQ50" s="51">
        <v>0</v>
      </c>
      <c r="AR50" s="51"/>
      <c r="AS50" s="201">
        <v>0</v>
      </c>
      <c r="AT50" s="57"/>
      <c r="AU50" s="51">
        <v>0</v>
      </c>
      <c r="AV50" s="51"/>
      <c r="AW50" s="51"/>
      <c r="AX50" s="51"/>
      <c r="AY50" s="51"/>
      <c r="AZ50" s="51"/>
      <c r="BA50" s="51"/>
      <c r="BB50" s="51"/>
      <c r="BC50" s="51"/>
      <c r="BD50" s="51">
        <v>0</v>
      </c>
      <c r="BE50" s="51"/>
      <c r="BF50" s="201">
        <v>0</v>
      </c>
    </row>
    <row r="51" spans="1:58" ht="14.25" x14ac:dyDescent="0.45">
      <c r="A51" t="s">
        <v>346</v>
      </c>
      <c r="B51" t="s">
        <v>347</v>
      </c>
      <c r="C51" t="s">
        <v>245</v>
      </c>
      <c r="D51" t="s">
        <v>199</v>
      </c>
      <c r="E51" t="s">
        <v>348</v>
      </c>
      <c r="F51" s="57"/>
      <c r="G51" s="51">
        <v>0</v>
      </c>
      <c r="H51" s="51"/>
      <c r="I51" s="125"/>
      <c r="J51" s="51">
        <v>0</v>
      </c>
      <c r="K51" s="51"/>
      <c r="L51" s="51"/>
      <c r="M51" s="51"/>
      <c r="N51" s="51"/>
      <c r="O51" s="51"/>
      <c r="P51" s="51"/>
      <c r="Q51" s="51"/>
      <c r="R51" s="51">
        <v>0</v>
      </c>
      <c r="S51" s="51">
        <v>0</v>
      </c>
      <c r="T51" s="51">
        <v>0</v>
      </c>
      <c r="U51" s="122"/>
      <c r="V51" s="60">
        <v>0</v>
      </c>
      <c r="W51" s="60"/>
      <c r="X51" s="60"/>
      <c r="Y51" s="60"/>
      <c r="Z51" s="60"/>
      <c r="AA51" s="60"/>
      <c r="AB51" s="60"/>
      <c r="AC51" s="60"/>
      <c r="AD51" s="60"/>
      <c r="AE51" s="60"/>
      <c r="AF51" s="60"/>
      <c r="AG51" s="57"/>
      <c r="AH51" s="51">
        <v>0</v>
      </c>
      <c r="AI51" s="51"/>
      <c r="AJ51" s="51"/>
      <c r="AK51" s="51"/>
      <c r="AL51" s="51"/>
      <c r="AM51" s="51"/>
      <c r="AN51" s="51"/>
      <c r="AO51" s="51"/>
      <c r="AP51" s="51">
        <v>0</v>
      </c>
      <c r="AQ51" s="51">
        <v>0</v>
      </c>
      <c r="AR51" s="51"/>
      <c r="AS51" s="201">
        <v>0</v>
      </c>
      <c r="AT51" s="57"/>
      <c r="AU51" s="51">
        <v>0</v>
      </c>
      <c r="AV51" s="51"/>
      <c r="AW51" s="51"/>
      <c r="AX51" s="51"/>
      <c r="AY51" s="51"/>
      <c r="AZ51" s="51"/>
      <c r="BA51" s="51"/>
      <c r="BB51" s="51"/>
      <c r="BC51" s="51"/>
      <c r="BD51" s="51">
        <v>0</v>
      </c>
      <c r="BE51" s="51"/>
      <c r="BF51" s="201">
        <v>0</v>
      </c>
    </row>
    <row r="52" spans="1:58" ht="14.25" x14ac:dyDescent="0.45">
      <c r="A52" t="s">
        <v>33</v>
      </c>
      <c r="B52" t="s">
        <v>191</v>
      </c>
      <c r="C52" t="s">
        <v>192</v>
      </c>
      <c r="D52" t="s">
        <v>193</v>
      </c>
      <c r="E52" t="s">
        <v>194</v>
      </c>
      <c r="F52" s="54"/>
      <c r="G52" s="8">
        <v>224914</v>
      </c>
      <c r="H52" s="8"/>
      <c r="I52" s="124"/>
      <c r="J52" s="52"/>
      <c r="K52" s="52"/>
      <c r="L52" s="52"/>
      <c r="M52" s="52"/>
      <c r="N52" s="52"/>
      <c r="O52" s="52"/>
      <c r="P52" s="52"/>
      <c r="Q52" s="52"/>
      <c r="R52" s="52"/>
      <c r="S52" s="52"/>
      <c r="T52" s="52">
        <v>0</v>
      </c>
      <c r="U52" s="121"/>
      <c r="V52" s="58"/>
      <c r="W52" s="58"/>
      <c r="X52" s="58"/>
      <c r="Y52" s="58"/>
      <c r="Z52" s="58"/>
      <c r="AA52" s="58"/>
      <c r="AB52" s="58"/>
      <c r="AC52" s="58"/>
      <c r="AD52" s="58"/>
      <c r="AE52" s="58"/>
      <c r="AF52" s="58">
        <v>5</v>
      </c>
      <c r="AG52" s="167"/>
      <c r="AH52" s="52"/>
      <c r="AI52" s="52"/>
      <c r="AJ52" s="52"/>
      <c r="AK52" s="52"/>
      <c r="AL52" s="52"/>
      <c r="AM52" s="52"/>
      <c r="AN52" s="52"/>
      <c r="AO52" s="52"/>
      <c r="AP52" s="52"/>
      <c r="AQ52" s="52"/>
      <c r="AR52" s="52"/>
      <c r="AS52" s="259">
        <v>0</v>
      </c>
      <c r="AT52" s="167"/>
      <c r="AU52" s="52"/>
      <c r="AV52" s="52"/>
      <c r="AW52" s="52"/>
      <c r="AX52" s="52"/>
      <c r="AY52" s="52"/>
      <c r="AZ52" s="52"/>
      <c r="BA52" s="52"/>
      <c r="BB52" s="52"/>
      <c r="BC52" s="52"/>
      <c r="BD52" s="52"/>
      <c r="BE52" s="52"/>
      <c r="BF52" s="259">
        <v>0</v>
      </c>
    </row>
    <row r="53" spans="1:58" ht="15" customHeight="1" x14ac:dyDescent="0.45">
      <c r="A53" t="s">
        <v>33</v>
      </c>
      <c r="B53" t="s">
        <v>191</v>
      </c>
      <c r="C53" t="s">
        <v>195</v>
      </c>
      <c r="D53" t="s">
        <v>196</v>
      </c>
      <c r="E53" t="s">
        <v>197</v>
      </c>
      <c r="F53" s="54"/>
      <c r="G53" s="8">
        <v>225310</v>
      </c>
      <c r="H53" s="8"/>
      <c r="I53" s="124"/>
      <c r="J53" s="52"/>
      <c r="K53" s="52"/>
      <c r="L53" s="52"/>
      <c r="M53" s="52"/>
      <c r="N53" s="52"/>
      <c r="O53" s="52"/>
      <c r="P53" s="52"/>
      <c r="Q53" s="52"/>
      <c r="R53" s="52"/>
      <c r="S53" s="52"/>
      <c r="T53" s="52">
        <v>0</v>
      </c>
      <c r="U53" s="121"/>
      <c r="V53" s="58"/>
      <c r="W53" s="58"/>
      <c r="X53" s="58"/>
      <c r="Y53" s="58"/>
      <c r="Z53" s="58"/>
      <c r="AA53" s="58"/>
      <c r="AB53" s="58"/>
      <c r="AC53" s="58"/>
      <c r="AD53" s="58"/>
      <c r="AE53" s="58"/>
      <c r="AF53" s="58">
        <v>4</v>
      </c>
      <c r="AG53" s="167"/>
      <c r="AH53" s="52"/>
      <c r="AI53" s="52"/>
      <c r="AJ53" s="52"/>
      <c r="AK53" s="52"/>
      <c r="AL53" s="52"/>
      <c r="AM53" s="52"/>
      <c r="AN53" s="52"/>
      <c r="AO53" s="52"/>
      <c r="AP53" s="52"/>
      <c r="AQ53" s="52"/>
      <c r="AR53" s="52"/>
      <c r="AS53" s="259">
        <v>0</v>
      </c>
      <c r="AT53" s="167"/>
      <c r="AU53" s="52"/>
      <c r="AV53" s="52"/>
      <c r="AW53" s="52"/>
      <c r="AX53" s="52"/>
      <c r="AY53" s="52"/>
      <c r="AZ53" s="52"/>
      <c r="BA53" s="52"/>
      <c r="BB53" s="52"/>
      <c r="BC53" s="52"/>
      <c r="BD53" s="52"/>
      <c r="BE53" s="52"/>
      <c r="BF53" s="259">
        <v>0</v>
      </c>
    </row>
    <row r="54" spans="1:58" ht="15" customHeight="1" x14ac:dyDescent="0.45">
      <c r="A54" t="s">
        <v>33</v>
      </c>
      <c r="B54" t="s">
        <v>191</v>
      </c>
      <c r="C54" t="s">
        <v>198</v>
      </c>
      <c r="D54" t="s">
        <v>199</v>
      </c>
      <c r="E54" t="s">
        <v>200</v>
      </c>
      <c r="F54" s="57"/>
      <c r="G54" s="51">
        <v>0</v>
      </c>
      <c r="H54" s="51"/>
      <c r="I54" s="125"/>
      <c r="J54" s="51"/>
      <c r="K54" s="51"/>
      <c r="L54" s="51"/>
      <c r="M54" s="51"/>
      <c r="N54" s="51"/>
      <c r="O54" s="51"/>
      <c r="P54" s="51"/>
      <c r="Q54" s="51"/>
      <c r="R54" s="51"/>
      <c r="S54" s="51"/>
      <c r="T54" s="51">
        <v>0</v>
      </c>
      <c r="U54" s="122"/>
      <c r="V54" s="60">
        <v>0</v>
      </c>
      <c r="W54" s="60"/>
      <c r="X54" s="60"/>
      <c r="Y54" s="60"/>
      <c r="Z54" s="60"/>
      <c r="AA54" s="60"/>
      <c r="AB54" s="60"/>
      <c r="AC54" s="60"/>
      <c r="AD54" s="60"/>
      <c r="AE54" s="60"/>
      <c r="AF54" s="60"/>
      <c r="AG54" s="57"/>
      <c r="AH54" s="51"/>
      <c r="AI54" s="51"/>
      <c r="AJ54" s="51"/>
      <c r="AK54" s="51"/>
      <c r="AL54" s="51"/>
      <c r="AM54" s="51"/>
      <c r="AN54" s="51"/>
      <c r="AO54" s="51"/>
      <c r="AP54" s="51"/>
      <c r="AQ54" s="51"/>
      <c r="AR54" s="51"/>
      <c r="AS54" s="201">
        <v>0</v>
      </c>
      <c r="AT54" s="57"/>
      <c r="AU54" s="51"/>
      <c r="AV54" s="51"/>
      <c r="AW54" s="51"/>
      <c r="AX54" s="51"/>
      <c r="AY54" s="51"/>
      <c r="AZ54" s="51"/>
      <c r="BA54" s="51"/>
      <c r="BB54" s="51"/>
      <c r="BC54" s="51"/>
      <c r="BD54" s="51"/>
      <c r="BE54" s="51"/>
      <c r="BF54" s="201">
        <v>0</v>
      </c>
    </row>
    <row r="55" spans="1:58" ht="15" customHeight="1" x14ac:dyDescent="0.45">
      <c r="A55" t="s">
        <v>33</v>
      </c>
      <c r="B55" t="s">
        <v>191</v>
      </c>
      <c r="C55" t="s">
        <v>201</v>
      </c>
      <c r="D55" t="s">
        <v>199</v>
      </c>
      <c r="E55" t="s">
        <v>202</v>
      </c>
      <c r="F55" s="57"/>
      <c r="G55" s="51">
        <v>0</v>
      </c>
      <c r="H55" s="51"/>
      <c r="I55" s="125"/>
      <c r="J55" s="51"/>
      <c r="K55" s="51"/>
      <c r="L55" s="51"/>
      <c r="M55" s="51"/>
      <c r="N55" s="51"/>
      <c r="O55" s="51"/>
      <c r="P55" s="51"/>
      <c r="Q55" s="51"/>
      <c r="R55" s="51"/>
      <c r="S55" s="51"/>
      <c r="T55" s="51">
        <v>0</v>
      </c>
      <c r="U55" s="122"/>
      <c r="V55" s="60">
        <v>0</v>
      </c>
      <c r="W55" s="60"/>
      <c r="X55" s="60"/>
      <c r="Y55" s="60"/>
      <c r="Z55" s="60"/>
      <c r="AA55" s="60"/>
      <c r="AB55" s="60"/>
      <c r="AC55" s="60"/>
      <c r="AD55" s="60"/>
      <c r="AE55" s="60"/>
      <c r="AF55" s="60"/>
      <c r="AG55" s="57"/>
      <c r="AH55" s="51"/>
      <c r="AI55" s="51"/>
      <c r="AJ55" s="51"/>
      <c r="AK55" s="51"/>
      <c r="AL55" s="51"/>
      <c r="AM55" s="51"/>
      <c r="AN55" s="51"/>
      <c r="AO55" s="51"/>
      <c r="AP55" s="51"/>
      <c r="AQ55" s="51"/>
      <c r="AR55" s="51"/>
      <c r="AS55" s="201">
        <v>0</v>
      </c>
      <c r="AT55" s="57"/>
      <c r="AU55" s="51"/>
      <c r="AV55" s="51"/>
      <c r="AW55" s="51"/>
      <c r="AX55" s="51"/>
      <c r="AY55" s="51"/>
      <c r="AZ55" s="51"/>
      <c r="BA55" s="51"/>
      <c r="BB55" s="51"/>
      <c r="BC55" s="51"/>
      <c r="BD55" s="51"/>
      <c r="BE55" s="51"/>
      <c r="BF55" s="201">
        <v>0</v>
      </c>
    </row>
    <row r="56" spans="1:58" ht="15" customHeight="1" x14ac:dyDescent="0.45">
      <c r="A56" t="s">
        <v>141</v>
      </c>
      <c r="F56" s="20">
        <f>SUBTOTAL(109,ndp_SP4[idp_aff_sp4])</f>
        <v>0</v>
      </c>
      <c r="G56" s="13">
        <f>SUBTOTAL(109,ndp_SP4[ndp_aff_sp4])</f>
        <v>2783028</v>
      </c>
      <c r="H56" s="13">
        <f>SUBTOTAL(109,ndp_SP4[overall_aff_sp4])</f>
        <v>0</v>
      </c>
      <c r="I56" s="127">
        <f>SUBTOTAL(109,ndp_SP4[sp4_ndp_pin_ed])</f>
        <v>0</v>
      </c>
      <c r="J56" s="14">
        <f>SUBTOTAL(109,ndp_SP4[sp4_ndp_pin_fl])</f>
        <v>616043</v>
      </c>
      <c r="K56" s="14">
        <f>SUBTOTAL(109,ndp_SP4[sp4_ndp_pin_he])</f>
        <v>0</v>
      </c>
      <c r="L56" s="14">
        <f>SUBTOTAL(109,ndp_SP4[sp4_ndp_pin_pr])</f>
        <v>0</v>
      </c>
      <c r="M56" s="14">
        <f>SUBTOTAL(109,ndp_SP4[sp4_ndp_pin_sn])</f>
        <v>0</v>
      </c>
      <c r="N56" s="14">
        <f>SUBTOTAL(109,ndp_SP4[sp4_ndp_pin_wa])</f>
        <v>0</v>
      </c>
      <c r="O56" s="14">
        <f>SUBTOTAL(109,ndp_SP4[sp4_ndp_pin_gp])</f>
        <v>0</v>
      </c>
      <c r="P56" s="14">
        <f>SUBTOTAL(109,ndp_SP4[sp4_ndp_pin_cp])</f>
        <v>0</v>
      </c>
      <c r="Q56" s="14">
        <f>SUBTOTAL(109,ndp_SP4[sp4_ndp_pin_gb])</f>
        <v>0</v>
      </c>
      <c r="R56" s="14">
        <f>SUBTOTAL(109,ndp_SP4[sp4_ndp_pin_fs])</f>
        <v>0</v>
      </c>
      <c r="S56" s="14">
        <f>SUBTOTAL(109,ndp_SP4[sp4_ndp_pin_li])</f>
        <v>616043</v>
      </c>
      <c r="T56" s="13">
        <f>SUBTOTAL(109,ndp_SP4[sp4_ndp_pin_adopted])</f>
        <v>616043</v>
      </c>
      <c r="U56" s="123"/>
      <c r="V56" s="12"/>
      <c r="W56" s="12"/>
      <c r="X56" s="12"/>
      <c r="Y56" s="12"/>
      <c r="Z56" s="12"/>
      <c r="AA56" s="12"/>
      <c r="AB56" s="12"/>
      <c r="AC56" s="12"/>
      <c r="AD56" s="12"/>
      <c r="AE56" s="12"/>
      <c r="AF56" s="11"/>
      <c r="AG56" s="209">
        <f>SUBTOTAL(109,ndp_SP4[sp4_ndp_target_ed])</f>
        <v>0</v>
      </c>
      <c r="AH56" s="210">
        <f>SUBTOTAL(109,ndp_SP4[sp4_ndp_target_fl])</f>
        <v>238951</v>
      </c>
      <c r="AI56" s="210">
        <f>SUBTOTAL(109,ndp_SP4[sp4_ndp_target_he])</f>
        <v>0</v>
      </c>
      <c r="AJ56" s="210">
        <f>SUBTOTAL(109,ndp_SP4[sp4_ndp_target_pr])</f>
        <v>0</v>
      </c>
      <c r="AK56" s="210">
        <f>SUBTOTAL(109,ndp_SP4[sp4_ndp_target_sn])</f>
        <v>0</v>
      </c>
      <c r="AL56" s="210">
        <f>SUBTOTAL(109,ndp_SP4[sp4_ndp_target_wa])</f>
        <v>0</v>
      </c>
      <c r="AM56" s="210">
        <f>SUBTOTAL(109,ndp_SP4[sp4_ndp_target_gp])</f>
        <v>0</v>
      </c>
      <c r="AN56" s="210">
        <f>SUBTOTAL(109,ndp_SP4[sp4_ndp_target_cp])</f>
        <v>0</v>
      </c>
      <c r="AO56" s="210">
        <f>SUBTOTAL(109,ndp_SP4[sp4_ndp_target_gb])</f>
        <v>0</v>
      </c>
      <c r="AP56" s="210">
        <f>SUBTOTAL(109,ndp_SP4[sp4_ndp_target_fs])</f>
        <v>0</v>
      </c>
      <c r="AQ56" s="210">
        <f>SUBTOTAL(109,ndp_SP4[sp4_ndp_target_li])</f>
        <v>238951</v>
      </c>
      <c r="AR56" s="210">
        <f>SUBTOTAL(109,ndp_SP4[sp4_ndp_target_cw])</f>
        <v>0</v>
      </c>
      <c r="AS56" s="211">
        <f>SUBTOTAL(109,ndp_SP4[sp4_ndp_target_joint])</f>
        <v>238951</v>
      </c>
      <c r="AT56" s="209">
        <f>SUBTOTAL(109,ndp_SP4[sp4_ndp_targetPr_ed])</f>
        <v>0</v>
      </c>
      <c r="AU56" s="210">
        <f>SUBTOTAL(109,ndp_SP4[sp4_ndp_targetPr_fl])</f>
        <v>229561</v>
      </c>
      <c r="AV56" s="210">
        <f>SUBTOTAL(109,ndp_SP4[sp4_ndp_targetPr_he])</f>
        <v>0</v>
      </c>
      <c r="AW56" s="210">
        <f>SUBTOTAL(109,ndp_SP4[sp4_ndp_targetPr_pr])</f>
        <v>0</v>
      </c>
      <c r="AX56" s="210">
        <f>SUBTOTAL(109,ndp_SP4[sp4_ndp_targetPr_sn])</f>
        <v>0</v>
      </c>
      <c r="AY56" s="210">
        <f>SUBTOTAL(109,ndp_SP4[sp4_ndp_targetPr_wa])</f>
        <v>0</v>
      </c>
      <c r="AZ56" s="210">
        <f>SUBTOTAL(109,ndp_SP4[sp4_ndp_targetPr_gp])</f>
        <v>0</v>
      </c>
      <c r="BA56" s="210">
        <f>SUBTOTAL(109,ndp_SP4[sp4_ndp_targetPr_cp])</f>
        <v>0</v>
      </c>
      <c r="BB56" s="210">
        <f>SUBTOTAL(109,ndp_SP4[sp4_ndp_targetPr_gb])</f>
        <v>0</v>
      </c>
      <c r="BC56" s="210">
        <f>SUBTOTAL(109,ndp_SP4[sp4_ndp_targetPr_fs])</f>
        <v>0</v>
      </c>
      <c r="BD56" s="210">
        <f>SUBTOTAL(109,ndp_SP4[sp4_ndp_targetPr_li])</f>
        <v>229561</v>
      </c>
      <c r="BE56" s="210">
        <f>SUBTOTAL(109,ndp_SP4[sp4_ndp_targetPr_cw])</f>
        <v>0</v>
      </c>
      <c r="BF56" s="211">
        <f>SUBTOTAL(109,ndp_SP4[sp4_ndp_targetPr_joint])</f>
        <v>229561</v>
      </c>
    </row>
    <row r="60" spans="1:58" s="66" customFormat="1" ht="15" customHeight="1" x14ac:dyDescent="0.5">
      <c r="AG60" s="98"/>
      <c r="AH60" s="98"/>
      <c r="AI60" s="98"/>
      <c r="AJ60" s="98"/>
      <c r="AK60" s="98"/>
      <c r="AL60" s="98"/>
      <c r="AM60" s="98"/>
      <c r="AN60" s="98"/>
      <c r="AO60" s="98"/>
      <c r="AP60" s="98"/>
      <c r="AQ60" s="98"/>
      <c r="AR60" s="98"/>
      <c r="AS60" s="98"/>
    </row>
    <row r="61" spans="1:58" s="66" customFormat="1" ht="15" customHeight="1" x14ac:dyDescent="0.5">
      <c r="AG61" s="99"/>
      <c r="AH61" s="99"/>
      <c r="AI61" s="99"/>
      <c r="AJ61" s="99"/>
      <c r="AK61" s="99"/>
      <c r="AL61" s="99"/>
      <c r="AM61" s="99"/>
      <c r="AN61" s="99"/>
      <c r="AO61" s="99"/>
      <c r="AP61" s="99"/>
      <c r="AQ61" s="99"/>
      <c r="AR61" s="99"/>
      <c r="AS61" s="99"/>
    </row>
  </sheetData>
  <mergeCells count="1">
    <mergeCell ref="T5:T6"/>
  </mergeCells>
  <phoneticPr fontId="2" type="noConversion"/>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C4DA0-BD62-498C-88BC-6B74F0D8F755}">
  <sheetPr codeName="Sheet25"/>
  <dimension ref="A1:I77"/>
  <sheetViews>
    <sheetView showGridLines="0" zoomScaleNormal="100" workbookViewId="0">
      <pane ySplit="5" topLeftCell="A6" activePane="bottomLeft" state="frozen"/>
      <selection pane="bottomLeft" activeCell="A2" sqref="A2"/>
    </sheetView>
  </sheetViews>
  <sheetFormatPr defaultColWidth="7.1328125" defaultRowHeight="14.25" x14ac:dyDescent="0.45"/>
  <cols>
    <col min="1" max="1" width="18.86328125" customWidth="1"/>
    <col min="2" max="2" width="13.53125" customWidth="1"/>
    <col min="3" max="3" width="13.86328125" customWidth="1"/>
    <col min="4" max="4" width="17.53125" customWidth="1"/>
    <col min="5" max="5" width="14.6640625" customWidth="1"/>
    <col min="6" max="6" width="15.19921875" bestFit="1" customWidth="1"/>
    <col min="7" max="7" width="18.1328125" customWidth="1"/>
    <col min="8" max="8" width="18.6640625" bestFit="1" customWidth="1"/>
    <col min="9" max="9" width="24.19921875" bestFit="1" customWidth="1"/>
    <col min="10" max="11" width="9.1328125" customWidth="1"/>
  </cols>
  <sheetData>
    <row r="1" spans="1:9" ht="18" customHeight="1" x14ac:dyDescent="0.45">
      <c r="A1" s="26" t="s">
        <v>730</v>
      </c>
    </row>
    <row r="2" spans="1:9" s="300" customFormat="1" ht="18.600000000000001" customHeight="1" x14ac:dyDescent="0.45">
      <c r="A2" s="297" t="s">
        <v>4332</v>
      </c>
    </row>
    <row r="3" spans="1:9" s="300" customFormat="1" ht="14.65" customHeight="1" x14ac:dyDescent="0.45">
      <c r="A3" s="5" t="str">
        <f>ActivityList!A3</f>
        <v>Release Date: 13 January 2026</v>
      </c>
    </row>
    <row r="5" spans="1:9" x14ac:dyDescent="0.45">
      <c r="A5" t="s">
        <v>3778</v>
      </c>
      <c r="B5" t="s">
        <v>139</v>
      </c>
      <c r="C5" t="s">
        <v>215</v>
      </c>
      <c r="D5" t="s">
        <v>216</v>
      </c>
      <c r="E5" t="s">
        <v>217</v>
      </c>
      <c r="F5" t="s">
        <v>218</v>
      </c>
      <c r="G5" t="s">
        <v>219</v>
      </c>
      <c r="H5" t="s">
        <v>220</v>
      </c>
      <c r="I5" t="s">
        <v>4265</v>
      </c>
    </row>
    <row r="6" spans="1:9" x14ac:dyDescent="0.45">
      <c r="A6" t="s">
        <v>3777</v>
      </c>
      <c r="B6" t="s">
        <v>4034</v>
      </c>
      <c r="C6" s="50">
        <v>0.1398352214333701</v>
      </c>
      <c r="D6" s="50">
        <v>0.1427779668688586</v>
      </c>
      <c r="E6" s="50">
        <v>0.29177762435447419</v>
      </c>
      <c r="F6" s="50">
        <v>0.18715951832444072</v>
      </c>
      <c r="G6" s="50">
        <v>0.15133756695402356</v>
      </c>
      <c r="H6" s="50">
        <v>8.7112102064832678E-2</v>
      </c>
      <c r="I6" s="50">
        <v>0.13729259998623222</v>
      </c>
    </row>
    <row r="7" spans="1:9" x14ac:dyDescent="0.45">
      <c r="A7" t="s">
        <v>3779</v>
      </c>
      <c r="B7" t="s">
        <v>4034</v>
      </c>
      <c r="C7" s="50">
        <v>9.5538817321710809E-2</v>
      </c>
      <c r="D7" s="50">
        <v>9.3292948904210568E-2</v>
      </c>
      <c r="E7" s="50">
        <v>0.25350533961020832</v>
      </c>
      <c r="F7" s="50">
        <v>0.2595911590074938</v>
      </c>
      <c r="G7" s="50">
        <v>0.18989066715941094</v>
      </c>
      <c r="H7" s="50">
        <v>0.10818106799696559</v>
      </c>
      <c r="I7" s="50">
        <v>0.12792385253776656</v>
      </c>
    </row>
    <row r="8" spans="1:9" x14ac:dyDescent="0.45">
      <c r="A8" t="s">
        <v>221</v>
      </c>
      <c r="B8" t="s">
        <v>4034</v>
      </c>
      <c r="C8" s="50">
        <v>0.10752545200629969</v>
      </c>
      <c r="D8" s="50">
        <v>0.10668362574577454</v>
      </c>
      <c r="E8" s="50">
        <v>0.26386184382255207</v>
      </c>
      <c r="F8" s="50">
        <v>0.23999111169248741</v>
      </c>
      <c r="G8" s="50">
        <v>0.17945817410748188</v>
      </c>
      <c r="H8" s="50">
        <v>0.10247979262540437</v>
      </c>
      <c r="I8" s="50">
        <v>0.13045904146267012</v>
      </c>
    </row>
    <row r="9" spans="1:9" x14ac:dyDescent="0.45">
      <c r="A9" t="s">
        <v>3780</v>
      </c>
      <c r="B9" t="s">
        <v>4034</v>
      </c>
      <c r="C9" s="50">
        <v>0.13649806352863306</v>
      </c>
      <c r="D9" s="50">
        <v>0.13665259467996882</v>
      </c>
      <c r="E9" s="50">
        <v>0.29785209668350704</v>
      </c>
      <c r="F9" s="50">
        <v>0.19099356337735546</v>
      </c>
      <c r="G9" s="50">
        <v>0.15211452023688152</v>
      </c>
      <c r="H9" s="50">
        <v>8.5889161493654068E-2</v>
      </c>
      <c r="I9" s="50">
        <v>0.14566191700809972</v>
      </c>
    </row>
    <row r="10" spans="1:9" x14ac:dyDescent="0.45">
      <c r="A10" t="s">
        <v>3781</v>
      </c>
      <c r="B10" t="s">
        <v>4034</v>
      </c>
      <c r="C10" s="50">
        <v>0.1649571106171992</v>
      </c>
      <c r="D10" s="50">
        <v>0.1657768901285103</v>
      </c>
      <c r="E10" s="50">
        <v>0.27674504671953581</v>
      </c>
      <c r="F10" s="50">
        <v>0.17371061961241396</v>
      </c>
      <c r="G10" s="50">
        <v>0.14041938797632947</v>
      </c>
      <c r="H10" s="50">
        <v>7.8390944946011162E-2</v>
      </c>
      <c r="I10" s="50">
        <v>0.13312101929282963</v>
      </c>
    </row>
    <row r="11" spans="1:9" x14ac:dyDescent="0.45">
      <c r="A11" t="s">
        <v>3782</v>
      </c>
      <c r="B11" t="s">
        <v>4034</v>
      </c>
      <c r="C11" s="50">
        <v>0.13022286108718201</v>
      </c>
      <c r="D11" s="50">
        <v>0.17256608128339473</v>
      </c>
      <c r="E11" s="50">
        <v>0.23239221514209749</v>
      </c>
      <c r="F11" s="50">
        <v>0.21350452511992807</v>
      </c>
      <c r="G11" s="50">
        <v>0.15192264229691632</v>
      </c>
      <c r="H11" s="50">
        <v>9.9391675070481397E-2</v>
      </c>
      <c r="I11" s="50">
        <v>0.12543988935867934</v>
      </c>
    </row>
    <row r="12" spans="1:9" x14ac:dyDescent="0.45">
      <c r="A12" t="s">
        <v>3776</v>
      </c>
      <c r="B12" t="s">
        <v>4034</v>
      </c>
      <c r="C12" s="50">
        <v>0.17739685765953875</v>
      </c>
      <c r="D12" s="50">
        <v>0.17230557146490161</v>
      </c>
      <c r="E12" s="50">
        <v>0.27393420476579489</v>
      </c>
      <c r="F12" s="50">
        <v>0.1650434046667619</v>
      </c>
      <c r="G12" s="50">
        <v>0.13895350161843834</v>
      </c>
      <c r="H12" s="50">
        <v>7.236645982456448E-2</v>
      </c>
      <c r="I12" s="50">
        <v>0.13392215701062782</v>
      </c>
    </row>
    <row r="13" spans="1:9" x14ac:dyDescent="0.45">
      <c r="A13" t="s">
        <v>3783</v>
      </c>
      <c r="B13" t="s">
        <v>4034</v>
      </c>
      <c r="C13" s="50">
        <v>7.7213311391850351E-2</v>
      </c>
      <c r="D13" s="50">
        <v>8.1365675034159063E-2</v>
      </c>
      <c r="E13" s="50">
        <v>0.27578232304981354</v>
      </c>
      <c r="F13" s="50">
        <v>0.28919197801642299</v>
      </c>
      <c r="G13" s="50">
        <v>0.1744886600279712</v>
      </c>
      <c r="H13" s="50">
        <v>0.10195805247978285</v>
      </c>
      <c r="I13" s="50">
        <v>0.11999999999999994</v>
      </c>
    </row>
    <row r="14" spans="1:9" x14ac:dyDescent="0.45">
      <c r="A14" t="s">
        <v>222</v>
      </c>
      <c r="B14" t="s">
        <v>4034</v>
      </c>
      <c r="C14" s="50">
        <v>0.13440697600275431</v>
      </c>
      <c r="D14" s="50">
        <v>0.17174824999697885</v>
      </c>
      <c r="E14" s="50">
        <v>0.23773499198806478</v>
      </c>
      <c r="F14" s="50">
        <v>0.20871092008064329</v>
      </c>
      <c r="G14" s="50">
        <v>0.15053695126769762</v>
      </c>
      <c r="H14" s="50">
        <v>9.6861910663861128E-2</v>
      </c>
      <c r="I14" s="50">
        <v>0.12636516428935413</v>
      </c>
    </row>
    <row r="15" spans="1:9" x14ac:dyDescent="0.45">
      <c r="A15" t="s">
        <v>223</v>
      </c>
      <c r="B15" t="s">
        <v>4034</v>
      </c>
      <c r="C15" s="50">
        <v>0.16993994436901852</v>
      </c>
      <c r="D15" s="50">
        <v>0.16553668627769744</v>
      </c>
      <c r="E15" s="50">
        <v>0.27407176485732659</v>
      </c>
      <c r="F15" s="50">
        <v>0.17428409519029953</v>
      </c>
      <c r="G15" s="50">
        <v>0.14159847282275931</v>
      </c>
      <c r="H15" s="50">
        <v>7.456903648289874E-2</v>
      </c>
      <c r="I15" s="50">
        <v>0.13288589585285382</v>
      </c>
    </row>
    <row r="16" spans="1:9" x14ac:dyDescent="0.45">
      <c r="A16" t="s">
        <v>11</v>
      </c>
      <c r="B16" t="s">
        <v>4034</v>
      </c>
      <c r="C16" s="50">
        <v>0.1208824974707117</v>
      </c>
      <c r="D16" s="50">
        <v>0.12504768400175573</v>
      </c>
      <c r="E16" s="50">
        <v>0.26365232516532722</v>
      </c>
      <c r="F16" s="50">
        <v>0.22430381040081915</v>
      </c>
      <c r="G16" s="50">
        <v>0.16894159959157945</v>
      </c>
      <c r="H16" s="50">
        <v>9.7172083369806844E-2</v>
      </c>
      <c r="I16" s="50">
        <v>0.13117178142367095</v>
      </c>
    </row>
    <row r="17" spans="1:9" x14ac:dyDescent="0.45">
      <c r="A17" t="s">
        <v>3777</v>
      </c>
      <c r="B17" t="s">
        <v>143</v>
      </c>
      <c r="C17" s="50">
        <v>0.37</v>
      </c>
      <c r="D17" s="50">
        <v>0.35</v>
      </c>
      <c r="E17" s="50">
        <v>0.15</v>
      </c>
      <c r="F17" s="50">
        <v>0.05</v>
      </c>
      <c r="G17" s="50">
        <v>0.06</v>
      </c>
      <c r="H17" s="50">
        <v>0.02</v>
      </c>
      <c r="I17" s="50">
        <v>0.13900000000000001</v>
      </c>
    </row>
    <row r="18" spans="1:9" x14ac:dyDescent="0.45">
      <c r="A18" t="s">
        <v>3779</v>
      </c>
      <c r="B18" t="s">
        <v>143</v>
      </c>
      <c r="C18" s="50">
        <v>0.37</v>
      </c>
      <c r="D18" s="50">
        <v>0.35</v>
      </c>
      <c r="E18" s="50">
        <v>0.15</v>
      </c>
      <c r="F18" s="50">
        <v>0.05</v>
      </c>
      <c r="G18" s="50">
        <v>0.06</v>
      </c>
      <c r="H18" s="50">
        <v>0.02</v>
      </c>
      <c r="I18" s="50">
        <v>0.13900000000000001</v>
      </c>
    </row>
    <row r="19" spans="1:9" x14ac:dyDescent="0.45">
      <c r="A19" t="s">
        <v>3780</v>
      </c>
      <c r="B19" t="s">
        <v>143</v>
      </c>
      <c r="C19" s="50">
        <v>0.43</v>
      </c>
      <c r="D19" s="50">
        <v>0.41</v>
      </c>
      <c r="E19" s="50">
        <v>0.12</v>
      </c>
      <c r="F19" s="50">
        <v>0.02</v>
      </c>
      <c r="G19" s="50">
        <v>0.01</v>
      </c>
      <c r="H19" s="50">
        <v>0.01</v>
      </c>
      <c r="I19" s="50">
        <v>0.13900000000000001</v>
      </c>
    </row>
    <row r="20" spans="1:9" x14ac:dyDescent="0.45">
      <c r="A20" t="s">
        <v>3781</v>
      </c>
      <c r="B20" t="s">
        <v>143</v>
      </c>
      <c r="C20" s="50">
        <v>0.39</v>
      </c>
      <c r="D20" s="50">
        <v>0.37</v>
      </c>
      <c r="E20" s="50">
        <v>0.16</v>
      </c>
      <c r="F20" s="50">
        <v>0.02</v>
      </c>
      <c r="G20" s="50">
        <v>0.05</v>
      </c>
      <c r="H20" s="50">
        <v>0.01</v>
      </c>
      <c r="I20" s="50">
        <v>0.13900000000000001</v>
      </c>
    </row>
    <row r="21" spans="1:9" x14ac:dyDescent="0.45">
      <c r="A21" t="s">
        <v>3782</v>
      </c>
      <c r="B21" t="s">
        <v>143</v>
      </c>
      <c r="C21" s="50">
        <v>0.39</v>
      </c>
      <c r="D21" s="50">
        <v>0.37</v>
      </c>
      <c r="E21" s="50">
        <v>0.13</v>
      </c>
      <c r="F21" s="50">
        <v>0.03</v>
      </c>
      <c r="G21" s="50">
        <v>0.05</v>
      </c>
      <c r="H21" s="50">
        <v>0.03</v>
      </c>
      <c r="I21" s="50">
        <v>0.13900000000000001</v>
      </c>
    </row>
    <row r="22" spans="1:9" x14ac:dyDescent="0.45">
      <c r="A22" t="s">
        <v>3776</v>
      </c>
      <c r="B22" t="s">
        <v>143</v>
      </c>
      <c r="C22" s="50">
        <v>0.37</v>
      </c>
      <c r="D22" s="50">
        <v>0.36</v>
      </c>
      <c r="E22" s="50">
        <v>0.15</v>
      </c>
      <c r="F22" s="50">
        <v>0.04</v>
      </c>
      <c r="G22" s="50">
        <v>7.0000000000000007E-2</v>
      </c>
      <c r="H22" s="50">
        <v>0.01</v>
      </c>
      <c r="I22" s="50">
        <v>0.13900000000000001</v>
      </c>
    </row>
    <row r="23" spans="1:9" x14ac:dyDescent="0.45">
      <c r="A23" t="s">
        <v>3777</v>
      </c>
      <c r="B23" t="s">
        <v>354</v>
      </c>
      <c r="C23" s="50">
        <v>0.12</v>
      </c>
      <c r="D23" s="50">
        <v>0.13</v>
      </c>
      <c r="E23" s="50">
        <v>0.3</v>
      </c>
      <c r="F23" s="50">
        <v>0.21</v>
      </c>
      <c r="G23" s="50">
        <v>0.15</v>
      </c>
      <c r="H23" s="50">
        <v>0.09</v>
      </c>
      <c r="I23" s="50">
        <v>0.16</v>
      </c>
    </row>
    <row r="24" spans="1:9" x14ac:dyDescent="0.45">
      <c r="A24" t="s">
        <v>3779</v>
      </c>
      <c r="B24" t="s">
        <v>354</v>
      </c>
      <c r="C24" s="50">
        <v>0.06</v>
      </c>
      <c r="D24" s="50">
        <v>0.06</v>
      </c>
      <c r="E24" s="50">
        <v>0.26</v>
      </c>
      <c r="F24" s="50">
        <v>0.3</v>
      </c>
      <c r="G24" s="50">
        <v>0.2</v>
      </c>
      <c r="H24" s="50">
        <v>0.12</v>
      </c>
      <c r="I24" s="50">
        <v>0.16</v>
      </c>
    </row>
    <row r="25" spans="1:9" x14ac:dyDescent="0.45">
      <c r="A25" t="s">
        <v>3780</v>
      </c>
      <c r="B25" t="s">
        <v>354</v>
      </c>
      <c r="C25" s="50">
        <v>0.12</v>
      </c>
      <c r="D25" s="50">
        <v>0.13</v>
      </c>
      <c r="E25" s="50">
        <v>0.3</v>
      </c>
      <c r="F25" s="50">
        <v>0.21</v>
      </c>
      <c r="G25" s="50">
        <v>0.15</v>
      </c>
      <c r="H25" s="50">
        <v>0.09</v>
      </c>
      <c r="I25" s="50">
        <v>0.16</v>
      </c>
    </row>
    <row r="26" spans="1:9" x14ac:dyDescent="0.45">
      <c r="A26" t="s">
        <v>3781</v>
      </c>
      <c r="B26" t="s">
        <v>354</v>
      </c>
      <c r="C26" s="50">
        <v>0.12</v>
      </c>
      <c r="D26" s="50">
        <v>0.13</v>
      </c>
      <c r="E26" s="50">
        <v>0.3</v>
      </c>
      <c r="F26" s="50">
        <v>0.21</v>
      </c>
      <c r="G26" s="50">
        <v>0.15</v>
      </c>
      <c r="H26" s="50">
        <v>0.09</v>
      </c>
      <c r="I26" s="50">
        <v>0.16</v>
      </c>
    </row>
    <row r="27" spans="1:9" x14ac:dyDescent="0.45">
      <c r="A27" t="s">
        <v>3782</v>
      </c>
      <c r="B27" t="s">
        <v>354</v>
      </c>
      <c r="C27" s="50">
        <v>0.08</v>
      </c>
      <c r="D27" s="50">
        <v>0.08</v>
      </c>
      <c r="E27" s="50">
        <v>0.28999999999999998</v>
      </c>
      <c r="F27" s="50">
        <v>0.27</v>
      </c>
      <c r="G27" s="50">
        <v>0.11</v>
      </c>
      <c r="H27" s="50">
        <v>0.17</v>
      </c>
      <c r="I27" s="50">
        <v>0.16</v>
      </c>
    </row>
    <row r="28" spans="1:9" x14ac:dyDescent="0.45">
      <c r="A28" t="s">
        <v>3776</v>
      </c>
      <c r="B28" t="s">
        <v>354</v>
      </c>
      <c r="C28" s="50">
        <v>0.12</v>
      </c>
      <c r="D28" s="50">
        <v>0.13</v>
      </c>
      <c r="E28" s="50">
        <v>0.3</v>
      </c>
      <c r="F28" s="50">
        <v>0.21</v>
      </c>
      <c r="G28" s="50">
        <v>0.15</v>
      </c>
      <c r="H28" s="50">
        <v>0.09</v>
      </c>
      <c r="I28" s="50">
        <v>0.16</v>
      </c>
    </row>
    <row r="29" spans="1:9" x14ac:dyDescent="0.45">
      <c r="A29" t="s">
        <v>3777</v>
      </c>
      <c r="B29" t="s">
        <v>145</v>
      </c>
      <c r="C29" s="50">
        <v>0.1187</v>
      </c>
      <c r="D29" s="50">
        <v>0.12620000000000001</v>
      </c>
      <c r="E29" s="50">
        <v>0.30480000000000002</v>
      </c>
      <c r="F29" s="50">
        <v>0.21060000000000001</v>
      </c>
      <c r="G29" s="50">
        <v>0.15</v>
      </c>
      <c r="H29" s="50">
        <v>8.9700000000000002E-2</v>
      </c>
      <c r="I29" s="50">
        <v>0.13900000000000001</v>
      </c>
    </row>
    <row r="30" spans="1:9" x14ac:dyDescent="0.45">
      <c r="A30" t="s">
        <v>3779</v>
      </c>
      <c r="B30" t="s">
        <v>145</v>
      </c>
      <c r="C30" s="50">
        <v>7.7200000000000005E-2</v>
      </c>
      <c r="D30" s="50">
        <v>8.14E-2</v>
      </c>
      <c r="E30" s="50">
        <v>0.2757</v>
      </c>
      <c r="F30" s="50">
        <v>0.28920000000000001</v>
      </c>
      <c r="G30" s="50">
        <v>0.17449999999999999</v>
      </c>
      <c r="H30" s="50">
        <v>0.10199999999999999</v>
      </c>
      <c r="I30" s="50">
        <v>0.13900000000000001</v>
      </c>
    </row>
    <row r="31" spans="1:9" x14ac:dyDescent="0.45">
      <c r="A31" t="s">
        <v>3780</v>
      </c>
      <c r="B31" t="s">
        <v>145</v>
      </c>
      <c r="C31" s="50">
        <v>0.1187</v>
      </c>
      <c r="D31" s="50">
        <v>0.12620000000000001</v>
      </c>
      <c r="E31" s="50">
        <v>0.30480000000000002</v>
      </c>
      <c r="F31" s="50">
        <v>0.21060000000000001</v>
      </c>
      <c r="G31" s="50">
        <v>0.15</v>
      </c>
      <c r="H31" s="50">
        <v>8.9700000000000002E-2</v>
      </c>
      <c r="I31" s="50">
        <v>0.13900000000000001</v>
      </c>
    </row>
    <row r="32" spans="1:9" x14ac:dyDescent="0.45">
      <c r="A32" t="s">
        <v>3781</v>
      </c>
      <c r="B32" t="s">
        <v>145</v>
      </c>
      <c r="C32" s="50">
        <v>0.1187</v>
      </c>
      <c r="D32" s="50">
        <v>0.12620000000000001</v>
      </c>
      <c r="E32" s="50">
        <v>0.30480000000000002</v>
      </c>
      <c r="F32" s="50">
        <v>0.21060000000000001</v>
      </c>
      <c r="G32" s="50">
        <v>0.15</v>
      </c>
      <c r="H32" s="50">
        <v>8.9700000000000002E-2</v>
      </c>
      <c r="I32" s="50">
        <v>0.13900000000000001</v>
      </c>
    </row>
    <row r="33" spans="1:9" x14ac:dyDescent="0.45">
      <c r="A33" t="s">
        <v>3782</v>
      </c>
      <c r="B33" t="s">
        <v>145</v>
      </c>
      <c r="C33" s="50">
        <v>9.7950000000000009E-2</v>
      </c>
      <c r="D33" s="50">
        <v>0.1038</v>
      </c>
      <c r="E33" s="50">
        <v>0.2903</v>
      </c>
      <c r="F33" s="50">
        <v>0.24979999999999999</v>
      </c>
      <c r="G33" s="50">
        <v>0.1623</v>
      </c>
      <c r="H33" s="50">
        <v>9.5849999999999991E-2</v>
      </c>
      <c r="I33" s="50">
        <v>0.13900000000000001</v>
      </c>
    </row>
    <row r="34" spans="1:9" x14ac:dyDescent="0.45">
      <c r="A34" t="s">
        <v>3776</v>
      </c>
      <c r="B34" t="s">
        <v>145</v>
      </c>
      <c r="C34" s="50">
        <v>0.1187</v>
      </c>
      <c r="D34" s="50">
        <v>0.12620000000000001</v>
      </c>
      <c r="E34" s="50">
        <v>0.30480000000000002</v>
      </c>
      <c r="F34" s="50">
        <v>0.21060000000000001</v>
      </c>
      <c r="G34" s="50">
        <v>0.15</v>
      </c>
      <c r="H34" s="50">
        <v>8.9700000000000002E-2</v>
      </c>
      <c r="I34" s="50">
        <v>0.13900000000000001</v>
      </c>
    </row>
    <row r="35" spans="1:9" x14ac:dyDescent="0.45">
      <c r="A35" t="s">
        <v>3777</v>
      </c>
      <c r="B35" t="s">
        <v>140</v>
      </c>
      <c r="C35" s="50">
        <v>0.51</v>
      </c>
      <c r="D35" s="50">
        <v>0.49</v>
      </c>
      <c r="E35" s="50">
        <v>0</v>
      </c>
      <c r="F35" s="50">
        <v>0</v>
      </c>
      <c r="G35" s="50">
        <v>0</v>
      </c>
      <c r="H35" s="50">
        <v>0</v>
      </c>
      <c r="I35" s="50">
        <v>0.15</v>
      </c>
    </row>
    <row r="36" spans="1:9" x14ac:dyDescent="0.45">
      <c r="A36" t="s">
        <v>3779</v>
      </c>
      <c r="B36" t="s">
        <v>140</v>
      </c>
      <c r="C36" s="50">
        <v>0.51</v>
      </c>
      <c r="D36" s="50">
        <v>0.49</v>
      </c>
      <c r="E36" s="50">
        <v>0</v>
      </c>
      <c r="F36" s="50">
        <v>0</v>
      </c>
      <c r="G36" s="50">
        <v>0</v>
      </c>
      <c r="H36" s="50">
        <v>0</v>
      </c>
      <c r="I36" s="50">
        <v>0.15</v>
      </c>
    </row>
    <row r="37" spans="1:9" x14ac:dyDescent="0.45">
      <c r="A37" t="s">
        <v>3780</v>
      </c>
      <c r="B37" t="s">
        <v>140</v>
      </c>
      <c r="C37" s="50">
        <v>0.51</v>
      </c>
      <c r="D37" s="50">
        <v>0.49</v>
      </c>
      <c r="E37" s="50">
        <v>0</v>
      </c>
      <c r="F37" s="50">
        <v>0</v>
      </c>
      <c r="G37" s="50">
        <v>0</v>
      </c>
      <c r="H37" s="50">
        <v>0</v>
      </c>
      <c r="I37" s="50">
        <v>0.15</v>
      </c>
    </row>
    <row r="38" spans="1:9" x14ac:dyDescent="0.45">
      <c r="A38" t="s">
        <v>3781</v>
      </c>
      <c r="B38" t="s">
        <v>140</v>
      </c>
      <c r="C38" s="50">
        <v>0.51</v>
      </c>
      <c r="D38" s="50">
        <v>0.49</v>
      </c>
      <c r="E38" s="50">
        <v>0</v>
      </c>
      <c r="F38" s="50">
        <v>0</v>
      </c>
      <c r="G38" s="50">
        <v>0</v>
      </c>
      <c r="H38" s="50">
        <v>0</v>
      </c>
      <c r="I38" s="50">
        <v>0.15</v>
      </c>
    </row>
    <row r="39" spans="1:9" x14ac:dyDescent="0.45">
      <c r="A39" t="s">
        <v>3782</v>
      </c>
      <c r="B39" t="s">
        <v>140</v>
      </c>
      <c r="C39" s="50">
        <v>0.51</v>
      </c>
      <c r="D39" s="50">
        <v>0.49</v>
      </c>
      <c r="E39" s="50">
        <v>0</v>
      </c>
      <c r="F39" s="50">
        <v>0</v>
      </c>
      <c r="G39" s="50">
        <v>0</v>
      </c>
      <c r="H39" s="50">
        <v>0</v>
      </c>
      <c r="I39" s="50">
        <v>0.15</v>
      </c>
    </row>
    <row r="40" spans="1:9" x14ac:dyDescent="0.45">
      <c r="A40" t="s">
        <v>3776</v>
      </c>
      <c r="B40" t="s">
        <v>140</v>
      </c>
      <c r="C40" s="50">
        <v>0.51</v>
      </c>
      <c r="D40" s="50">
        <v>0.49</v>
      </c>
      <c r="E40" s="50">
        <v>0</v>
      </c>
      <c r="F40" s="50">
        <v>0</v>
      </c>
      <c r="G40" s="50">
        <v>0</v>
      </c>
      <c r="H40" s="50">
        <v>0</v>
      </c>
      <c r="I40" s="50">
        <v>0.15</v>
      </c>
    </row>
    <row r="41" spans="1:9" x14ac:dyDescent="0.45">
      <c r="A41" t="s">
        <v>3777</v>
      </c>
      <c r="B41" t="s">
        <v>147</v>
      </c>
      <c r="C41" s="50">
        <v>0.11866640842369712</v>
      </c>
      <c r="D41" s="50">
        <v>0.12618878830662961</v>
      </c>
      <c r="E41" s="50">
        <v>0.30482131357539011</v>
      </c>
      <c r="F41" s="50">
        <v>0.21055765166858806</v>
      </c>
      <c r="G41" s="50">
        <v>0.15006642459094302</v>
      </c>
      <c r="H41" s="50">
        <v>8.9699413434752018E-2</v>
      </c>
      <c r="I41" s="50">
        <v>0.15</v>
      </c>
    </row>
    <row r="42" spans="1:9" x14ac:dyDescent="0.45">
      <c r="A42" t="s">
        <v>3779</v>
      </c>
      <c r="B42" t="s">
        <v>147</v>
      </c>
      <c r="C42" s="50">
        <v>2.3515400618629959E-2</v>
      </c>
      <c r="D42" s="50">
        <v>2.2420211892266943E-2</v>
      </c>
      <c r="E42" s="50">
        <v>0.23526764227255761</v>
      </c>
      <c r="F42" s="50">
        <v>0.34930715428067377</v>
      </c>
      <c r="G42" s="50">
        <v>0.23551074000741079</v>
      </c>
      <c r="H42" s="50">
        <v>0.1339788509284609</v>
      </c>
      <c r="I42" s="50">
        <v>0.15</v>
      </c>
    </row>
    <row r="43" spans="1:9" x14ac:dyDescent="0.45">
      <c r="A43" t="s">
        <v>3780</v>
      </c>
      <c r="B43" t="s">
        <v>147</v>
      </c>
      <c r="C43" s="50">
        <v>0.11866640842369712</v>
      </c>
      <c r="D43" s="50">
        <v>0.12618878830662961</v>
      </c>
      <c r="E43" s="50">
        <v>0.30482131357539011</v>
      </c>
      <c r="F43" s="50">
        <v>0.21055765166858806</v>
      </c>
      <c r="G43" s="50">
        <v>0.15006642459094302</v>
      </c>
      <c r="H43" s="50">
        <v>8.9699413434752018E-2</v>
      </c>
      <c r="I43" s="50">
        <v>0.15</v>
      </c>
    </row>
    <row r="44" spans="1:9" x14ac:dyDescent="0.45">
      <c r="A44" t="s">
        <v>3781</v>
      </c>
      <c r="B44" t="s">
        <v>147</v>
      </c>
      <c r="C44" s="50">
        <v>0.11866640842369712</v>
      </c>
      <c r="D44" s="50">
        <v>0.12618878830662961</v>
      </c>
      <c r="E44" s="50">
        <v>0.30482131357539011</v>
      </c>
      <c r="F44" s="50">
        <v>0.21055765166858806</v>
      </c>
      <c r="G44" s="50">
        <v>0.15006642459094302</v>
      </c>
      <c r="H44" s="50">
        <v>8.9699413434752018E-2</v>
      </c>
      <c r="I44" s="50">
        <v>0.15</v>
      </c>
    </row>
    <row r="45" spans="1:9" x14ac:dyDescent="0.45">
      <c r="A45" t="s">
        <v>3782</v>
      </c>
      <c r="B45" t="s">
        <v>147</v>
      </c>
      <c r="C45" s="50">
        <v>5.300158309788551E-2</v>
      </c>
      <c r="D45" s="50">
        <v>5.4696027035668511E-2</v>
      </c>
      <c r="E45" s="50">
        <v>0.25762990857668361</v>
      </c>
      <c r="F45" s="50">
        <v>0.31272244772802837</v>
      </c>
      <c r="G45" s="50">
        <v>0.20435872565759863</v>
      </c>
      <c r="H45" s="50">
        <v>0.11759130790413549</v>
      </c>
      <c r="I45" s="50">
        <v>0.15</v>
      </c>
    </row>
    <row r="46" spans="1:9" x14ac:dyDescent="0.45">
      <c r="A46" t="s">
        <v>3776</v>
      </c>
      <c r="B46" t="s">
        <v>147</v>
      </c>
      <c r="C46" s="50">
        <v>0.11866640842369712</v>
      </c>
      <c r="D46" s="50">
        <v>0.12618878830662961</v>
      </c>
      <c r="E46" s="50">
        <v>0.30482131357539011</v>
      </c>
      <c r="F46" s="50">
        <v>0.21055765166858806</v>
      </c>
      <c r="G46" s="50">
        <v>0.15006642459094302</v>
      </c>
      <c r="H46" s="50">
        <v>8.9699413434752018E-2</v>
      </c>
      <c r="I46" s="50">
        <v>0.15</v>
      </c>
    </row>
    <row r="47" spans="1:9" x14ac:dyDescent="0.45">
      <c r="A47" t="s">
        <v>3777</v>
      </c>
      <c r="B47" t="s">
        <v>148</v>
      </c>
      <c r="C47" s="50">
        <v>0.1187</v>
      </c>
      <c r="D47" s="50">
        <v>0.12620000000000001</v>
      </c>
      <c r="E47" s="50">
        <v>0.30480000000000002</v>
      </c>
      <c r="F47" s="50">
        <v>0.21060000000000001</v>
      </c>
      <c r="G47" s="50">
        <v>0.15010000000000001</v>
      </c>
      <c r="H47" s="50">
        <v>8.9599999999999999E-2</v>
      </c>
      <c r="I47" s="50">
        <v>0.1</v>
      </c>
    </row>
    <row r="48" spans="1:9" x14ac:dyDescent="0.45">
      <c r="A48" t="s">
        <v>3779</v>
      </c>
      <c r="B48" t="s">
        <v>148</v>
      </c>
      <c r="C48" s="50">
        <v>5.6599999999999998E-2</v>
      </c>
      <c r="D48" s="50">
        <v>5.8599999999999999E-2</v>
      </c>
      <c r="E48" s="50">
        <v>0.25950000000000001</v>
      </c>
      <c r="F48" s="50">
        <v>0.3009</v>
      </c>
      <c r="G48" s="50">
        <v>0.20569999999999999</v>
      </c>
      <c r="H48" s="50">
        <v>0.1187</v>
      </c>
      <c r="I48" s="50">
        <v>0.1</v>
      </c>
    </row>
    <row r="49" spans="1:9" x14ac:dyDescent="0.45">
      <c r="A49" t="s">
        <v>3780</v>
      </c>
      <c r="B49" t="s">
        <v>148</v>
      </c>
      <c r="C49" s="50">
        <v>0.1187</v>
      </c>
      <c r="D49" s="50">
        <v>0.12620000000000001</v>
      </c>
      <c r="E49" s="50">
        <v>0.30480000000000002</v>
      </c>
      <c r="F49" s="50">
        <v>0.21060000000000001</v>
      </c>
      <c r="G49" s="50">
        <v>0.15</v>
      </c>
      <c r="H49" s="50">
        <v>8.9700000000000002E-2</v>
      </c>
      <c r="I49" s="50">
        <v>0.1</v>
      </c>
    </row>
    <row r="50" spans="1:9" x14ac:dyDescent="0.45">
      <c r="A50" t="s">
        <v>3781</v>
      </c>
      <c r="B50" t="s">
        <v>148</v>
      </c>
      <c r="C50" s="50">
        <v>0.1187</v>
      </c>
      <c r="D50" s="50">
        <v>0.12620000000000001</v>
      </c>
      <c r="E50" s="50">
        <v>0.30480000000000002</v>
      </c>
      <c r="F50" s="50">
        <v>0.21060000000000001</v>
      </c>
      <c r="G50" s="50">
        <v>0.15</v>
      </c>
      <c r="H50" s="50">
        <v>8.9700000000000002E-2</v>
      </c>
      <c r="I50" s="50">
        <v>0.1</v>
      </c>
    </row>
    <row r="51" spans="1:9" x14ac:dyDescent="0.45">
      <c r="A51" t="s">
        <v>3782</v>
      </c>
      <c r="B51" t="s">
        <v>148</v>
      </c>
      <c r="C51" s="50">
        <v>5.6599999999999998E-2</v>
      </c>
      <c r="D51" s="50">
        <v>5.8599999999999999E-2</v>
      </c>
      <c r="E51" s="50">
        <v>0.25950000000000001</v>
      </c>
      <c r="F51" s="50">
        <v>0.3009</v>
      </c>
      <c r="G51" s="50">
        <v>0.20569999999999999</v>
      </c>
      <c r="H51" s="50">
        <v>0.1187</v>
      </c>
      <c r="I51" s="50">
        <v>0.1</v>
      </c>
    </row>
    <row r="52" spans="1:9" x14ac:dyDescent="0.45">
      <c r="A52" t="s">
        <v>3776</v>
      </c>
      <c r="B52" t="s">
        <v>148</v>
      </c>
      <c r="C52" s="50">
        <v>0.1187</v>
      </c>
      <c r="D52" s="50">
        <v>0.12620000000000001</v>
      </c>
      <c r="E52" s="50">
        <v>0.30480000000000002</v>
      </c>
      <c r="F52" s="50">
        <v>0.21060000000000001</v>
      </c>
      <c r="G52" s="50">
        <v>0.15010000000000001</v>
      </c>
      <c r="H52" s="50">
        <v>8.9599999999999999E-2</v>
      </c>
      <c r="I52" s="50">
        <v>0.1</v>
      </c>
    </row>
    <row r="53" spans="1:9" x14ac:dyDescent="0.45">
      <c r="A53" t="s">
        <v>3777</v>
      </c>
      <c r="B53" t="s">
        <v>149</v>
      </c>
      <c r="C53" s="50">
        <v>0.08</v>
      </c>
      <c r="D53" s="50">
        <v>0.03</v>
      </c>
      <c r="E53" s="50">
        <v>0.54</v>
      </c>
      <c r="F53" s="50">
        <v>7.0000000000000007E-2</v>
      </c>
      <c r="G53" s="50">
        <v>0.24</v>
      </c>
      <c r="H53" s="50">
        <v>0.04</v>
      </c>
      <c r="I53" s="50">
        <v>0.15</v>
      </c>
    </row>
    <row r="54" spans="1:9" x14ac:dyDescent="0.45">
      <c r="A54" t="s">
        <v>3779</v>
      </c>
      <c r="B54" t="s">
        <v>149</v>
      </c>
      <c r="C54" s="50">
        <v>0.08</v>
      </c>
      <c r="D54" s="50">
        <v>0.03</v>
      </c>
      <c r="E54" s="50">
        <v>0.54</v>
      </c>
      <c r="F54" s="50">
        <v>7.0000000000000007E-2</v>
      </c>
      <c r="G54" s="50">
        <v>0.24</v>
      </c>
      <c r="H54" s="50">
        <v>0.04</v>
      </c>
      <c r="I54" s="50">
        <v>0.15</v>
      </c>
    </row>
    <row r="55" spans="1:9" x14ac:dyDescent="0.45">
      <c r="A55" t="s">
        <v>3780</v>
      </c>
      <c r="B55" t="s">
        <v>149</v>
      </c>
      <c r="C55" s="50">
        <v>0.18</v>
      </c>
      <c r="D55" s="50">
        <v>0.03</v>
      </c>
      <c r="E55" s="50">
        <v>0.48</v>
      </c>
      <c r="F55" s="50">
        <v>0.05</v>
      </c>
      <c r="G55" s="50">
        <v>0.23</v>
      </c>
      <c r="H55" s="50">
        <v>0.03</v>
      </c>
      <c r="I55" s="50">
        <v>0.15</v>
      </c>
    </row>
    <row r="56" spans="1:9" x14ac:dyDescent="0.45">
      <c r="A56" t="s">
        <v>3781</v>
      </c>
      <c r="B56" t="s">
        <v>149</v>
      </c>
      <c r="C56" s="50">
        <v>0.15</v>
      </c>
      <c r="D56" s="50">
        <v>0.03</v>
      </c>
      <c r="E56" s="50">
        <v>0.5</v>
      </c>
      <c r="F56" s="50">
        <v>0.05</v>
      </c>
      <c r="G56" s="50">
        <v>0.24</v>
      </c>
      <c r="H56" s="50">
        <v>0.03</v>
      </c>
      <c r="I56" s="50">
        <v>0.15</v>
      </c>
    </row>
    <row r="57" spans="1:9" x14ac:dyDescent="0.45">
      <c r="A57" t="s">
        <v>3782</v>
      </c>
      <c r="B57" t="s">
        <v>149</v>
      </c>
      <c r="C57" s="50">
        <v>0.15</v>
      </c>
      <c r="D57" s="50">
        <v>0.03</v>
      </c>
      <c r="E57" s="50">
        <v>0.5</v>
      </c>
      <c r="F57" s="50">
        <v>0.05</v>
      </c>
      <c r="G57" s="50">
        <v>0.24</v>
      </c>
      <c r="H57" s="50">
        <v>0.03</v>
      </c>
      <c r="I57" s="50">
        <v>0.15</v>
      </c>
    </row>
    <row r="58" spans="1:9" x14ac:dyDescent="0.45">
      <c r="A58" t="s">
        <v>3776</v>
      </c>
      <c r="B58" t="s">
        <v>149</v>
      </c>
      <c r="C58" s="50">
        <v>0.18</v>
      </c>
      <c r="D58" s="50">
        <v>0.03</v>
      </c>
      <c r="E58" s="50">
        <v>0.48</v>
      </c>
      <c r="F58" s="50">
        <v>0.05</v>
      </c>
      <c r="G58" s="50">
        <v>0.23</v>
      </c>
      <c r="H58" s="50">
        <v>0.03</v>
      </c>
      <c r="I58" s="50">
        <v>0.15</v>
      </c>
    </row>
    <row r="59" spans="1:9" x14ac:dyDescent="0.45">
      <c r="A59" t="s">
        <v>3777</v>
      </c>
      <c r="B59" t="s">
        <v>150</v>
      </c>
      <c r="C59" s="50">
        <v>0.06</v>
      </c>
      <c r="D59" s="50">
        <v>7.0000000000000007E-2</v>
      </c>
      <c r="E59" s="50">
        <v>0.3</v>
      </c>
      <c r="F59" s="50">
        <v>0.22</v>
      </c>
      <c r="G59" s="50">
        <v>0.21</v>
      </c>
      <c r="H59" s="50">
        <v>0.14000000000000001</v>
      </c>
      <c r="I59" s="50">
        <v>0.15</v>
      </c>
    </row>
    <row r="60" spans="1:9" x14ac:dyDescent="0.45">
      <c r="A60" t="s">
        <v>3779</v>
      </c>
      <c r="B60" t="s">
        <v>150</v>
      </c>
      <c r="C60" s="50">
        <v>0.1</v>
      </c>
      <c r="D60" s="50">
        <v>0.1</v>
      </c>
      <c r="E60" s="50">
        <v>0.25</v>
      </c>
      <c r="F60" s="50">
        <v>0.2</v>
      </c>
      <c r="G60" s="50">
        <v>0.21</v>
      </c>
      <c r="H60" s="50">
        <v>0.14000000000000001</v>
      </c>
      <c r="I60" s="50">
        <v>0.13</v>
      </c>
    </row>
    <row r="61" spans="1:9" x14ac:dyDescent="0.45">
      <c r="A61" t="s">
        <v>3780</v>
      </c>
      <c r="B61" t="s">
        <v>150</v>
      </c>
      <c r="C61" s="50">
        <v>0.1</v>
      </c>
      <c r="D61" s="50">
        <v>0.11</v>
      </c>
      <c r="E61" s="50">
        <v>0.28999999999999998</v>
      </c>
      <c r="F61" s="50">
        <v>0.2</v>
      </c>
      <c r="G61" s="50">
        <v>0.19</v>
      </c>
      <c r="H61" s="50">
        <v>0.11</v>
      </c>
      <c r="I61" s="50">
        <v>0.15</v>
      </c>
    </row>
    <row r="62" spans="1:9" x14ac:dyDescent="0.45">
      <c r="A62" t="s">
        <v>3781</v>
      </c>
      <c r="B62" t="s">
        <v>150</v>
      </c>
      <c r="C62" s="50">
        <v>0.1</v>
      </c>
      <c r="D62" s="50">
        <v>0.11</v>
      </c>
      <c r="E62" s="50">
        <v>0.28999999999999998</v>
      </c>
      <c r="F62" s="50">
        <v>0.2</v>
      </c>
      <c r="G62" s="50">
        <v>0.19</v>
      </c>
      <c r="H62" s="50">
        <v>0.11</v>
      </c>
      <c r="I62" s="50">
        <v>0.15</v>
      </c>
    </row>
    <row r="63" spans="1:9" x14ac:dyDescent="0.45">
      <c r="A63" t="s">
        <v>3782</v>
      </c>
      <c r="B63" t="s">
        <v>150</v>
      </c>
      <c r="C63" s="50">
        <v>0.12</v>
      </c>
      <c r="D63" s="50">
        <v>0.14000000000000001</v>
      </c>
      <c r="E63" s="50">
        <v>0.24</v>
      </c>
      <c r="F63" s="50">
        <v>0.19</v>
      </c>
      <c r="G63" s="50">
        <v>0.19</v>
      </c>
      <c r="H63" s="50">
        <v>0.12</v>
      </c>
      <c r="I63" s="50">
        <v>0.14000000000000001</v>
      </c>
    </row>
    <row r="64" spans="1:9" x14ac:dyDescent="0.45">
      <c r="A64" t="s">
        <v>3776</v>
      </c>
      <c r="B64" t="s">
        <v>150</v>
      </c>
      <c r="C64" s="50">
        <v>0.1</v>
      </c>
      <c r="D64" s="50">
        <v>0.11</v>
      </c>
      <c r="E64" s="50">
        <v>0.28999999999999998</v>
      </c>
      <c r="F64" s="50">
        <v>0.2</v>
      </c>
      <c r="G64" s="50">
        <v>0.19</v>
      </c>
      <c r="H64" s="50">
        <v>0.11</v>
      </c>
      <c r="I64" s="50">
        <v>0.15</v>
      </c>
    </row>
    <row r="65" spans="1:9" x14ac:dyDescent="0.45">
      <c r="A65" t="s">
        <v>3777</v>
      </c>
      <c r="B65" t="s">
        <v>144</v>
      </c>
      <c r="C65" s="50">
        <v>0.11866640842369712</v>
      </c>
      <c r="D65" s="50">
        <v>0.12618878830662961</v>
      </c>
      <c r="E65" s="50">
        <v>0.30482131357539011</v>
      </c>
      <c r="F65" s="50">
        <v>0.21055765166858806</v>
      </c>
      <c r="G65" s="50">
        <v>0.15006642459094302</v>
      </c>
      <c r="H65" s="50">
        <v>8.9699413434752018E-2</v>
      </c>
      <c r="I65" s="50">
        <v>0.1</v>
      </c>
    </row>
    <row r="66" spans="1:9" x14ac:dyDescent="0.45">
      <c r="A66" t="s">
        <v>3779</v>
      </c>
      <c r="B66" t="s">
        <v>144</v>
      </c>
      <c r="C66" s="50">
        <v>7.7213311391850337E-2</v>
      </c>
      <c r="D66" s="50">
        <v>8.1365675034159077E-2</v>
      </c>
      <c r="E66" s="50">
        <v>0.27578232304981354</v>
      </c>
      <c r="F66" s="50">
        <v>0.28919197801642305</v>
      </c>
      <c r="G66" s="50">
        <v>0.1744886600279712</v>
      </c>
      <c r="H66" s="50">
        <v>0.10195805247978283</v>
      </c>
      <c r="I66" s="50">
        <v>0.12</v>
      </c>
    </row>
    <row r="67" spans="1:9" x14ac:dyDescent="0.45">
      <c r="A67" t="s">
        <v>3780</v>
      </c>
      <c r="B67" t="s">
        <v>144</v>
      </c>
      <c r="C67" s="50">
        <v>0.11866640842369712</v>
      </c>
      <c r="D67" s="50">
        <v>0.12618878830662961</v>
      </c>
      <c r="E67" s="50">
        <v>0.30482131357539011</v>
      </c>
      <c r="F67" s="50">
        <v>0.21055765166858806</v>
      </c>
      <c r="G67" s="50">
        <v>0.15006642459094302</v>
      </c>
      <c r="H67" s="50">
        <v>8.9699413434752018E-2</v>
      </c>
      <c r="I67" s="50">
        <v>0.1</v>
      </c>
    </row>
    <row r="68" spans="1:9" x14ac:dyDescent="0.45">
      <c r="A68" t="s">
        <v>3781</v>
      </c>
      <c r="B68" t="s">
        <v>144</v>
      </c>
      <c r="C68" s="50">
        <v>0.11866640842369712</v>
      </c>
      <c r="D68" s="50">
        <v>0.12618878830662961</v>
      </c>
      <c r="E68" s="50">
        <v>0.30482131357539011</v>
      </c>
      <c r="F68" s="50">
        <v>0.21055765166858806</v>
      </c>
      <c r="G68" s="50">
        <v>0.15006642459094302</v>
      </c>
      <c r="H68" s="50">
        <v>8.9699413434752018E-2</v>
      </c>
      <c r="I68" s="50">
        <v>0.08</v>
      </c>
    </row>
    <row r="69" spans="1:9" x14ac:dyDescent="0.45">
      <c r="A69" t="s">
        <v>3782</v>
      </c>
      <c r="B69" t="s">
        <v>144</v>
      </c>
      <c r="C69" s="50">
        <v>7.7213311391850337E-2</v>
      </c>
      <c r="D69" s="50">
        <v>8.1365675034159077E-2</v>
      </c>
      <c r="E69" s="50">
        <v>0.27578232304981354</v>
      </c>
      <c r="F69" s="50">
        <v>0.28919197801642305</v>
      </c>
      <c r="G69" s="50">
        <v>0.1744886600279712</v>
      </c>
      <c r="H69" s="50">
        <v>0.10195805247978283</v>
      </c>
      <c r="I69" s="50">
        <v>7.0000000000000007E-2</v>
      </c>
    </row>
    <row r="70" spans="1:9" x14ac:dyDescent="0.45">
      <c r="A70" t="s">
        <v>3776</v>
      </c>
      <c r="B70" t="s">
        <v>144</v>
      </c>
      <c r="C70" s="50">
        <v>0.11866640842369712</v>
      </c>
      <c r="D70" s="50">
        <v>0.12618878830662961</v>
      </c>
      <c r="E70" s="50">
        <v>0.30482131357539011</v>
      </c>
      <c r="F70" s="50">
        <v>0.21055765166858806</v>
      </c>
      <c r="G70" s="50">
        <v>0.15006642459094302</v>
      </c>
      <c r="H70" s="50">
        <v>8.9699413434752018E-2</v>
      </c>
      <c r="I70" s="50">
        <v>0.08</v>
      </c>
    </row>
    <row r="71" spans="1:9" x14ac:dyDescent="0.45">
      <c r="A71" t="s">
        <v>3783</v>
      </c>
      <c r="B71" t="s">
        <v>144</v>
      </c>
      <c r="C71" s="50">
        <v>7.7213311391850337E-2</v>
      </c>
      <c r="D71" s="50">
        <v>8.1365675034159077E-2</v>
      </c>
      <c r="E71" s="50">
        <v>0.27578232304981354</v>
      </c>
      <c r="F71" s="50">
        <v>0.28919197801642305</v>
      </c>
      <c r="G71" s="50">
        <v>0.1744886600279712</v>
      </c>
      <c r="H71" s="50">
        <v>0.10195805247978283</v>
      </c>
      <c r="I71" s="50">
        <v>0.12</v>
      </c>
    </row>
    <row r="72" spans="1:9" x14ac:dyDescent="0.45">
      <c r="A72" t="s">
        <v>3777</v>
      </c>
      <c r="B72" t="s">
        <v>142</v>
      </c>
      <c r="C72" s="50">
        <v>0.10911999999999999</v>
      </c>
      <c r="D72" s="50">
        <v>0.11745999999999999</v>
      </c>
      <c r="E72" s="50">
        <v>0.30320999999999998</v>
      </c>
      <c r="F72" s="50">
        <v>0.21204999999999999</v>
      </c>
      <c r="G72" s="50">
        <v>0.16003999999999999</v>
      </c>
      <c r="H72" s="50">
        <v>9.8120000000000096E-2</v>
      </c>
      <c r="I72" s="50">
        <v>0.13317000000000001</v>
      </c>
    </row>
    <row r="73" spans="1:9" x14ac:dyDescent="0.45">
      <c r="A73" t="s">
        <v>3779</v>
      </c>
      <c r="B73" t="s">
        <v>142</v>
      </c>
      <c r="C73" s="50">
        <v>6.5750000000000003E-2</v>
      </c>
      <c r="D73" s="50">
        <v>6.7299999999999999E-2</v>
      </c>
      <c r="E73" s="50">
        <v>0.25936999999999999</v>
      </c>
      <c r="F73" s="50">
        <v>0.28810000000000002</v>
      </c>
      <c r="G73" s="50">
        <v>0.20003000000000001</v>
      </c>
      <c r="H73" s="50">
        <v>0.11944999999999995</v>
      </c>
      <c r="I73" s="50">
        <v>0.13317000000000001</v>
      </c>
    </row>
    <row r="74" spans="1:9" x14ac:dyDescent="0.45">
      <c r="A74" t="s">
        <v>3780</v>
      </c>
      <c r="B74" t="s">
        <v>142</v>
      </c>
      <c r="C74" s="50">
        <v>0.11579</v>
      </c>
      <c r="D74" s="50">
        <v>0.12413</v>
      </c>
      <c r="E74" s="50">
        <v>0.30153999999999997</v>
      </c>
      <c r="F74" s="50">
        <v>0.20871999999999999</v>
      </c>
      <c r="G74" s="50">
        <v>0.15669</v>
      </c>
      <c r="H74" s="50">
        <v>9.3129999999999935E-2</v>
      </c>
      <c r="I74" s="50">
        <v>0.13317000000000001</v>
      </c>
    </row>
    <row r="75" spans="1:9" x14ac:dyDescent="0.45">
      <c r="A75" t="s">
        <v>3781</v>
      </c>
      <c r="B75" t="s">
        <v>142</v>
      </c>
      <c r="C75" s="50">
        <v>0.11579</v>
      </c>
      <c r="D75" s="50">
        <v>0.12413</v>
      </c>
      <c r="E75" s="50">
        <v>0.30153999999999997</v>
      </c>
      <c r="F75" s="50">
        <v>0.20871999999999999</v>
      </c>
      <c r="G75" s="50">
        <v>0.15669</v>
      </c>
      <c r="H75" s="50">
        <v>9.3129999999999935E-2</v>
      </c>
      <c r="I75" s="50">
        <v>0.12983</v>
      </c>
    </row>
    <row r="76" spans="1:9" x14ac:dyDescent="0.45">
      <c r="A76" t="s">
        <v>3782</v>
      </c>
      <c r="B76" t="s">
        <v>142</v>
      </c>
      <c r="C76" s="50">
        <v>8.0790000000000001E-2</v>
      </c>
      <c r="D76" s="50">
        <v>8.6410000000000001E-2</v>
      </c>
      <c r="E76" s="50">
        <v>0.26887</v>
      </c>
      <c r="F76" s="50">
        <v>0.26877000000000001</v>
      </c>
      <c r="G76" s="50">
        <v>0.17446999999999999</v>
      </c>
      <c r="H76" s="50">
        <v>0.12068999999999996</v>
      </c>
      <c r="I76" s="50">
        <v>0.1265</v>
      </c>
    </row>
    <row r="77" spans="1:9" x14ac:dyDescent="0.45">
      <c r="A77" t="s">
        <v>3776</v>
      </c>
      <c r="B77" t="s">
        <v>142</v>
      </c>
      <c r="C77" s="50">
        <v>0.11579</v>
      </c>
      <c r="D77" s="50">
        <v>0.12413</v>
      </c>
      <c r="E77" s="50">
        <v>0.30153999999999997</v>
      </c>
      <c r="F77" s="50">
        <v>0.20871999999999999</v>
      </c>
      <c r="G77" s="50">
        <v>0.15670999999999999</v>
      </c>
      <c r="H77" s="50">
        <v>9.3109999999999915E-2</v>
      </c>
      <c r="I77" s="50">
        <v>0.12983</v>
      </c>
    </row>
  </sheetData>
  <phoneticPr fontId="2" type="noConversion"/>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094E8-64B6-4C90-B9D5-E2797749BE80}">
  <dimension ref="A1:Q39"/>
  <sheetViews>
    <sheetView workbookViewId="0"/>
  </sheetViews>
  <sheetFormatPr defaultRowHeight="14.25" x14ac:dyDescent="0.45"/>
  <cols>
    <col min="1" max="1" width="12.53125" customWidth="1"/>
    <col min="2" max="2" width="14.3984375" customWidth="1"/>
    <col min="3" max="3" width="14.33203125" customWidth="1"/>
    <col min="4" max="4" width="14.3984375" customWidth="1"/>
    <col min="5" max="6" width="12.53125" customWidth="1"/>
    <col min="7" max="7" width="13.86328125" customWidth="1"/>
    <col min="8" max="8" width="14.1328125" customWidth="1"/>
    <col min="9" max="9" width="14.3984375" customWidth="1"/>
    <col min="10" max="11" width="12.53125" customWidth="1"/>
    <col min="12" max="12" width="15.3984375" customWidth="1"/>
    <col min="13" max="13" width="14.53125" customWidth="1"/>
    <col min="14" max="14" width="14.3984375" customWidth="1"/>
    <col min="16" max="16" width="9.86328125" bestFit="1" customWidth="1"/>
  </cols>
  <sheetData>
    <row r="1" spans="1:17" ht="19.899999999999999" x14ac:dyDescent="0.7">
      <c r="A1" s="322" t="s">
        <v>730</v>
      </c>
      <c r="B1" s="27"/>
      <c r="C1" s="28"/>
      <c r="D1" s="27"/>
      <c r="E1" s="27"/>
      <c r="F1" s="27"/>
      <c r="G1" s="27"/>
      <c r="H1" s="27"/>
      <c r="I1" s="27"/>
      <c r="J1" s="27"/>
      <c r="K1" s="27"/>
      <c r="L1" s="27"/>
      <c r="M1" s="27"/>
      <c r="N1" s="27"/>
    </row>
    <row r="2" spans="1:17" ht="19.899999999999999" x14ac:dyDescent="0.7">
      <c r="A2" s="30" t="s">
        <v>4288</v>
      </c>
      <c r="B2" s="27"/>
      <c r="C2" s="28"/>
      <c r="D2" s="27"/>
      <c r="E2" s="27"/>
      <c r="F2" s="27"/>
      <c r="G2" s="27"/>
      <c r="H2" s="27"/>
      <c r="I2" s="27"/>
      <c r="J2" s="27"/>
      <c r="K2" s="27"/>
      <c r="L2" s="27"/>
      <c r="M2" s="27"/>
      <c r="N2" s="27"/>
    </row>
    <row r="3" spans="1:17" s="6" customFormat="1" ht="15.4" x14ac:dyDescent="0.55000000000000004">
      <c r="A3" s="323" t="s">
        <v>4289</v>
      </c>
      <c r="B3" s="324"/>
      <c r="C3" s="325"/>
      <c r="D3" s="324"/>
      <c r="E3" s="324"/>
      <c r="F3" s="324"/>
      <c r="G3" s="324"/>
      <c r="H3" s="324"/>
      <c r="I3" s="324"/>
      <c r="J3" s="324"/>
      <c r="K3" s="324"/>
      <c r="L3" s="324"/>
      <c r="M3" s="324"/>
      <c r="N3" s="324"/>
    </row>
    <row r="4" spans="1:17" ht="19.899999999999999" x14ac:dyDescent="0.7">
      <c r="A4" s="30"/>
      <c r="B4" s="27"/>
      <c r="C4" s="28"/>
      <c r="D4" s="27"/>
      <c r="E4" s="27"/>
      <c r="F4" s="27"/>
      <c r="G4" s="27"/>
      <c r="H4" s="27"/>
      <c r="I4" s="27"/>
      <c r="J4" s="27"/>
      <c r="K4" s="27"/>
      <c r="L4" s="27"/>
      <c r="M4" s="27"/>
      <c r="N4" s="27"/>
    </row>
    <row r="5" spans="1:17" ht="19.899999999999999" x14ac:dyDescent="0.7">
      <c r="A5" s="326" t="s">
        <v>4290</v>
      </c>
      <c r="B5" s="327"/>
      <c r="C5" s="328"/>
      <c r="D5" s="327"/>
      <c r="E5" s="327"/>
      <c r="F5" s="327"/>
      <c r="G5" s="327"/>
      <c r="H5" s="327"/>
      <c r="I5" s="327"/>
      <c r="J5" s="327"/>
      <c r="K5" s="327"/>
      <c r="L5" s="327"/>
      <c r="M5" s="327"/>
      <c r="N5" s="327"/>
    </row>
    <row r="6" spans="1:17" ht="19.899999999999999" x14ac:dyDescent="0.7">
      <c r="A6" s="326"/>
      <c r="B6" s="327"/>
      <c r="C6" s="328"/>
      <c r="D6" s="327"/>
      <c r="E6" s="327"/>
      <c r="F6" s="327"/>
      <c r="G6" s="327"/>
      <c r="H6" s="327"/>
      <c r="I6" s="327"/>
      <c r="J6" s="327"/>
      <c r="K6" s="327"/>
      <c r="L6" s="327"/>
      <c r="M6" s="327"/>
      <c r="N6" s="327"/>
    </row>
    <row r="7" spans="1:17" ht="19.899999999999999" x14ac:dyDescent="0.7">
      <c r="A7" s="329" t="s">
        <v>4291</v>
      </c>
      <c r="B7" s="27"/>
      <c r="C7" s="28"/>
      <c r="D7" s="27"/>
      <c r="E7" s="27"/>
      <c r="F7" s="329" t="s">
        <v>4292</v>
      </c>
      <c r="G7" s="27"/>
      <c r="H7" s="27"/>
      <c r="I7" s="27"/>
      <c r="J7" s="27"/>
      <c r="K7" s="329" t="s">
        <v>4293</v>
      </c>
      <c r="L7" s="27"/>
      <c r="M7" s="27"/>
      <c r="N7" s="27"/>
    </row>
    <row r="8" spans="1:17" x14ac:dyDescent="0.45">
      <c r="A8" s="27"/>
      <c r="B8" s="27"/>
      <c r="C8" s="28"/>
      <c r="D8" s="27"/>
      <c r="E8" s="27"/>
      <c r="F8" s="27"/>
      <c r="G8" s="27"/>
      <c r="H8" s="27"/>
      <c r="I8" s="27"/>
      <c r="J8" s="27"/>
      <c r="K8" s="27"/>
      <c r="L8" s="27"/>
      <c r="M8" s="27"/>
      <c r="N8" s="27"/>
    </row>
    <row r="9" spans="1:17" x14ac:dyDescent="0.45">
      <c r="A9" s="330" t="s">
        <v>4294</v>
      </c>
      <c r="B9" s="330"/>
      <c r="C9" s="330"/>
      <c r="D9" s="330"/>
      <c r="E9" s="331"/>
      <c r="F9" s="330" t="s">
        <v>4294</v>
      </c>
      <c r="G9" s="332"/>
      <c r="H9" s="332"/>
      <c r="I9" s="332"/>
      <c r="J9" s="333"/>
      <c r="K9" s="330" t="s">
        <v>4294</v>
      </c>
      <c r="L9" s="332"/>
      <c r="M9" s="332"/>
      <c r="N9" s="332"/>
    </row>
    <row r="10" spans="1:17" x14ac:dyDescent="0.45">
      <c r="A10" s="334" t="s">
        <v>4295</v>
      </c>
      <c r="B10" s="335"/>
      <c r="C10" s="335"/>
      <c r="D10" s="335"/>
      <c r="E10" s="331"/>
      <c r="F10" s="334" t="s">
        <v>4295</v>
      </c>
      <c r="G10" s="336"/>
      <c r="H10" s="336"/>
      <c r="I10" s="336"/>
      <c r="J10" s="333"/>
      <c r="K10" s="334" t="s">
        <v>4295</v>
      </c>
      <c r="L10" s="336"/>
      <c r="M10" s="336"/>
      <c r="N10" s="336"/>
    </row>
    <row r="11" spans="1:17" x14ac:dyDescent="0.45">
      <c r="A11" s="337" t="s">
        <v>4296</v>
      </c>
      <c r="B11" s="338" t="s">
        <v>141</v>
      </c>
      <c r="C11" s="338" t="s">
        <v>4297</v>
      </c>
      <c r="D11" s="338" t="s">
        <v>4298</v>
      </c>
      <c r="E11" s="339"/>
      <c r="F11" s="337" t="s">
        <v>4296</v>
      </c>
      <c r="G11" s="338" t="s">
        <v>141</v>
      </c>
      <c r="H11" s="338" t="s">
        <v>4297</v>
      </c>
      <c r="I11" s="338" t="s">
        <v>4298</v>
      </c>
      <c r="J11" s="333"/>
      <c r="K11" s="337" t="s">
        <v>4296</v>
      </c>
      <c r="L11" s="338" t="s">
        <v>141</v>
      </c>
      <c r="M11" s="338" t="s">
        <v>4297</v>
      </c>
      <c r="N11" s="338" t="s">
        <v>4298</v>
      </c>
    </row>
    <row r="12" spans="1:17" x14ac:dyDescent="0.45">
      <c r="A12" s="340" t="s">
        <v>4299</v>
      </c>
      <c r="B12" s="341">
        <v>4.9570037009496384E-3</v>
      </c>
      <c r="C12" s="341">
        <v>2.5843631792750329E-3</v>
      </c>
      <c r="D12" s="341">
        <v>2.3726405216746059E-3</v>
      </c>
      <c r="E12" s="333"/>
      <c r="F12" s="340" t="s">
        <v>4299</v>
      </c>
      <c r="G12" s="341">
        <v>4.0034818260468938E-3</v>
      </c>
      <c r="H12" s="341">
        <v>2.0740397990466259E-3</v>
      </c>
      <c r="I12" s="341">
        <v>1.9294420270002674E-3</v>
      </c>
      <c r="J12" s="333"/>
      <c r="K12" s="340" t="s">
        <v>4299</v>
      </c>
      <c r="L12" s="341">
        <v>5.2623407737769226E-3</v>
      </c>
      <c r="M12" s="341">
        <v>2.744520983524611E-3</v>
      </c>
      <c r="N12" s="341">
        <v>2.5178197902523112E-3</v>
      </c>
      <c r="P12" s="342"/>
      <c r="Q12" s="342"/>
    </row>
    <row r="13" spans="1:17" x14ac:dyDescent="0.45">
      <c r="A13" s="340" t="s">
        <v>4300</v>
      </c>
      <c r="B13" s="341">
        <v>1.1343918338696243E-2</v>
      </c>
      <c r="C13" s="341">
        <v>5.8713887584414233E-3</v>
      </c>
      <c r="D13" s="341">
        <v>5.4725295802548202E-3</v>
      </c>
      <c r="E13" s="333"/>
      <c r="F13" s="340" t="s">
        <v>4300</v>
      </c>
      <c r="G13" s="341">
        <v>8.6054438963955853E-3</v>
      </c>
      <c r="H13" s="341">
        <v>4.4090178676486659E-3</v>
      </c>
      <c r="I13" s="341">
        <v>4.1964260287469203E-3</v>
      </c>
      <c r="J13" s="333"/>
      <c r="K13" s="340" t="s">
        <v>4300</v>
      </c>
      <c r="L13" s="341">
        <v>1.2115342352915046E-2</v>
      </c>
      <c r="M13" s="341">
        <v>6.2766400434587062E-3</v>
      </c>
      <c r="N13" s="341">
        <v>5.8387023094563393E-3</v>
      </c>
      <c r="P13" s="342"/>
      <c r="Q13" s="342"/>
    </row>
    <row r="14" spans="1:17" x14ac:dyDescent="0.45">
      <c r="A14" s="340" t="s">
        <v>4301</v>
      </c>
      <c r="B14" s="341">
        <v>1.3606187463124709E-2</v>
      </c>
      <c r="C14" s="341">
        <v>6.9853756645852074E-3</v>
      </c>
      <c r="D14" s="341">
        <v>6.6208117985395018E-3</v>
      </c>
      <c r="E14" s="333"/>
      <c r="F14" s="340" t="s">
        <v>4301</v>
      </c>
      <c r="G14" s="341">
        <v>9.7244761200642772E-3</v>
      </c>
      <c r="H14" s="341">
        <v>4.9198564088933586E-3</v>
      </c>
      <c r="I14" s="341">
        <v>4.8046197111709177E-3</v>
      </c>
      <c r="J14" s="333"/>
      <c r="K14" s="340" t="s">
        <v>4301</v>
      </c>
      <c r="L14" s="341">
        <v>1.4587753678104621E-2</v>
      </c>
      <c r="M14" s="341">
        <v>7.5021758538705565E-3</v>
      </c>
      <c r="N14" s="341">
        <v>7.0855778242340656E-3</v>
      </c>
      <c r="P14" s="342"/>
      <c r="Q14" s="342"/>
    </row>
    <row r="15" spans="1:17" x14ac:dyDescent="0.45">
      <c r="A15" s="340" t="s">
        <v>4302</v>
      </c>
      <c r="B15" s="341">
        <v>0.12867187692323881</v>
      </c>
      <c r="C15" s="341">
        <v>6.5924547431857411E-2</v>
      </c>
      <c r="D15" s="341">
        <v>6.2747329491381412E-2</v>
      </c>
      <c r="E15" s="333"/>
      <c r="F15" s="340" t="s">
        <v>4302</v>
      </c>
      <c r="G15" s="341">
        <v>9.2935747593661272E-2</v>
      </c>
      <c r="H15" s="341">
        <v>4.7185895558022668E-2</v>
      </c>
      <c r="I15" s="341">
        <v>4.5749852035638604E-2</v>
      </c>
      <c r="J15" s="333"/>
      <c r="K15" s="340" t="s">
        <v>4302</v>
      </c>
      <c r="L15" s="341">
        <v>0.13654405041840603</v>
      </c>
      <c r="M15" s="341">
        <v>7.0054345366475493E-2</v>
      </c>
      <c r="N15" s="341">
        <v>6.6489705051930525E-2</v>
      </c>
      <c r="P15" s="342"/>
      <c r="Q15" s="342"/>
    </row>
    <row r="16" spans="1:17" x14ac:dyDescent="0.45">
      <c r="A16" s="340" t="s">
        <v>4303</v>
      </c>
      <c r="B16" s="341">
        <v>0.56497430106623658</v>
      </c>
      <c r="C16" s="341">
        <v>0.28919197801642305</v>
      </c>
      <c r="D16" s="341">
        <v>0.27578232304981354</v>
      </c>
      <c r="E16" s="333"/>
      <c r="F16" s="340" t="s">
        <v>4303</v>
      </c>
      <c r="G16" s="341">
        <v>0.56045654925253985</v>
      </c>
      <c r="H16" s="341">
        <v>0.30094593434113198</v>
      </c>
      <c r="I16" s="341">
        <v>0.25951061491140792</v>
      </c>
      <c r="J16" s="333"/>
      <c r="K16" s="340" t="s">
        <v>4303</v>
      </c>
      <c r="L16" s="341">
        <v>0.56939084354600544</v>
      </c>
      <c r="M16" s="341">
        <v>0.28836566140613262</v>
      </c>
      <c r="N16" s="341">
        <v>0.28102518213987276</v>
      </c>
      <c r="P16" s="342"/>
      <c r="Q16" s="342"/>
    </row>
    <row r="17" spans="1:17" x14ac:dyDescent="0.45">
      <c r="A17" s="340" t="s">
        <v>4304</v>
      </c>
      <c r="B17" s="341">
        <v>0.27644671250775404</v>
      </c>
      <c r="C17" s="341">
        <v>0.10195805247978283</v>
      </c>
      <c r="D17" s="341">
        <v>0.1744886600279712</v>
      </c>
      <c r="E17" s="333"/>
      <c r="F17" s="340" t="s">
        <v>4304</v>
      </c>
      <c r="G17" s="341">
        <v>0.32427430131129209</v>
      </c>
      <c r="H17" s="341">
        <v>0.11854522720283668</v>
      </c>
      <c r="I17" s="341">
        <v>0.2057290741084554</v>
      </c>
      <c r="J17" s="333"/>
      <c r="K17" s="340" t="s">
        <v>4304</v>
      </c>
      <c r="L17" s="341">
        <v>0.26209966923079198</v>
      </c>
      <c r="M17" s="341">
        <v>9.6715747481327385E-2</v>
      </c>
      <c r="N17" s="341">
        <v>0.16538392174946459</v>
      </c>
      <c r="P17" s="342"/>
      <c r="Q17" s="342"/>
    </row>
    <row r="18" spans="1:17" x14ac:dyDescent="0.45">
      <c r="A18" s="343" t="s">
        <v>11</v>
      </c>
      <c r="B18" s="344">
        <v>1</v>
      </c>
      <c r="C18" s="344">
        <v>0.47251570553036498</v>
      </c>
      <c r="D18" s="344">
        <v>0.52748429446963507</v>
      </c>
      <c r="E18" s="333"/>
      <c r="F18" s="343" t="s">
        <v>11</v>
      </c>
      <c r="G18" s="344">
        <v>1</v>
      </c>
      <c r="H18" s="345">
        <v>0.47807997117757994</v>
      </c>
      <c r="I18" s="345">
        <v>0.52192002882242006</v>
      </c>
      <c r="J18" s="333"/>
      <c r="K18" s="343" t="s">
        <v>11</v>
      </c>
      <c r="L18" s="344">
        <v>1</v>
      </c>
      <c r="M18" s="345">
        <v>0.47165909113478938</v>
      </c>
      <c r="N18" s="345">
        <v>0.52834090886521057</v>
      </c>
      <c r="P18" s="342"/>
      <c r="Q18" s="342"/>
    </row>
    <row r="19" spans="1:17" x14ac:dyDescent="0.45">
      <c r="A19" s="333"/>
      <c r="B19" s="333"/>
      <c r="C19" s="333"/>
      <c r="D19" s="333"/>
      <c r="E19" s="333"/>
      <c r="F19" s="333"/>
      <c r="G19" s="333"/>
      <c r="H19" s="333"/>
      <c r="I19" s="333"/>
      <c r="J19" s="333"/>
      <c r="K19" s="333"/>
      <c r="L19" s="333"/>
      <c r="M19" s="333"/>
      <c r="N19" s="333"/>
    </row>
    <row r="20" spans="1:17" x14ac:dyDescent="0.45">
      <c r="A20" s="346"/>
      <c r="B20" s="346"/>
      <c r="C20" s="346"/>
      <c r="D20" s="346"/>
      <c r="E20" s="346"/>
      <c r="F20" s="346"/>
      <c r="G20" s="346"/>
      <c r="H20" s="346"/>
      <c r="I20" s="346"/>
      <c r="J20" s="346"/>
      <c r="K20" s="346"/>
      <c r="L20" s="346"/>
      <c r="M20" s="346"/>
      <c r="N20" s="346"/>
    </row>
    <row r="21" spans="1:17" x14ac:dyDescent="0.45">
      <c r="A21" s="382" t="s">
        <v>4305</v>
      </c>
      <c r="B21" s="383"/>
      <c r="C21" s="383"/>
      <c r="D21" s="383"/>
      <c r="E21" s="383"/>
      <c r="F21" s="383"/>
      <c r="G21" s="383"/>
      <c r="H21" s="383"/>
      <c r="I21" s="383"/>
      <c r="J21" s="383"/>
      <c r="K21" s="383"/>
      <c r="L21" s="383"/>
      <c r="M21" s="383"/>
      <c r="N21" s="383"/>
    </row>
    <row r="22" spans="1:17" x14ac:dyDescent="0.45">
      <c r="A22" s="346"/>
      <c r="B22" s="346"/>
      <c r="C22" s="346"/>
      <c r="D22" s="346"/>
      <c r="E22" s="346"/>
      <c r="F22" s="346"/>
      <c r="G22" s="346"/>
      <c r="H22" s="346"/>
      <c r="I22" s="346"/>
      <c r="J22" s="346"/>
      <c r="K22" s="346"/>
      <c r="L22" s="346"/>
      <c r="M22" s="346"/>
      <c r="N22" s="346"/>
    </row>
    <row r="23" spans="1:17" x14ac:dyDescent="0.45">
      <c r="A23" s="27"/>
      <c r="B23" s="27"/>
      <c r="C23" s="27"/>
      <c r="D23" s="347"/>
      <c r="E23" s="27"/>
      <c r="F23" s="27"/>
      <c r="G23" s="27"/>
      <c r="H23" s="347"/>
      <c r="I23" s="27"/>
      <c r="J23" s="346"/>
      <c r="K23" s="346"/>
      <c r="L23" s="346"/>
      <c r="M23" s="346"/>
      <c r="N23" s="346"/>
    </row>
    <row r="24" spans="1:17" ht="19.899999999999999" x14ac:dyDescent="0.7">
      <c r="A24" s="384" t="s">
        <v>4306</v>
      </c>
      <c r="B24" s="384"/>
      <c r="C24" s="384"/>
      <c r="D24" s="384"/>
      <c r="E24" s="384"/>
      <c r="F24" s="384"/>
      <c r="G24" s="384"/>
      <c r="H24" s="384"/>
      <c r="I24" s="384"/>
      <c r="J24" s="327"/>
      <c r="K24" s="327"/>
      <c r="L24" s="327"/>
      <c r="M24" s="327"/>
      <c r="N24" s="327"/>
    </row>
    <row r="25" spans="1:17" ht="19.899999999999999" x14ac:dyDescent="0.7">
      <c r="A25" s="348"/>
      <c r="B25" s="348"/>
      <c r="C25" s="348"/>
      <c r="D25" s="348"/>
      <c r="E25" s="348"/>
      <c r="F25" s="348"/>
      <c r="G25" s="348"/>
      <c r="H25" s="348"/>
      <c r="I25" s="348"/>
      <c r="J25" s="327"/>
      <c r="K25" s="327"/>
      <c r="L25" s="327"/>
      <c r="M25" s="327"/>
      <c r="N25" s="327"/>
    </row>
    <row r="26" spans="1:17" ht="19.899999999999999" x14ac:dyDescent="0.7">
      <c r="A26" s="329" t="s">
        <v>4291</v>
      </c>
      <c r="B26" s="27"/>
      <c r="C26" s="27"/>
      <c r="D26" s="27"/>
      <c r="E26" s="27"/>
      <c r="F26" s="27"/>
      <c r="G26" s="27"/>
      <c r="H26" s="27"/>
      <c r="I26" s="27"/>
      <c r="J26" s="27"/>
      <c r="K26" s="27"/>
      <c r="L26" s="27"/>
      <c r="M26" s="27"/>
      <c r="N26" s="27"/>
    </row>
    <row r="27" spans="1:17" x14ac:dyDescent="0.45">
      <c r="A27" s="27"/>
      <c r="B27" s="27"/>
      <c r="C27" s="27"/>
      <c r="D27" s="27"/>
      <c r="E27" s="27"/>
      <c r="F27" s="27"/>
      <c r="G27" s="27"/>
      <c r="H27" s="27"/>
      <c r="I27" s="27"/>
      <c r="J27" s="27"/>
      <c r="K27" s="27"/>
      <c r="L27" s="27"/>
      <c r="M27" s="27"/>
      <c r="N27" s="27"/>
    </row>
    <row r="28" spans="1:17" x14ac:dyDescent="0.45">
      <c r="A28" s="330" t="s">
        <v>4307</v>
      </c>
      <c r="B28" s="330"/>
      <c r="C28" s="330"/>
      <c r="D28" s="330"/>
      <c r="E28" s="27"/>
      <c r="F28" s="27"/>
      <c r="G28" s="27"/>
      <c r="H28" s="27"/>
      <c r="I28" s="27"/>
      <c r="J28" s="27"/>
      <c r="K28" s="27"/>
      <c r="L28" s="27"/>
      <c r="M28" s="27"/>
      <c r="N28" s="27"/>
    </row>
    <row r="29" spans="1:17" x14ac:dyDescent="0.45">
      <c r="A29" s="334" t="s">
        <v>4308</v>
      </c>
      <c r="B29" s="335"/>
      <c r="C29" s="335"/>
      <c r="D29" s="335"/>
      <c r="E29" s="27"/>
      <c r="F29" s="27"/>
      <c r="G29" s="27"/>
      <c r="H29" s="27"/>
      <c r="I29" s="27"/>
      <c r="J29" s="27"/>
      <c r="K29" s="27"/>
      <c r="L29" s="27"/>
      <c r="M29" s="27"/>
      <c r="N29" s="27"/>
    </row>
    <row r="30" spans="1:17" x14ac:dyDescent="0.45">
      <c r="A30" s="349" t="s">
        <v>4296</v>
      </c>
      <c r="B30" s="350" t="s">
        <v>141</v>
      </c>
      <c r="C30" s="350" t="s">
        <v>4297</v>
      </c>
      <c r="D30" s="350" t="s">
        <v>4298</v>
      </c>
      <c r="E30" s="27"/>
      <c r="F30" s="27"/>
      <c r="G30" s="27"/>
      <c r="H30" s="27"/>
      <c r="I30" s="27"/>
      <c r="J30" s="27"/>
      <c r="K30" s="27"/>
      <c r="L30" s="27"/>
      <c r="M30" s="27"/>
      <c r="N30" s="27"/>
    </row>
    <row r="31" spans="1:17" x14ac:dyDescent="0.45">
      <c r="A31" s="351" t="s">
        <v>4299</v>
      </c>
      <c r="B31" s="352">
        <v>4.953503998092551E-3</v>
      </c>
      <c r="C31" s="352">
        <v>2.6031991652045805E-3</v>
      </c>
      <c r="D31" s="352">
        <v>2.3503048328879705E-3</v>
      </c>
      <c r="E31" s="27"/>
      <c r="F31" s="27"/>
      <c r="G31" s="27"/>
      <c r="H31" s="27"/>
      <c r="I31" s="27"/>
      <c r="J31" s="27"/>
      <c r="K31" s="27"/>
      <c r="L31" s="27"/>
      <c r="M31" s="27"/>
      <c r="N31" s="27"/>
    </row>
    <row r="32" spans="1:17" x14ac:dyDescent="0.45">
      <c r="A32" s="351" t="s">
        <v>4300</v>
      </c>
      <c r="B32" s="352">
        <v>1.9800792149711231E-2</v>
      </c>
      <c r="C32" s="352">
        <v>1.2488180957419799E-2</v>
      </c>
      <c r="D32" s="352">
        <v>7.312611192291432E-3</v>
      </c>
      <c r="E32" s="27"/>
      <c r="F32" s="27"/>
      <c r="G32" s="27"/>
      <c r="H32" s="27"/>
      <c r="I32" s="27"/>
      <c r="J32" s="27"/>
      <c r="K32" s="27"/>
      <c r="L32" s="27"/>
      <c r="M32" s="27"/>
      <c r="N32" s="27"/>
    </row>
    <row r="33" spans="1:14" x14ac:dyDescent="0.45">
      <c r="A33" s="351" t="s">
        <v>4301</v>
      </c>
      <c r="B33" s="352">
        <v>2.1306593686878789E-2</v>
      </c>
      <c r="C33" s="352">
        <v>1.0821342120276585E-2</v>
      </c>
      <c r="D33" s="352">
        <v>1.04852515666022E-2</v>
      </c>
      <c r="E33" s="27"/>
      <c r="F33" s="27"/>
      <c r="G33" s="27"/>
      <c r="H33" s="27"/>
      <c r="I33" s="27"/>
      <c r="J33" s="27"/>
      <c r="K33" s="27"/>
      <c r="L33" s="27"/>
      <c r="M33" s="27"/>
      <c r="N33" s="27"/>
    </row>
    <row r="34" spans="1:14" x14ac:dyDescent="0.45">
      <c r="A34" s="351" t="s">
        <v>4302</v>
      </c>
      <c r="B34" s="352">
        <v>0.19879430689564415</v>
      </c>
      <c r="C34" s="352">
        <v>0.10027606606372864</v>
      </c>
      <c r="D34" s="352">
        <v>9.8518240831915516E-2</v>
      </c>
      <c r="E34" s="27"/>
      <c r="F34" s="27"/>
      <c r="G34" s="27"/>
      <c r="H34" s="27"/>
      <c r="I34" s="27"/>
      <c r="J34" s="27"/>
      <c r="K34" s="27"/>
      <c r="L34" s="27"/>
      <c r="M34" s="27"/>
      <c r="N34" s="27"/>
    </row>
    <row r="35" spans="1:14" x14ac:dyDescent="0.45">
      <c r="A35" s="351" t="s">
        <v>4303</v>
      </c>
      <c r="B35" s="352">
        <v>0.51537896524397819</v>
      </c>
      <c r="C35" s="352">
        <v>0.21055765166858806</v>
      </c>
      <c r="D35" s="352">
        <v>0.30482131357539011</v>
      </c>
      <c r="E35" s="27"/>
      <c r="F35" s="27"/>
      <c r="G35" s="27"/>
      <c r="H35" s="27"/>
      <c r="I35" s="27"/>
      <c r="J35" s="27"/>
      <c r="K35" s="27"/>
      <c r="L35" s="27"/>
      <c r="M35" s="27"/>
      <c r="N35" s="27"/>
    </row>
    <row r="36" spans="1:14" x14ac:dyDescent="0.45">
      <c r="A36" s="351" t="s">
        <v>4304</v>
      </c>
      <c r="B36" s="352">
        <v>0.23976583802569504</v>
      </c>
      <c r="C36" s="352">
        <v>8.9699413434752018E-2</v>
      </c>
      <c r="D36" s="352">
        <v>0.15006642459094302</v>
      </c>
      <c r="E36" s="28"/>
      <c r="F36" s="27"/>
      <c r="G36" s="27"/>
      <c r="H36" s="27"/>
      <c r="I36" s="27"/>
      <c r="J36" s="27"/>
      <c r="K36" s="27"/>
      <c r="L36" s="27"/>
      <c r="M36" s="27"/>
      <c r="N36" s="27"/>
    </row>
    <row r="37" spans="1:14" x14ac:dyDescent="0.45">
      <c r="A37" s="353" t="s">
        <v>11</v>
      </c>
      <c r="B37" s="354">
        <v>1</v>
      </c>
      <c r="C37" s="354">
        <v>0.42644585340996977</v>
      </c>
      <c r="D37" s="354">
        <v>0.57355414659003023</v>
      </c>
      <c r="E37" s="27"/>
      <c r="F37" s="27"/>
      <c r="G37" s="27"/>
      <c r="H37" s="27"/>
      <c r="I37" s="27"/>
      <c r="J37" s="27"/>
      <c r="K37" s="27"/>
      <c r="L37" s="27"/>
      <c r="M37" s="27"/>
      <c r="N37" s="27"/>
    </row>
    <row r="38" spans="1:14" x14ac:dyDescent="0.45">
      <c r="A38" s="27"/>
      <c r="B38" s="27"/>
      <c r="C38" s="27"/>
      <c r="D38" s="27"/>
      <c r="E38" s="27"/>
      <c r="F38" s="27"/>
      <c r="G38" s="27"/>
      <c r="H38" s="27"/>
      <c r="I38" s="27"/>
      <c r="J38" s="27"/>
      <c r="K38" s="27"/>
      <c r="L38" s="27"/>
      <c r="M38" s="27"/>
      <c r="N38" s="27"/>
    </row>
    <row r="39" spans="1:14" x14ac:dyDescent="0.45">
      <c r="A39" s="382" t="s">
        <v>4309</v>
      </c>
      <c r="B39" s="383"/>
      <c r="C39" s="383"/>
      <c r="D39" s="383"/>
      <c r="E39" s="383"/>
      <c r="F39" s="383"/>
      <c r="G39" s="383"/>
      <c r="H39" s="383"/>
      <c r="I39" s="383"/>
      <c r="J39" s="383"/>
      <c r="K39" s="383"/>
      <c r="L39" s="383"/>
      <c r="M39" s="383"/>
      <c r="N39" s="383"/>
    </row>
  </sheetData>
  <mergeCells count="3">
    <mergeCell ref="A21:N21"/>
    <mergeCell ref="A24:I24"/>
    <mergeCell ref="A39:N39"/>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B5D3F-2571-4D34-9D89-101BBBE5C73D}">
  <dimension ref="B1:J37"/>
  <sheetViews>
    <sheetView workbookViewId="0"/>
  </sheetViews>
  <sheetFormatPr defaultColWidth="9.19921875" defaultRowHeight="14.25" x14ac:dyDescent="0.45"/>
  <cols>
    <col min="1" max="1" width="1.86328125" style="27" customWidth="1"/>
    <col min="2" max="2" width="24.1328125" style="27" customWidth="1"/>
    <col min="3" max="3" width="23.1328125" style="27" customWidth="1"/>
    <col min="4" max="4" width="15.53125" style="27" customWidth="1"/>
    <col min="5" max="5" width="19.46484375" style="27" customWidth="1"/>
    <col min="6" max="6" width="8.6640625" style="27" bestFit="1" customWidth="1"/>
    <col min="7" max="7" width="15.86328125" style="27" customWidth="1"/>
    <col min="8" max="8" width="21.1328125" style="27" customWidth="1"/>
    <col min="9" max="9" width="18.86328125" style="27" customWidth="1"/>
    <col min="10" max="10" width="19.86328125" style="27" customWidth="1"/>
    <col min="11" max="16384" width="9.19921875" style="27"/>
  </cols>
  <sheetData>
    <row r="1" spans="2:9" ht="7.05" customHeight="1" x14ac:dyDescent="0.45"/>
    <row r="2" spans="2:9" ht="19.899999999999999" x14ac:dyDescent="0.7">
      <c r="B2" s="322" t="s">
        <v>730</v>
      </c>
    </row>
    <row r="3" spans="2:9" ht="19.899999999999999" x14ac:dyDescent="0.7">
      <c r="B3" s="355" t="s">
        <v>4310</v>
      </c>
    </row>
    <row r="5" spans="2:9" ht="19.899999999999999" x14ac:dyDescent="0.7">
      <c r="B5" s="329" t="s">
        <v>4311</v>
      </c>
      <c r="G5" s="329" t="s">
        <v>4312</v>
      </c>
    </row>
    <row r="6" spans="2:9" x14ac:dyDescent="0.45">
      <c r="D6"/>
    </row>
    <row r="7" spans="2:9" ht="28.5" x14ac:dyDescent="0.45">
      <c r="B7" s="356" t="s">
        <v>4313</v>
      </c>
      <c r="C7" s="356"/>
      <c r="D7" s="357" t="s">
        <v>4310</v>
      </c>
      <c r="E7" s="357" t="s">
        <v>4314</v>
      </c>
      <c r="G7" s="356" t="s">
        <v>4315</v>
      </c>
      <c r="H7" s="356" t="s">
        <v>4310</v>
      </c>
      <c r="I7" s="356" t="s">
        <v>4314</v>
      </c>
    </row>
    <row r="8" spans="2:9" x14ac:dyDescent="0.45">
      <c r="B8" s="356" t="s">
        <v>161</v>
      </c>
      <c r="C8" s="356" t="s">
        <v>162</v>
      </c>
      <c r="D8" s="356"/>
      <c r="E8" s="358" t="s">
        <v>4316</v>
      </c>
      <c r="G8" s="359" t="s">
        <v>4330</v>
      </c>
      <c r="H8" s="359" t="s">
        <v>4328</v>
      </c>
      <c r="I8" s="359" t="s">
        <v>4329</v>
      </c>
    </row>
    <row r="9" spans="2:9" x14ac:dyDescent="0.45">
      <c r="B9" s="359" t="s">
        <v>165</v>
      </c>
      <c r="C9" s="359" t="s">
        <v>166</v>
      </c>
      <c r="D9" s="359" t="s">
        <v>4328</v>
      </c>
      <c r="E9" s="359" t="s">
        <v>4329</v>
      </c>
      <c r="G9" s="360" t="s">
        <v>4317</v>
      </c>
      <c r="H9" s="360">
        <v>2.2000000000000002</v>
      </c>
      <c r="I9" s="360">
        <v>4.2000000000000003E-2</v>
      </c>
    </row>
    <row r="10" spans="2:9" x14ac:dyDescent="0.45">
      <c r="B10" s="361" t="s">
        <v>335</v>
      </c>
      <c r="C10" s="361" t="s">
        <v>336</v>
      </c>
      <c r="D10" s="361">
        <v>2.7</v>
      </c>
      <c r="E10" s="361">
        <v>0.129</v>
      </c>
      <c r="G10" s="360" t="s">
        <v>4318</v>
      </c>
      <c r="H10" s="360">
        <v>2.5</v>
      </c>
      <c r="I10" s="360">
        <v>6.8000000000000005E-2</v>
      </c>
    </row>
    <row r="11" spans="2:9" x14ac:dyDescent="0.45">
      <c r="B11" s="361" t="s">
        <v>341</v>
      </c>
      <c r="C11" s="361" t="s">
        <v>342</v>
      </c>
      <c r="D11" s="361">
        <v>2.8</v>
      </c>
      <c r="E11" s="361">
        <v>0.184</v>
      </c>
    </row>
    <row r="12" spans="2:9" x14ac:dyDescent="0.45">
      <c r="B12" s="361" t="s">
        <v>338</v>
      </c>
      <c r="C12" s="361" t="s">
        <v>339</v>
      </c>
      <c r="D12" s="361">
        <v>2.7</v>
      </c>
      <c r="E12" s="361">
        <v>9.1999999999999998E-2</v>
      </c>
    </row>
    <row r="13" spans="2:9" ht="19.899999999999999" x14ac:dyDescent="0.7">
      <c r="B13" s="361" t="s">
        <v>250</v>
      </c>
      <c r="C13" s="361" t="s">
        <v>251</v>
      </c>
      <c r="D13" s="361">
        <v>2.1</v>
      </c>
      <c r="E13" s="361">
        <v>0.14099999999999999</v>
      </c>
      <c r="G13" s="329" t="s">
        <v>4319</v>
      </c>
    </row>
    <row r="14" spans="2:9" x14ac:dyDescent="0.45">
      <c r="B14" s="361" t="s">
        <v>258</v>
      </c>
      <c r="C14" s="361" t="s">
        <v>259</v>
      </c>
      <c r="D14" s="361">
        <v>1.8</v>
      </c>
      <c r="E14" s="361">
        <v>0.22500000000000001</v>
      </c>
    </row>
    <row r="15" spans="2:9" ht="17.649999999999999" x14ac:dyDescent="0.45">
      <c r="B15" s="361" t="s">
        <v>276</v>
      </c>
      <c r="C15" s="361" t="s">
        <v>277</v>
      </c>
      <c r="D15" s="361">
        <v>2.4</v>
      </c>
      <c r="E15" s="361">
        <v>0.21</v>
      </c>
      <c r="G15" s="362" t="s">
        <v>4320</v>
      </c>
    </row>
    <row r="16" spans="2:9" x14ac:dyDescent="0.45">
      <c r="B16" s="361" t="s">
        <v>316</v>
      </c>
      <c r="C16" s="361" t="s">
        <v>317</v>
      </c>
      <c r="D16" s="361">
        <v>2.1</v>
      </c>
      <c r="E16" s="361">
        <v>0.159</v>
      </c>
      <c r="G16" s="27" t="s">
        <v>4321</v>
      </c>
    </row>
    <row r="17" spans="2:10" x14ac:dyDescent="0.45">
      <c r="B17" s="361" t="s">
        <v>324</v>
      </c>
      <c r="C17" s="361" t="s">
        <v>325</v>
      </c>
      <c r="D17" s="361">
        <v>1.3</v>
      </c>
      <c r="E17" s="361">
        <v>0.24299999999999999</v>
      </c>
    </row>
    <row r="18" spans="2:10" x14ac:dyDescent="0.45">
      <c r="B18" s="361" t="s">
        <v>332</v>
      </c>
      <c r="C18" s="361" t="s">
        <v>333</v>
      </c>
      <c r="D18" s="361">
        <v>2.4</v>
      </c>
      <c r="E18" s="361">
        <v>0.155</v>
      </c>
      <c r="G18" s="2" t="s">
        <v>4315</v>
      </c>
      <c r="H18" s="2" t="s">
        <v>3778</v>
      </c>
      <c r="I18" s="2" t="s">
        <v>4322</v>
      </c>
      <c r="J18" s="2" t="s">
        <v>4314</v>
      </c>
    </row>
    <row r="19" spans="2:10" x14ac:dyDescent="0.45">
      <c r="B19" s="361" t="s">
        <v>282</v>
      </c>
      <c r="C19" s="361" t="s">
        <v>283</v>
      </c>
      <c r="D19" s="361">
        <v>2.1</v>
      </c>
      <c r="E19" s="361">
        <v>0.222</v>
      </c>
      <c r="G19" s="359" t="s">
        <v>4330</v>
      </c>
      <c r="H19" s="359" t="s">
        <v>4331</v>
      </c>
      <c r="I19" s="359" t="s">
        <v>4328</v>
      </c>
      <c r="J19" s="359" t="s">
        <v>4329</v>
      </c>
    </row>
    <row r="20" spans="2:10" x14ac:dyDescent="0.45">
      <c r="B20" s="361" t="s">
        <v>346</v>
      </c>
      <c r="C20" s="361" t="s">
        <v>347</v>
      </c>
      <c r="D20" s="361">
        <v>2.2000000000000002</v>
      </c>
      <c r="E20" s="361">
        <v>0.157</v>
      </c>
      <c r="G20" s="360" t="s">
        <v>4317</v>
      </c>
      <c r="H20" s="360" t="s">
        <v>4323</v>
      </c>
      <c r="I20" s="360">
        <v>2.5</v>
      </c>
      <c r="J20" s="360">
        <v>0.20499999999999999</v>
      </c>
    </row>
    <row r="21" spans="2:10" x14ac:dyDescent="0.45">
      <c r="B21" s="361" t="s">
        <v>279</v>
      </c>
      <c r="C21" s="361" t="s">
        <v>280</v>
      </c>
      <c r="D21" s="361">
        <v>2.2999999999999998</v>
      </c>
      <c r="E21" s="361">
        <v>0.104</v>
      </c>
      <c r="G21" s="360" t="s">
        <v>4317</v>
      </c>
      <c r="H21" s="360" t="s">
        <v>4324</v>
      </c>
      <c r="I21" s="360">
        <v>2.2000000000000002</v>
      </c>
      <c r="J21" s="360">
        <v>4.1000000000000002E-2</v>
      </c>
    </row>
    <row r="22" spans="2:10" x14ac:dyDescent="0.45">
      <c r="B22" s="361" t="s">
        <v>2111</v>
      </c>
      <c r="C22" s="361" t="s">
        <v>2112</v>
      </c>
      <c r="D22" s="363" t="s">
        <v>4325</v>
      </c>
      <c r="E22" s="363" t="s">
        <v>4325</v>
      </c>
      <c r="G22" s="360" t="s">
        <v>4318</v>
      </c>
      <c r="H22" s="360" t="s">
        <v>4323</v>
      </c>
      <c r="I22" s="360">
        <v>2.8</v>
      </c>
      <c r="J22" s="360">
        <v>0.28599999999999998</v>
      </c>
    </row>
    <row r="23" spans="2:10" x14ac:dyDescent="0.45">
      <c r="B23" s="361" t="s">
        <v>285</v>
      </c>
      <c r="C23" s="361" t="s">
        <v>286</v>
      </c>
      <c r="D23" s="361">
        <v>2.7</v>
      </c>
      <c r="E23" s="361">
        <v>0.155</v>
      </c>
      <c r="G23" s="360" t="s">
        <v>4318</v>
      </c>
      <c r="H23" s="360" t="s">
        <v>4324</v>
      </c>
      <c r="I23" s="360">
        <v>2.5</v>
      </c>
      <c r="J23" s="360">
        <v>7.0000000000000007E-2</v>
      </c>
    </row>
    <row r="24" spans="2:10" x14ac:dyDescent="0.45">
      <c r="B24" s="361" t="s">
        <v>288</v>
      </c>
      <c r="C24" s="361" t="s">
        <v>289</v>
      </c>
      <c r="D24" s="361">
        <v>2.4</v>
      </c>
      <c r="E24" s="361">
        <v>0.36599999999999999</v>
      </c>
    </row>
    <row r="25" spans="2:10" ht="17.649999999999999" x14ac:dyDescent="0.45">
      <c r="B25" s="361" t="s">
        <v>296</v>
      </c>
      <c r="C25" s="361" t="s">
        <v>297</v>
      </c>
      <c r="D25" s="361">
        <v>2.4</v>
      </c>
      <c r="E25" s="361">
        <v>0.109</v>
      </c>
      <c r="G25" s="362"/>
    </row>
    <row r="26" spans="2:10" x14ac:dyDescent="0.45">
      <c r="B26" s="361" t="s">
        <v>299</v>
      </c>
      <c r="C26" s="361" t="s">
        <v>300</v>
      </c>
      <c r="D26" s="361">
        <v>2.2999999999999998</v>
      </c>
      <c r="E26" s="361">
        <v>0.16200000000000001</v>
      </c>
    </row>
    <row r="27" spans="2:10" x14ac:dyDescent="0.45">
      <c r="B27" s="361" t="s">
        <v>302</v>
      </c>
      <c r="C27" s="361" t="s">
        <v>303</v>
      </c>
      <c r="D27" s="361">
        <v>2.7</v>
      </c>
      <c r="E27" s="361">
        <v>0.33400000000000002</v>
      </c>
    </row>
    <row r="28" spans="2:10" x14ac:dyDescent="0.45">
      <c r="B28" s="361" t="s">
        <v>305</v>
      </c>
      <c r="C28" s="361" t="s">
        <v>306</v>
      </c>
      <c r="D28" s="361">
        <v>1.8</v>
      </c>
      <c r="E28" s="361">
        <v>6.8000000000000005E-2</v>
      </c>
    </row>
    <row r="29" spans="2:10" x14ac:dyDescent="0.45">
      <c r="B29" s="361" t="s">
        <v>313</v>
      </c>
      <c r="C29" s="361" t="s">
        <v>314</v>
      </c>
      <c r="D29" s="361">
        <v>2.5</v>
      </c>
      <c r="E29" s="361">
        <v>0.19</v>
      </c>
    </row>
    <row r="30" spans="2:10" x14ac:dyDescent="0.45">
      <c r="B30" s="361" t="s">
        <v>243</v>
      </c>
      <c r="C30" s="361" t="s">
        <v>244</v>
      </c>
      <c r="D30" s="361">
        <v>2.2999999999999998</v>
      </c>
      <c r="E30" s="361">
        <v>8.5999999999999993E-2</v>
      </c>
    </row>
    <row r="31" spans="2:10" x14ac:dyDescent="0.45">
      <c r="B31" s="361" t="s">
        <v>247</v>
      </c>
      <c r="C31" s="361" t="s">
        <v>248</v>
      </c>
      <c r="D31" s="361">
        <v>2.7</v>
      </c>
      <c r="E31" s="361">
        <v>0.20399999999999999</v>
      </c>
    </row>
    <row r="32" spans="2:10" x14ac:dyDescent="0.45">
      <c r="B32" s="361" t="s">
        <v>265</v>
      </c>
      <c r="C32" s="361" t="s">
        <v>266</v>
      </c>
      <c r="D32" s="361">
        <v>2.7</v>
      </c>
      <c r="E32" s="361">
        <v>0.317</v>
      </c>
    </row>
    <row r="33" spans="2:5" x14ac:dyDescent="0.45">
      <c r="B33" s="361" t="s">
        <v>268</v>
      </c>
      <c r="C33" s="361" t="s">
        <v>269</v>
      </c>
      <c r="D33" s="361">
        <v>1.9</v>
      </c>
      <c r="E33" s="361">
        <v>0.14099999999999999</v>
      </c>
    </row>
    <row r="34" spans="2:5" x14ac:dyDescent="0.45">
      <c r="B34" s="361" t="s">
        <v>262</v>
      </c>
      <c r="C34" s="361" t="s">
        <v>263</v>
      </c>
      <c r="D34" s="361">
        <v>1.8</v>
      </c>
      <c r="E34" s="361">
        <v>0.23400000000000001</v>
      </c>
    </row>
    <row r="35" spans="2:5" x14ac:dyDescent="0.45">
      <c r="B35" s="361" t="s">
        <v>4326</v>
      </c>
      <c r="C35" s="361"/>
      <c r="D35" s="361">
        <v>2.2999999999999998</v>
      </c>
      <c r="E35" s="361">
        <v>3.6999999999999998E-2</v>
      </c>
    </row>
    <row r="36" spans="2:5" x14ac:dyDescent="0.45">
      <c r="B36"/>
      <c r="C36"/>
      <c r="D36"/>
    </row>
    <row r="37" spans="2:5" x14ac:dyDescent="0.45">
      <c r="B37" s="385" t="s">
        <v>4327</v>
      </c>
      <c r="C37" s="386"/>
      <c r="D37" s="386"/>
      <c r="E37" s="386"/>
    </row>
  </sheetData>
  <mergeCells count="1">
    <mergeCell ref="B37:E37"/>
  </mergeCells>
  <pageMargins left="0.7" right="0.7" top="0.75" bottom="0.75" header="0.3" footer="0.3"/>
  <tableParts count="3">
    <tablePart r:id="rId1"/>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85FA4-2DE0-4A6F-A3BA-D4997C2894A9}">
  <sheetPr codeName="Sheet22"/>
  <dimension ref="A1:R1477"/>
  <sheetViews>
    <sheetView showGridLines="0" zoomScaleNormal="100" workbookViewId="0">
      <pane ySplit="6" topLeftCell="A7" activePane="bottomLeft" state="frozen"/>
      <selection pane="bottomLeft"/>
    </sheetView>
  </sheetViews>
  <sheetFormatPr defaultRowHeight="14.25" x14ac:dyDescent="0.45"/>
  <cols>
    <col min="1" max="1" width="19.46484375" customWidth="1"/>
    <col min="2" max="2" width="15.1328125" bestFit="1" customWidth="1"/>
    <col min="3" max="3" width="18.59765625" bestFit="1" customWidth="1"/>
    <col min="4" max="4" width="15.1328125" bestFit="1" customWidth="1"/>
    <col min="5" max="5" width="14.59765625" bestFit="1" customWidth="1"/>
    <col min="6" max="6" width="15.1328125" bestFit="1" customWidth="1"/>
    <col min="7" max="7" width="14.86328125" bestFit="1" customWidth="1"/>
    <col min="8" max="8" width="31.86328125" customWidth="1"/>
    <col min="9" max="9" width="8.46484375" bestFit="1" customWidth="1"/>
    <col min="10" max="10" width="16.3984375" customWidth="1"/>
    <col min="11" max="14" width="15.06640625" customWidth="1"/>
    <col min="15" max="15" width="22.86328125" customWidth="1"/>
    <col min="16" max="16" width="10.6640625" bestFit="1" customWidth="1"/>
    <col min="17" max="17" width="12.3984375" bestFit="1" customWidth="1"/>
    <col min="18" max="19" width="10.6640625" bestFit="1" customWidth="1"/>
    <col min="20" max="30" width="15.1328125" bestFit="1" customWidth="1"/>
    <col min="31" max="31" width="10.6640625" bestFit="1" customWidth="1"/>
  </cols>
  <sheetData>
    <row r="1" spans="1:18" ht="19.899999999999999" x14ac:dyDescent="0.45">
      <c r="A1" s="26" t="s">
        <v>730</v>
      </c>
      <c r="B1" s="27"/>
      <c r="C1" s="28"/>
      <c r="D1" s="27"/>
      <c r="E1" s="27"/>
      <c r="F1" s="27"/>
      <c r="G1" s="27"/>
      <c r="H1" s="27"/>
      <c r="I1" s="27"/>
      <c r="J1" s="27"/>
      <c r="K1" s="27"/>
    </row>
    <row r="2" spans="1:18" ht="19.899999999999999" x14ac:dyDescent="0.45">
      <c r="A2" s="29" t="s">
        <v>4264</v>
      </c>
      <c r="B2" s="27"/>
      <c r="C2" s="28"/>
      <c r="D2" s="27"/>
      <c r="E2" s="27"/>
      <c r="F2" s="27"/>
      <c r="G2" s="27"/>
      <c r="H2" s="27"/>
      <c r="I2" s="27"/>
      <c r="J2" s="27"/>
      <c r="K2" s="27"/>
    </row>
    <row r="3" spans="1:18" x14ac:dyDescent="0.45">
      <c r="A3" s="5" t="str">
        <f>ActivityList!A3</f>
        <v>Release Date: 13 January 2026</v>
      </c>
      <c r="B3" s="27"/>
      <c r="C3" s="28"/>
      <c r="D3" s="27"/>
      <c r="E3" s="27"/>
      <c r="F3" s="27"/>
      <c r="G3" s="27"/>
      <c r="H3" s="27"/>
      <c r="I3" s="27"/>
      <c r="J3" s="27"/>
      <c r="K3" s="27"/>
    </row>
    <row r="4" spans="1:18" ht="13.05" customHeight="1" x14ac:dyDescent="0.7">
      <c r="A4" s="30"/>
      <c r="B4" s="27"/>
      <c r="C4" s="28"/>
      <c r="D4" s="27"/>
      <c r="E4" s="27"/>
      <c r="F4" s="27"/>
      <c r="G4" s="27"/>
      <c r="H4" s="27"/>
      <c r="I4" s="27"/>
      <c r="J4" s="27"/>
      <c r="K4" s="27"/>
    </row>
    <row r="5" spans="1:18" s="33" customFormat="1" ht="39.950000000000003" customHeight="1" x14ac:dyDescent="0.45">
      <c r="A5" s="31" t="s">
        <v>731</v>
      </c>
      <c r="B5" s="31" t="s">
        <v>732</v>
      </c>
      <c r="C5" s="31" t="s">
        <v>733</v>
      </c>
      <c r="D5" s="31" t="s">
        <v>734</v>
      </c>
      <c r="E5" s="31" t="s">
        <v>735</v>
      </c>
      <c r="F5" s="31" t="s">
        <v>736</v>
      </c>
      <c r="G5" s="32" t="s">
        <v>737</v>
      </c>
      <c r="H5" s="31" t="s">
        <v>738</v>
      </c>
      <c r="I5" s="31" t="s">
        <v>4252</v>
      </c>
      <c r="J5" s="32" t="s">
        <v>739</v>
      </c>
      <c r="K5" s="32" t="s">
        <v>4340</v>
      </c>
      <c r="L5" s="32" t="s">
        <v>4341</v>
      </c>
      <c r="M5" s="32" t="s">
        <v>4343</v>
      </c>
      <c r="N5" s="32" t="s">
        <v>4342</v>
      </c>
      <c r="O5"/>
    </row>
    <row r="6" spans="1:18" x14ac:dyDescent="0.45">
      <c r="A6" s="6" t="s">
        <v>740</v>
      </c>
      <c r="B6" s="6" t="s">
        <v>741</v>
      </c>
      <c r="C6" s="6" t="s">
        <v>742</v>
      </c>
      <c r="D6" s="6" t="s">
        <v>743</v>
      </c>
      <c r="E6" s="6" t="s">
        <v>165</v>
      </c>
      <c r="F6" s="6" t="s">
        <v>166</v>
      </c>
      <c r="G6" s="6" t="s">
        <v>744</v>
      </c>
      <c r="H6" s="6" t="s">
        <v>745</v>
      </c>
      <c r="I6" s="6" t="s">
        <v>168</v>
      </c>
      <c r="J6" s="6" t="s">
        <v>169</v>
      </c>
      <c r="K6" s="6" t="s">
        <v>4337</v>
      </c>
      <c r="L6" s="6" t="s">
        <v>4336</v>
      </c>
      <c r="M6" s="6" t="s">
        <v>4338</v>
      </c>
      <c r="N6" s="6" t="s">
        <v>4339</v>
      </c>
      <c r="P6" s="33"/>
      <c r="R6" s="33"/>
    </row>
    <row r="7" spans="1:18" x14ac:dyDescent="0.45">
      <c r="A7" t="s">
        <v>746</v>
      </c>
      <c r="B7" t="s">
        <v>747</v>
      </c>
      <c r="C7" t="s">
        <v>748</v>
      </c>
      <c r="D7" t="s">
        <v>749</v>
      </c>
      <c r="E7" t="s">
        <v>243</v>
      </c>
      <c r="F7" t="s">
        <v>244</v>
      </c>
      <c r="G7" t="s">
        <v>750</v>
      </c>
      <c r="H7" t="s">
        <v>751</v>
      </c>
      <c r="I7" t="s">
        <v>199</v>
      </c>
      <c r="J7" t="s">
        <v>246</v>
      </c>
      <c r="M7">
        <v>1</v>
      </c>
      <c r="N7">
        <v>1</v>
      </c>
      <c r="P7" s="33"/>
      <c r="R7" s="33"/>
    </row>
    <row r="8" spans="1:18" x14ac:dyDescent="0.45">
      <c r="A8" t="s">
        <v>243</v>
      </c>
      <c r="B8" t="s">
        <v>752</v>
      </c>
      <c r="C8" t="s">
        <v>748</v>
      </c>
      <c r="D8" t="s">
        <v>749</v>
      </c>
      <c r="E8" t="s">
        <v>243</v>
      </c>
      <c r="F8" t="s">
        <v>244</v>
      </c>
      <c r="G8" t="s">
        <v>750</v>
      </c>
      <c r="H8" t="s">
        <v>751</v>
      </c>
      <c r="I8" t="s">
        <v>199</v>
      </c>
      <c r="J8" t="s">
        <v>246</v>
      </c>
      <c r="M8">
        <v>1</v>
      </c>
      <c r="N8">
        <v>1</v>
      </c>
      <c r="P8" s="33"/>
      <c r="R8" s="33"/>
    </row>
    <row r="9" spans="1:18" x14ac:dyDescent="0.45">
      <c r="A9" t="s">
        <v>753</v>
      </c>
      <c r="B9" t="s">
        <v>754</v>
      </c>
      <c r="C9" t="s">
        <v>748</v>
      </c>
      <c r="D9" t="s">
        <v>749</v>
      </c>
      <c r="E9" t="s">
        <v>243</v>
      </c>
      <c r="F9" t="s">
        <v>244</v>
      </c>
      <c r="G9" t="s">
        <v>750</v>
      </c>
      <c r="H9" t="s">
        <v>751</v>
      </c>
      <c r="I9" t="s">
        <v>199</v>
      </c>
      <c r="J9" t="s">
        <v>246</v>
      </c>
      <c r="M9">
        <v>1</v>
      </c>
      <c r="N9">
        <v>1</v>
      </c>
      <c r="R9" s="33"/>
    </row>
    <row r="10" spans="1:18" x14ac:dyDescent="0.45">
      <c r="A10" t="s">
        <v>755</v>
      </c>
      <c r="B10" t="s">
        <v>756</v>
      </c>
      <c r="C10" t="s">
        <v>748</v>
      </c>
      <c r="D10" t="s">
        <v>749</v>
      </c>
      <c r="E10" t="s">
        <v>243</v>
      </c>
      <c r="F10" t="s">
        <v>244</v>
      </c>
      <c r="G10" t="s">
        <v>750</v>
      </c>
      <c r="H10" t="s">
        <v>751</v>
      </c>
      <c r="I10" t="s">
        <v>199</v>
      </c>
      <c r="J10" t="s">
        <v>246</v>
      </c>
      <c r="M10">
        <v>1</v>
      </c>
      <c r="N10">
        <v>1</v>
      </c>
      <c r="R10" s="33"/>
    </row>
    <row r="11" spans="1:18" x14ac:dyDescent="0.45">
      <c r="A11" t="s">
        <v>757</v>
      </c>
      <c r="B11" t="s">
        <v>758</v>
      </c>
      <c r="C11" t="s">
        <v>748</v>
      </c>
      <c r="D11" t="s">
        <v>749</v>
      </c>
      <c r="E11" t="s">
        <v>243</v>
      </c>
      <c r="F11" t="s">
        <v>244</v>
      </c>
      <c r="G11" t="s">
        <v>750</v>
      </c>
      <c r="H11" t="s">
        <v>751</v>
      </c>
      <c r="I11" t="s">
        <v>199</v>
      </c>
      <c r="J11" t="s">
        <v>246</v>
      </c>
      <c r="M11">
        <v>1</v>
      </c>
      <c r="N11">
        <v>1</v>
      </c>
      <c r="R11" s="33"/>
    </row>
    <row r="12" spans="1:18" x14ac:dyDescent="0.45">
      <c r="A12" t="s">
        <v>759</v>
      </c>
      <c r="B12" t="s">
        <v>760</v>
      </c>
      <c r="C12" t="s">
        <v>748</v>
      </c>
      <c r="D12" t="s">
        <v>749</v>
      </c>
      <c r="E12" t="s">
        <v>243</v>
      </c>
      <c r="F12" t="s">
        <v>244</v>
      </c>
      <c r="G12" t="s">
        <v>750</v>
      </c>
      <c r="H12" t="s">
        <v>751</v>
      </c>
      <c r="I12" t="s">
        <v>199</v>
      </c>
      <c r="J12" t="s">
        <v>246</v>
      </c>
      <c r="M12">
        <v>1</v>
      </c>
      <c r="N12">
        <v>1</v>
      </c>
      <c r="R12" s="33"/>
    </row>
    <row r="13" spans="1:18" x14ac:dyDescent="0.45">
      <c r="A13" t="s">
        <v>761</v>
      </c>
      <c r="B13" t="s">
        <v>762</v>
      </c>
      <c r="C13" t="s">
        <v>748</v>
      </c>
      <c r="D13" t="s">
        <v>749</v>
      </c>
      <c r="E13" t="s">
        <v>243</v>
      </c>
      <c r="F13" t="s">
        <v>244</v>
      </c>
      <c r="G13" t="s">
        <v>750</v>
      </c>
      <c r="H13" t="s">
        <v>751</v>
      </c>
      <c r="I13" t="s">
        <v>199</v>
      </c>
      <c r="J13" t="s">
        <v>246</v>
      </c>
      <c r="M13">
        <v>1</v>
      </c>
      <c r="N13">
        <v>1</v>
      </c>
      <c r="R13" s="33"/>
    </row>
    <row r="14" spans="1:18" x14ac:dyDescent="0.45">
      <c r="A14" t="s">
        <v>763</v>
      </c>
      <c r="B14" t="s">
        <v>764</v>
      </c>
      <c r="C14" t="s">
        <v>748</v>
      </c>
      <c r="D14" t="s">
        <v>749</v>
      </c>
      <c r="E14" t="s">
        <v>243</v>
      </c>
      <c r="F14" t="s">
        <v>244</v>
      </c>
      <c r="G14" t="s">
        <v>750</v>
      </c>
      <c r="H14" t="s">
        <v>751</v>
      </c>
      <c r="I14" t="s">
        <v>199</v>
      </c>
      <c r="J14" t="s">
        <v>246</v>
      </c>
      <c r="M14">
        <v>1</v>
      </c>
      <c r="N14">
        <v>1</v>
      </c>
      <c r="R14" s="33"/>
    </row>
    <row r="15" spans="1:18" x14ac:dyDescent="0.45">
      <c r="A15" t="s">
        <v>765</v>
      </c>
      <c r="B15" t="s">
        <v>766</v>
      </c>
      <c r="C15" t="s">
        <v>748</v>
      </c>
      <c r="D15" t="s">
        <v>749</v>
      </c>
      <c r="E15" t="s">
        <v>243</v>
      </c>
      <c r="F15" t="s">
        <v>244</v>
      </c>
      <c r="G15" t="s">
        <v>750</v>
      </c>
      <c r="H15" t="s">
        <v>751</v>
      </c>
      <c r="I15" t="s">
        <v>199</v>
      </c>
      <c r="J15" t="s">
        <v>246</v>
      </c>
      <c r="M15">
        <v>1</v>
      </c>
      <c r="N15">
        <v>1</v>
      </c>
      <c r="R15" s="33"/>
    </row>
    <row r="16" spans="1:18" x14ac:dyDescent="0.45">
      <c r="A16" t="s">
        <v>767</v>
      </c>
      <c r="B16" t="s">
        <v>768</v>
      </c>
      <c r="C16" t="s">
        <v>748</v>
      </c>
      <c r="D16" t="s">
        <v>749</v>
      </c>
      <c r="E16" t="s">
        <v>243</v>
      </c>
      <c r="F16" t="s">
        <v>244</v>
      </c>
      <c r="G16" t="s">
        <v>750</v>
      </c>
      <c r="H16" t="s">
        <v>751</v>
      </c>
      <c r="I16" t="s">
        <v>199</v>
      </c>
      <c r="J16" t="s">
        <v>246</v>
      </c>
      <c r="M16">
        <v>1</v>
      </c>
      <c r="N16">
        <v>1</v>
      </c>
      <c r="R16" s="33"/>
    </row>
    <row r="17" spans="1:18" x14ac:dyDescent="0.45">
      <c r="A17" t="s">
        <v>769</v>
      </c>
      <c r="B17" t="s">
        <v>770</v>
      </c>
      <c r="C17" t="s">
        <v>748</v>
      </c>
      <c r="D17" t="s">
        <v>749</v>
      </c>
      <c r="E17" t="s">
        <v>243</v>
      </c>
      <c r="F17" t="s">
        <v>244</v>
      </c>
      <c r="G17" t="s">
        <v>750</v>
      </c>
      <c r="H17" t="s">
        <v>751</v>
      </c>
      <c r="I17" t="s">
        <v>199</v>
      </c>
      <c r="J17" t="s">
        <v>246</v>
      </c>
      <c r="M17">
        <v>1</v>
      </c>
      <c r="N17">
        <v>1</v>
      </c>
      <c r="R17" s="33"/>
    </row>
    <row r="18" spans="1:18" x14ac:dyDescent="0.45">
      <c r="A18" t="s">
        <v>771</v>
      </c>
      <c r="B18" t="s">
        <v>772</v>
      </c>
      <c r="C18" t="s">
        <v>748</v>
      </c>
      <c r="D18" t="s">
        <v>749</v>
      </c>
      <c r="E18" t="s">
        <v>243</v>
      </c>
      <c r="F18" t="s">
        <v>244</v>
      </c>
      <c r="G18" t="s">
        <v>750</v>
      </c>
      <c r="H18" t="s">
        <v>751</v>
      </c>
      <c r="I18" t="s">
        <v>199</v>
      </c>
      <c r="J18" t="s">
        <v>246</v>
      </c>
      <c r="M18">
        <v>1</v>
      </c>
      <c r="N18">
        <v>1</v>
      </c>
      <c r="R18" s="33"/>
    </row>
    <row r="19" spans="1:18" x14ac:dyDescent="0.45">
      <c r="A19" t="s">
        <v>773</v>
      </c>
      <c r="B19" t="s">
        <v>774</v>
      </c>
      <c r="C19" t="s">
        <v>748</v>
      </c>
      <c r="D19" t="s">
        <v>749</v>
      </c>
      <c r="E19" t="s">
        <v>243</v>
      </c>
      <c r="F19" t="s">
        <v>244</v>
      </c>
      <c r="G19" t="s">
        <v>750</v>
      </c>
      <c r="H19" t="s">
        <v>751</v>
      </c>
      <c r="I19" t="s">
        <v>199</v>
      </c>
      <c r="J19" t="s">
        <v>246</v>
      </c>
      <c r="M19">
        <v>1</v>
      </c>
      <c r="N19">
        <v>1</v>
      </c>
      <c r="R19" s="33"/>
    </row>
    <row r="20" spans="1:18" x14ac:dyDescent="0.45">
      <c r="A20" t="s">
        <v>775</v>
      </c>
      <c r="B20" t="s">
        <v>776</v>
      </c>
      <c r="C20" t="s">
        <v>748</v>
      </c>
      <c r="D20" t="s">
        <v>749</v>
      </c>
      <c r="E20" t="s">
        <v>243</v>
      </c>
      <c r="F20" t="s">
        <v>244</v>
      </c>
      <c r="G20" t="s">
        <v>750</v>
      </c>
      <c r="H20" t="s">
        <v>751</v>
      </c>
      <c r="I20" t="s">
        <v>199</v>
      </c>
      <c r="J20" t="s">
        <v>246</v>
      </c>
      <c r="M20">
        <v>1</v>
      </c>
      <c r="N20">
        <v>1</v>
      </c>
      <c r="R20" s="33"/>
    </row>
    <row r="21" spans="1:18" x14ac:dyDescent="0.45">
      <c r="A21" t="s">
        <v>777</v>
      </c>
      <c r="B21" t="s">
        <v>778</v>
      </c>
      <c r="C21" t="s">
        <v>748</v>
      </c>
      <c r="D21" t="s">
        <v>749</v>
      </c>
      <c r="E21" t="s">
        <v>243</v>
      </c>
      <c r="F21" t="s">
        <v>244</v>
      </c>
      <c r="G21" t="s">
        <v>750</v>
      </c>
      <c r="H21" t="s">
        <v>751</v>
      </c>
      <c r="I21" t="s">
        <v>199</v>
      </c>
      <c r="J21" t="s">
        <v>246</v>
      </c>
      <c r="M21">
        <v>1</v>
      </c>
      <c r="N21">
        <v>1</v>
      </c>
      <c r="R21" s="33"/>
    </row>
    <row r="22" spans="1:18" x14ac:dyDescent="0.45">
      <c r="A22" t="s">
        <v>779</v>
      </c>
      <c r="B22" t="s">
        <v>780</v>
      </c>
      <c r="C22" t="s">
        <v>748</v>
      </c>
      <c r="D22" t="s">
        <v>749</v>
      </c>
      <c r="E22" t="s">
        <v>243</v>
      </c>
      <c r="F22" t="s">
        <v>244</v>
      </c>
      <c r="G22" t="s">
        <v>750</v>
      </c>
      <c r="H22" t="s">
        <v>751</v>
      </c>
      <c r="I22" t="s">
        <v>199</v>
      </c>
      <c r="J22" t="s">
        <v>246</v>
      </c>
      <c r="M22">
        <v>1</v>
      </c>
      <c r="N22">
        <v>1</v>
      </c>
      <c r="R22" s="33"/>
    </row>
    <row r="23" spans="1:18" x14ac:dyDescent="0.45">
      <c r="A23" t="s">
        <v>781</v>
      </c>
      <c r="B23" t="s">
        <v>782</v>
      </c>
      <c r="C23" t="s">
        <v>783</v>
      </c>
      <c r="D23" t="s">
        <v>784</v>
      </c>
      <c r="E23" t="s">
        <v>243</v>
      </c>
      <c r="F23" t="s">
        <v>244</v>
      </c>
      <c r="G23" t="s">
        <v>750</v>
      </c>
      <c r="H23" t="s">
        <v>751</v>
      </c>
      <c r="I23" t="s">
        <v>199</v>
      </c>
      <c r="J23" t="s">
        <v>246</v>
      </c>
      <c r="M23">
        <v>1</v>
      </c>
      <c r="N23">
        <v>1</v>
      </c>
      <c r="R23" s="33"/>
    </row>
    <row r="24" spans="1:18" x14ac:dyDescent="0.45">
      <c r="A24" t="s">
        <v>785</v>
      </c>
      <c r="B24" t="s">
        <v>786</v>
      </c>
      <c r="C24" t="s">
        <v>783</v>
      </c>
      <c r="D24" t="s">
        <v>784</v>
      </c>
      <c r="E24" t="s">
        <v>243</v>
      </c>
      <c r="F24" t="s">
        <v>244</v>
      </c>
      <c r="G24" t="s">
        <v>750</v>
      </c>
      <c r="H24" t="s">
        <v>751</v>
      </c>
      <c r="I24" t="s">
        <v>199</v>
      </c>
      <c r="J24" t="s">
        <v>246</v>
      </c>
      <c r="M24">
        <v>1</v>
      </c>
      <c r="N24">
        <v>1</v>
      </c>
      <c r="R24" s="33"/>
    </row>
    <row r="25" spans="1:18" x14ac:dyDescent="0.45">
      <c r="A25" t="s">
        <v>787</v>
      </c>
      <c r="B25" t="s">
        <v>788</v>
      </c>
      <c r="C25" t="s">
        <v>783</v>
      </c>
      <c r="D25" t="s">
        <v>784</v>
      </c>
      <c r="E25" t="s">
        <v>243</v>
      </c>
      <c r="F25" t="s">
        <v>244</v>
      </c>
      <c r="G25" t="s">
        <v>750</v>
      </c>
      <c r="H25" t="s">
        <v>751</v>
      </c>
      <c r="I25" t="s">
        <v>199</v>
      </c>
      <c r="J25" t="s">
        <v>246</v>
      </c>
      <c r="M25">
        <v>1</v>
      </c>
      <c r="N25">
        <v>1</v>
      </c>
      <c r="R25" s="33"/>
    </row>
    <row r="26" spans="1:18" x14ac:dyDescent="0.45">
      <c r="A26" t="s">
        <v>789</v>
      </c>
      <c r="B26" t="s">
        <v>790</v>
      </c>
      <c r="C26" t="s">
        <v>783</v>
      </c>
      <c r="D26" t="s">
        <v>784</v>
      </c>
      <c r="E26" t="s">
        <v>243</v>
      </c>
      <c r="F26" t="s">
        <v>244</v>
      </c>
      <c r="G26" t="s">
        <v>750</v>
      </c>
      <c r="H26" t="s">
        <v>751</v>
      </c>
      <c r="I26" t="s">
        <v>199</v>
      </c>
      <c r="J26" t="s">
        <v>246</v>
      </c>
      <c r="M26">
        <v>1</v>
      </c>
      <c r="N26">
        <v>1</v>
      </c>
      <c r="R26" s="33"/>
    </row>
    <row r="27" spans="1:18" x14ac:dyDescent="0.45">
      <c r="A27" t="s">
        <v>791</v>
      </c>
      <c r="B27" t="s">
        <v>792</v>
      </c>
      <c r="C27" t="s">
        <v>783</v>
      </c>
      <c r="D27" t="s">
        <v>784</v>
      </c>
      <c r="E27" t="s">
        <v>243</v>
      </c>
      <c r="F27" t="s">
        <v>244</v>
      </c>
      <c r="G27" t="s">
        <v>750</v>
      </c>
      <c r="H27" t="s">
        <v>751</v>
      </c>
      <c r="I27" t="s">
        <v>199</v>
      </c>
      <c r="J27" t="s">
        <v>246</v>
      </c>
      <c r="M27">
        <v>1</v>
      </c>
      <c r="N27">
        <v>1</v>
      </c>
      <c r="R27" s="33"/>
    </row>
    <row r="28" spans="1:18" x14ac:dyDescent="0.45">
      <c r="A28" t="s">
        <v>793</v>
      </c>
      <c r="B28" t="s">
        <v>794</v>
      </c>
      <c r="C28" t="s">
        <v>783</v>
      </c>
      <c r="D28" t="s">
        <v>784</v>
      </c>
      <c r="E28" t="s">
        <v>243</v>
      </c>
      <c r="F28" t="s">
        <v>244</v>
      </c>
      <c r="G28" t="s">
        <v>750</v>
      </c>
      <c r="H28" t="s">
        <v>751</v>
      </c>
      <c r="I28" t="s">
        <v>199</v>
      </c>
      <c r="J28" t="s">
        <v>246</v>
      </c>
      <c r="M28">
        <v>1</v>
      </c>
      <c r="N28">
        <v>1</v>
      </c>
      <c r="R28" s="33"/>
    </row>
    <row r="29" spans="1:18" x14ac:dyDescent="0.45">
      <c r="A29" t="s">
        <v>795</v>
      </c>
      <c r="B29" t="s">
        <v>796</v>
      </c>
      <c r="C29" t="s">
        <v>783</v>
      </c>
      <c r="D29" t="s">
        <v>784</v>
      </c>
      <c r="E29" t="s">
        <v>243</v>
      </c>
      <c r="F29" t="s">
        <v>244</v>
      </c>
      <c r="G29" t="s">
        <v>750</v>
      </c>
      <c r="H29" t="s">
        <v>751</v>
      </c>
      <c r="I29" t="s">
        <v>199</v>
      </c>
      <c r="J29" t="s">
        <v>246</v>
      </c>
      <c r="M29">
        <v>1</v>
      </c>
      <c r="N29">
        <v>1</v>
      </c>
      <c r="R29" s="33"/>
    </row>
    <row r="30" spans="1:18" x14ac:dyDescent="0.45">
      <c r="A30" t="s">
        <v>797</v>
      </c>
      <c r="B30" t="s">
        <v>798</v>
      </c>
      <c r="C30" t="s">
        <v>783</v>
      </c>
      <c r="D30" t="s">
        <v>784</v>
      </c>
      <c r="E30" t="s">
        <v>243</v>
      </c>
      <c r="F30" t="s">
        <v>244</v>
      </c>
      <c r="G30" t="s">
        <v>750</v>
      </c>
      <c r="H30" t="s">
        <v>751</v>
      </c>
      <c r="I30" t="s">
        <v>199</v>
      </c>
      <c r="J30" t="s">
        <v>246</v>
      </c>
      <c r="M30">
        <v>1</v>
      </c>
      <c r="N30">
        <v>1</v>
      </c>
      <c r="R30" s="33"/>
    </row>
    <row r="31" spans="1:18" x14ac:dyDescent="0.45">
      <c r="A31" t="s">
        <v>799</v>
      </c>
      <c r="B31" t="s">
        <v>800</v>
      </c>
      <c r="C31" t="s">
        <v>783</v>
      </c>
      <c r="D31" t="s">
        <v>784</v>
      </c>
      <c r="E31" t="s">
        <v>243</v>
      </c>
      <c r="F31" t="s">
        <v>244</v>
      </c>
      <c r="G31" t="s">
        <v>750</v>
      </c>
      <c r="H31" t="s">
        <v>751</v>
      </c>
      <c r="I31" t="s">
        <v>199</v>
      </c>
      <c r="J31" t="s">
        <v>246</v>
      </c>
      <c r="M31">
        <v>1</v>
      </c>
      <c r="N31">
        <v>1</v>
      </c>
      <c r="R31" s="33"/>
    </row>
    <row r="32" spans="1:18" x14ac:dyDescent="0.45">
      <c r="A32" t="s">
        <v>801</v>
      </c>
      <c r="B32" t="s">
        <v>802</v>
      </c>
      <c r="C32" t="s">
        <v>783</v>
      </c>
      <c r="D32" t="s">
        <v>784</v>
      </c>
      <c r="E32" t="s">
        <v>243</v>
      </c>
      <c r="F32" t="s">
        <v>244</v>
      </c>
      <c r="G32" t="s">
        <v>750</v>
      </c>
      <c r="H32" t="s">
        <v>751</v>
      </c>
      <c r="I32" t="s">
        <v>199</v>
      </c>
      <c r="J32" t="s">
        <v>246</v>
      </c>
      <c r="M32">
        <v>1</v>
      </c>
      <c r="N32">
        <v>1</v>
      </c>
      <c r="R32" s="33"/>
    </row>
    <row r="33" spans="1:18" x14ac:dyDescent="0.45">
      <c r="A33" t="s">
        <v>803</v>
      </c>
      <c r="B33" t="s">
        <v>804</v>
      </c>
      <c r="C33" t="s">
        <v>783</v>
      </c>
      <c r="D33" t="s">
        <v>784</v>
      </c>
      <c r="E33" t="s">
        <v>243</v>
      </c>
      <c r="F33" t="s">
        <v>244</v>
      </c>
      <c r="G33" t="s">
        <v>750</v>
      </c>
      <c r="H33" t="s">
        <v>751</v>
      </c>
      <c r="I33" t="s">
        <v>199</v>
      </c>
      <c r="J33" t="s">
        <v>246</v>
      </c>
      <c r="M33">
        <v>1</v>
      </c>
      <c r="N33">
        <v>1</v>
      </c>
      <c r="R33" s="33"/>
    </row>
    <row r="34" spans="1:18" x14ac:dyDescent="0.45">
      <c r="A34" t="s">
        <v>805</v>
      </c>
      <c r="B34" t="s">
        <v>806</v>
      </c>
      <c r="C34" t="s">
        <v>783</v>
      </c>
      <c r="D34" t="s">
        <v>784</v>
      </c>
      <c r="E34" t="s">
        <v>243</v>
      </c>
      <c r="F34" t="s">
        <v>244</v>
      </c>
      <c r="G34" t="s">
        <v>750</v>
      </c>
      <c r="H34" t="s">
        <v>751</v>
      </c>
      <c r="I34" t="s">
        <v>199</v>
      </c>
      <c r="J34" t="s">
        <v>246</v>
      </c>
      <c r="M34">
        <v>1</v>
      </c>
      <c r="N34">
        <v>1</v>
      </c>
      <c r="R34" s="33"/>
    </row>
    <row r="35" spans="1:18" x14ac:dyDescent="0.45">
      <c r="A35" t="s">
        <v>807</v>
      </c>
      <c r="B35" t="s">
        <v>808</v>
      </c>
      <c r="C35" t="s">
        <v>783</v>
      </c>
      <c r="D35" t="s">
        <v>784</v>
      </c>
      <c r="E35" t="s">
        <v>243</v>
      </c>
      <c r="F35" t="s">
        <v>244</v>
      </c>
      <c r="G35" t="s">
        <v>750</v>
      </c>
      <c r="H35" t="s">
        <v>751</v>
      </c>
      <c r="I35" t="s">
        <v>199</v>
      </c>
      <c r="J35" t="s">
        <v>246</v>
      </c>
      <c r="M35">
        <v>1</v>
      </c>
      <c r="N35">
        <v>1</v>
      </c>
      <c r="R35" s="33"/>
    </row>
    <row r="36" spans="1:18" x14ac:dyDescent="0.45">
      <c r="A36" t="s">
        <v>809</v>
      </c>
      <c r="B36" t="s">
        <v>810</v>
      </c>
      <c r="C36" t="s">
        <v>783</v>
      </c>
      <c r="D36" t="s">
        <v>784</v>
      </c>
      <c r="E36" t="s">
        <v>243</v>
      </c>
      <c r="F36" t="s">
        <v>244</v>
      </c>
      <c r="G36" t="s">
        <v>750</v>
      </c>
      <c r="H36" t="s">
        <v>751</v>
      </c>
      <c r="I36" t="s">
        <v>199</v>
      </c>
      <c r="J36" t="s">
        <v>246</v>
      </c>
      <c r="M36">
        <v>1</v>
      </c>
      <c r="N36">
        <v>1</v>
      </c>
      <c r="R36" s="33"/>
    </row>
    <row r="37" spans="1:18" x14ac:dyDescent="0.45">
      <c r="A37" t="s">
        <v>811</v>
      </c>
      <c r="B37" t="s">
        <v>812</v>
      </c>
      <c r="C37" t="s">
        <v>813</v>
      </c>
      <c r="D37" t="s">
        <v>814</v>
      </c>
      <c r="E37" t="s">
        <v>243</v>
      </c>
      <c r="F37" t="s">
        <v>244</v>
      </c>
      <c r="G37" t="s">
        <v>750</v>
      </c>
      <c r="H37" t="s">
        <v>751</v>
      </c>
      <c r="I37" t="s">
        <v>199</v>
      </c>
      <c r="J37" t="s">
        <v>246</v>
      </c>
      <c r="M37">
        <v>1</v>
      </c>
      <c r="N37">
        <v>1</v>
      </c>
      <c r="R37" s="33"/>
    </row>
    <row r="38" spans="1:18" x14ac:dyDescent="0.45">
      <c r="A38" t="s">
        <v>815</v>
      </c>
      <c r="B38" t="s">
        <v>816</v>
      </c>
      <c r="C38" t="s">
        <v>813</v>
      </c>
      <c r="D38" t="s">
        <v>814</v>
      </c>
      <c r="E38" t="s">
        <v>243</v>
      </c>
      <c r="F38" t="s">
        <v>244</v>
      </c>
      <c r="G38" t="s">
        <v>750</v>
      </c>
      <c r="H38" t="s">
        <v>751</v>
      </c>
      <c r="I38" t="s">
        <v>199</v>
      </c>
      <c r="J38" t="s">
        <v>246</v>
      </c>
      <c r="M38">
        <v>1</v>
      </c>
      <c r="N38">
        <v>1</v>
      </c>
      <c r="R38" s="33"/>
    </row>
    <row r="39" spans="1:18" x14ac:dyDescent="0.45">
      <c r="A39" t="s">
        <v>817</v>
      </c>
      <c r="B39" t="s">
        <v>818</v>
      </c>
      <c r="C39" t="s">
        <v>813</v>
      </c>
      <c r="D39" t="s">
        <v>814</v>
      </c>
      <c r="E39" t="s">
        <v>243</v>
      </c>
      <c r="F39" t="s">
        <v>244</v>
      </c>
      <c r="G39" t="s">
        <v>750</v>
      </c>
      <c r="H39" t="s">
        <v>751</v>
      </c>
      <c r="I39" t="s">
        <v>199</v>
      </c>
      <c r="J39" t="s">
        <v>246</v>
      </c>
      <c r="M39">
        <v>1</v>
      </c>
      <c r="N39">
        <v>1</v>
      </c>
      <c r="R39" s="33"/>
    </row>
    <row r="40" spans="1:18" x14ac:dyDescent="0.45">
      <c r="A40" t="s">
        <v>819</v>
      </c>
      <c r="B40" t="s">
        <v>820</v>
      </c>
      <c r="C40" t="s">
        <v>813</v>
      </c>
      <c r="D40" t="s">
        <v>814</v>
      </c>
      <c r="E40" t="s">
        <v>243</v>
      </c>
      <c r="F40" t="s">
        <v>244</v>
      </c>
      <c r="G40" t="s">
        <v>750</v>
      </c>
      <c r="H40" t="s">
        <v>751</v>
      </c>
      <c r="I40" t="s">
        <v>199</v>
      </c>
      <c r="J40" t="s">
        <v>246</v>
      </c>
      <c r="M40">
        <v>1</v>
      </c>
      <c r="N40">
        <v>1</v>
      </c>
      <c r="R40" s="33"/>
    </row>
    <row r="41" spans="1:18" x14ac:dyDescent="0.45">
      <c r="A41" t="s">
        <v>821</v>
      </c>
      <c r="B41" t="s">
        <v>822</v>
      </c>
      <c r="C41" t="s">
        <v>813</v>
      </c>
      <c r="D41" t="s">
        <v>814</v>
      </c>
      <c r="E41" t="s">
        <v>243</v>
      </c>
      <c r="F41" t="s">
        <v>244</v>
      </c>
      <c r="G41" t="s">
        <v>750</v>
      </c>
      <c r="H41" t="s">
        <v>751</v>
      </c>
      <c r="I41" t="s">
        <v>199</v>
      </c>
      <c r="J41" t="s">
        <v>246</v>
      </c>
      <c r="M41">
        <v>1</v>
      </c>
      <c r="N41">
        <v>1</v>
      </c>
      <c r="R41" s="33"/>
    </row>
    <row r="42" spans="1:18" x14ac:dyDescent="0.45">
      <c r="A42" t="s">
        <v>823</v>
      </c>
      <c r="B42" t="s">
        <v>824</v>
      </c>
      <c r="C42" t="s">
        <v>813</v>
      </c>
      <c r="D42" t="s">
        <v>814</v>
      </c>
      <c r="E42" t="s">
        <v>243</v>
      </c>
      <c r="F42" t="s">
        <v>244</v>
      </c>
      <c r="G42" t="s">
        <v>750</v>
      </c>
      <c r="H42" t="s">
        <v>751</v>
      </c>
      <c r="I42" t="s">
        <v>199</v>
      </c>
      <c r="J42" t="s">
        <v>246</v>
      </c>
      <c r="M42">
        <v>1</v>
      </c>
      <c r="N42">
        <v>1</v>
      </c>
      <c r="R42" s="33"/>
    </row>
    <row r="43" spans="1:18" x14ac:dyDescent="0.45">
      <c r="A43" t="s">
        <v>825</v>
      </c>
      <c r="B43" t="s">
        <v>826</v>
      </c>
      <c r="C43" t="s">
        <v>813</v>
      </c>
      <c r="D43" t="s">
        <v>814</v>
      </c>
      <c r="E43" t="s">
        <v>243</v>
      </c>
      <c r="F43" t="s">
        <v>244</v>
      </c>
      <c r="G43" t="s">
        <v>750</v>
      </c>
      <c r="H43" t="s">
        <v>751</v>
      </c>
      <c r="I43" t="s">
        <v>199</v>
      </c>
      <c r="J43" t="s">
        <v>246</v>
      </c>
      <c r="M43">
        <v>1</v>
      </c>
      <c r="N43">
        <v>1</v>
      </c>
      <c r="R43" s="33"/>
    </row>
    <row r="44" spans="1:18" x14ac:dyDescent="0.45">
      <c r="A44" t="s">
        <v>827</v>
      </c>
      <c r="B44" t="s">
        <v>828</v>
      </c>
      <c r="C44" t="s">
        <v>813</v>
      </c>
      <c r="D44" t="s">
        <v>814</v>
      </c>
      <c r="E44" t="s">
        <v>243</v>
      </c>
      <c r="F44" t="s">
        <v>244</v>
      </c>
      <c r="G44" t="s">
        <v>750</v>
      </c>
      <c r="H44" t="s">
        <v>751</v>
      </c>
      <c r="I44" t="s">
        <v>199</v>
      </c>
      <c r="J44" t="s">
        <v>246</v>
      </c>
      <c r="M44">
        <v>1</v>
      </c>
      <c r="N44">
        <v>1</v>
      </c>
      <c r="R44" s="33"/>
    </row>
    <row r="45" spans="1:18" x14ac:dyDescent="0.45">
      <c r="A45" t="s">
        <v>829</v>
      </c>
      <c r="B45" t="s">
        <v>830</v>
      </c>
      <c r="C45" t="s">
        <v>831</v>
      </c>
      <c r="D45" t="s">
        <v>832</v>
      </c>
      <c r="E45" t="s">
        <v>243</v>
      </c>
      <c r="F45" t="s">
        <v>244</v>
      </c>
      <c r="G45" t="s">
        <v>750</v>
      </c>
      <c r="H45" t="s">
        <v>751</v>
      </c>
      <c r="I45" t="s">
        <v>199</v>
      </c>
      <c r="J45" t="s">
        <v>246</v>
      </c>
      <c r="M45">
        <v>1</v>
      </c>
      <c r="N45">
        <v>1</v>
      </c>
      <c r="R45" s="33"/>
    </row>
    <row r="46" spans="1:18" x14ac:dyDescent="0.45">
      <c r="A46" t="s">
        <v>833</v>
      </c>
      <c r="B46" t="s">
        <v>834</v>
      </c>
      <c r="C46" t="s">
        <v>831</v>
      </c>
      <c r="D46" t="s">
        <v>832</v>
      </c>
      <c r="E46" t="s">
        <v>243</v>
      </c>
      <c r="F46" t="s">
        <v>244</v>
      </c>
      <c r="G46" t="s">
        <v>750</v>
      </c>
      <c r="H46" t="s">
        <v>751</v>
      </c>
      <c r="I46" t="s">
        <v>199</v>
      </c>
      <c r="J46" t="s">
        <v>246</v>
      </c>
      <c r="M46">
        <v>1</v>
      </c>
      <c r="N46">
        <v>1</v>
      </c>
      <c r="R46" s="33"/>
    </row>
    <row r="47" spans="1:18" x14ac:dyDescent="0.45">
      <c r="A47" t="s">
        <v>835</v>
      </c>
      <c r="B47" t="s">
        <v>836</v>
      </c>
      <c r="C47" t="s">
        <v>831</v>
      </c>
      <c r="D47" t="s">
        <v>832</v>
      </c>
      <c r="E47" t="s">
        <v>243</v>
      </c>
      <c r="F47" t="s">
        <v>244</v>
      </c>
      <c r="G47" t="s">
        <v>750</v>
      </c>
      <c r="H47" t="s">
        <v>751</v>
      </c>
      <c r="I47" t="s">
        <v>199</v>
      </c>
      <c r="J47" t="s">
        <v>246</v>
      </c>
      <c r="M47">
        <v>1</v>
      </c>
      <c r="N47">
        <v>1</v>
      </c>
      <c r="R47" s="33"/>
    </row>
    <row r="48" spans="1:18" x14ac:dyDescent="0.45">
      <c r="A48" t="s">
        <v>837</v>
      </c>
      <c r="B48" t="s">
        <v>838</v>
      </c>
      <c r="C48" t="s">
        <v>831</v>
      </c>
      <c r="D48" t="s">
        <v>832</v>
      </c>
      <c r="E48" t="s">
        <v>243</v>
      </c>
      <c r="F48" t="s">
        <v>244</v>
      </c>
      <c r="G48" t="s">
        <v>750</v>
      </c>
      <c r="H48" t="s">
        <v>751</v>
      </c>
      <c r="I48" t="s">
        <v>199</v>
      </c>
      <c r="J48" t="s">
        <v>246</v>
      </c>
      <c r="M48">
        <v>1</v>
      </c>
      <c r="N48">
        <v>1</v>
      </c>
      <c r="R48" s="33"/>
    </row>
    <row r="49" spans="1:14" x14ac:dyDescent="0.45">
      <c r="A49" t="s">
        <v>338</v>
      </c>
      <c r="B49" t="s">
        <v>839</v>
      </c>
      <c r="C49" t="s">
        <v>831</v>
      </c>
      <c r="D49" t="s">
        <v>832</v>
      </c>
      <c r="E49" t="s">
        <v>243</v>
      </c>
      <c r="F49" t="s">
        <v>244</v>
      </c>
      <c r="G49" t="s">
        <v>750</v>
      </c>
      <c r="H49" t="s">
        <v>751</v>
      </c>
      <c r="I49" t="s">
        <v>199</v>
      </c>
      <c r="J49" t="s">
        <v>246</v>
      </c>
      <c r="M49">
        <v>1</v>
      </c>
      <c r="N49">
        <v>1</v>
      </c>
    </row>
    <row r="50" spans="1:14" x14ac:dyDescent="0.45">
      <c r="A50" t="s">
        <v>840</v>
      </c>
      <c r="B50" t="s">
        <v>841</v>
      </c>
      <c r="C50" t="s">
        <v>831</v>
      </c>
      <c r="D50" t="s">
        <v>832</v>
      </c>
      <c r="E50" t="s">
        <v>243</v>
      </c>
      <c r="F50" t="s">
        <v>244</v>
      </c>
      <c r="G50" t="s">
        <v>750</v>
      </c>
      <c r="H50" t="s">
        <v>751</v>
      </c>
      <c r="I50" t="s">
        <v>199</v>
      </c>
      <c r="J50" t="s">
        <v>246</v>
      </c>
      <c r="M50">
        <v>1</v>
      </c>
      <c r="N50">
        <v>1</v>
      </c>
    </row>
    <row r="51" spans="1:14" x14ac:dyDescent="0.45">
      <c r="A51" t="s">
        <v>842</v>
      </c>
      <c r="B51" t="s">
        <v>843</v>
      </c>
      <c r="C51" t="s">
        <v>831</v>
      </c>
      <c r="D51" t="s">
        <v>832</v>
      </c>
      <c r="E51" t="s">
        <v>243</v>
      </c>
      <c r="F51" t="s">
        <v>244</v>
      </c>
      <c r="G51" t="s">
        <v>750</v>
      </c>
      <c r="H51" t="s">
        <v>751</v>
      </c>
      <c r="I51" t="s">
        <v>199</v>
      </c>
      <c r="J51" t="s">
        <v>246</v>
      </c>
      <c r="M51">
        <v>1</v>
      </c>
      <c r="N51">
        <v>1</v>
      </c>
    </row>
    <row r="52" spans="1:14" x14ac:dyDescent="0.45">
      <c r="A52" t="s">
        <v>844</v>
      </c>
      <c r="B52" t="s">
        <v>845</v>
      </c>
      <c r="C52" t="s">
        <v>846</v>
      </c>
      <c r="D52" t="s">
        <v>847</v>
      </c>
      <c r="E52" t="s">
        <v>243</v>
      </c>
      <c r="F52" t="s">
        <v>244</v>
      </c>
      <c r="G52" t="s">
        <v>750</v>
      </c>
      <c r="H52" t="s">
        <v>751</v>
      </c>
      <c r="I52" t="s">
        <v>199</v>
      </c>
      <c r="J52" t="s">
        <v>246</v>
      </c>
      <c r="M52">
        <v>1</v>
      </c>
      <c r="N52">
        <v>1</v>
      </c>
    </row>
    <row r="53" spans="1:14" x14ac:dyDescent="0.45">
      <c r="A53" t="s">
        <v>848</v>
      </c>
      <c r="B53" t="s">
        <v>849</v>
      </c>
      <c r="C53" t="s">
        <v>846</v>
      </c>
      <c r="D53" t="s">
        <v>847</v>
      </c>
      <c r="E53" t="s">
        <v>243</v>
      </c>
      <c r="F53" t="s">
        <v>244</v>
      </c>
      <c r="G53" t="s">
        <v>750</v>
      </c>
      <c r="H53" t="s">
        <v>751</v>
      </c>
      <c r="I53" t="s">
        <v>199</v>
      </c>
      <c r="J53" t="s">
        <v>246</v>
      </c>
      <c r="M53">
        <v>1</v>
      </c>
      <c r="N53">
        <v>1</v>
      </c>
    </row>
    <row r="54" spans="1:14" x14ac:dyDescent="0.45">
      <c r="A54" t="s">
        <v>850</v>
      </c>
      <c r="B54" t="s">
        <v>851</v>
      </c>
      <c r="C54" t="s">
        <v>846</v>
      </c>
      <c r="D54" t="s">
        <v>847</v>
      </c>
      <c r="E54" t="s">
        <v>243</v>
      </c>
      <c r="F54" t="s">
        <v>244</v>
      </c>
      <c r="G54" t="s">
        <v>750</v>
      </c>
      <c r="H54" t="s">
        <v>751</v>
      </c>
      <c r="I54" t="s">
        <v>199</v>
      </c>
      <c r="J54" t="s">
        <v>246</v>
      </c>
      <c r="M54">
        <v>1</v>
      </c>
      <c r="N54">
        <v>1</v>
      </c>
    </row>
    <row r="55" spans="1:14" x14ac:dyDescent="0.45">
      <c r="A55" t="s">
        <v>852</v>
      </c>
      <c r="B55" t="s">
        <v>853</v>
      </c>
      <c r="C55" t="s">
        <v>846</v>
      </c>
      <c r="D55" t="s">
        <v>847</v>
      </c>
      <c r="E55" t="s">
        <v>243</v>
      </c>
      <c r="F55" t="s">
        <v>244</v>
      </c>
      <c r="G55" t="s">
        <v>750</v>
      </c>
      <c r="H55" t="s">
        <v>751</v>
      </c>
      <c r="I55" t="s">
        <v>199</v>
      </c>
      <c r="J55" t="s">
        <v>246</v>
      </c>
      <c r="M55">
        <v>1</v>
      </c>
      <c r="N55">
        <v>1</v>
      </c>
    </row>
    <row r="56" spans="1:14" x14ac:dyDescent="0.45">
      <c r="A56" t="s">
        <v>854</v>
      </c>
      <c r="B56" t="s">
        <v>855</v>
      </c>
      <c r="C56" t="s">
        <v>846</v>
      </c>
      <c r="D56" t="s">
        <v>847</v>
      </c>
      <c r="E56" t="s">
        <v>243</v>
      </c>
      <c r="F56" t="s">
        <v>244</v>
      </c>
      <c r="G56" t="s">
        <v>750</v>
      </c>
      <c r="H56" t="s">
        <v>751</v>
      </c>
      <c r="I56" t="s">
        <v>199</v>
      </c>
      <c r="J56" t="s">
        <v>246</v>
      </c>
      <c r="M56">
        <v>1</v>
      </c>
      <c r="N56">
        <v>1</v>
      </c>
    </row>
    <row r="57" spans="1:14" x14ac:dyDescent="0.45">
      <c r="A57" t="s">
        <v>856</v>
      </c>
      <c r="B57" t="s">
        <v>857</v>
      </c>
      <c r="C57" t="s">
        <v>846</v>
      </c>
      <c r="D57" t="s">
        <v>847</v>
      </c>
      <c r="E57" t="s">
        <v>243</v>
      </c>
      <c r="F57" t="s">
        <v>244</v>
      </c>
      <c r="G57" t="s">
        <v>750</v>
      </c>
      <c r="H57" t="s">
        <v>751</v>
      </c>
      <c r="I57" t="s">
        <v>199</v>
      </c>
      <c r="J57" t="s">
        <v>246</v>
      </c>
      <c r="M57">
        <v>1</v>
      </c>
      <c r="N57">
        <v>1</v>
      </c>
    </row>
    <row r="58" spans="1:14" x14ac:dyDescent="0.45">
      <c r="A58" t="s">
        <v>858</v>
      </c>
      <c r="B58" t="s">
        <v>859</v>
      </c>
      <c r="C58" t="s">
        <v>846</v>
      </c>
      <c r="D58" t="s">
        <v>847</v>
      </c>
      <c r="E58" t="s">
        <v>243</v>
      </c>
      <c r="F58" t="s">
        <v>244</v>
      </c>
      <c r="G58" t="s">
        <v>750</v>
      </c>
      <c r="H58" t="s">
        <v>751</v>
      </c>
      <c r="I58" t="s">
        <v>199</v>
      </c>
      <c r="J58" t="s">
        <v>246</v>
      </c>
      <c r="M58">
        <v>1</v>
      </c>
      <c r="N58">
        <v>1</v>
      </c>
    </row>
    <row r="59" spans="1:14" x14ac:dyDescent="0.45">
      <c r="A59" t="s">
        <v>860</v>
      </c>
      <c r="B59" t="s">
        <v>861</v>
      </c>
      <c r="C59" t="s">
        <v>846</v>
      </c>
      <c r="D59" t="s">
        <v>847</v>
      </c>
      <c r="E59" t="s">
        <v>243</v>
      </c>
      <c r="F59" t="s">
        <v>244</v>
      </c>
      <c r="G59" t="s">
        <v>750</v>
      </c>
      <c r="H59" t="s">
        <v>751</v>
      </c>
      <c r="I59" t="s">
        <v>199</v>
      </c>
      <c r="J59" t="s">
        <v>246</v>
      </c>
      <c r="M59">
        <v>1</v>
      </c>
      <c r="N59">
        <v>1</v>
      </c>
    </row>
    <row r="60" spans="1:14" x14ac:dyDescent="0.45">
      <c r="A60" t="s">
        <v>862</v>
      </c>
      <c r="B60" t="s">
        <v>863</v>
      </c>
      <c r="C60" t="s">
        <v>846</v>
      </c>
      <c r="D60" t="s">
        <v>847</v>
      </c>
      <c r="E60" t="s">
        <v>243</v>
      </c>
      <c r="F60" t="s">
        <v>244</v>
      </c>
      <c r="G60" t="s">
        <v>750</v>
      </c>
      <c r="H60" t="s">
        <v>751</v>
      </c>
      <c r="I60" t="s">
        <v>199</v>
      </c>
      <c r="J60" t="s">
        <v>246</v>
      </c>
      <c r="M60">
        <v>1</v>
      </c>
      <c r="N60">
        <v>1</v>
      </c>
    </row>
    <row r="61" spans="1:14" x14ac:dyDescent="0.45">
      <c r="A61" t="s">
        <v>864</v>
      </c>
      <c r="B61" t="s">
        <v>865</v>
      </c>
      <c r="C61" t="s">
        <v>866</v>
      </c>
      <c r="D61" t="s">
        <v>867</v>
      </c>
      <c r="E61" t="s">
        <v>243</v>
      </c>
      <c r="F61" t="s">
        <v>244</v>
      </c>
      <c r="G61" t="s">
        <v>750</v>
      </c>
      <c r="H61" t="s">
        <v>751</v>
      </c>
      <c r="I61" t="s">
        <v>199</v>
      </c>
      <c r="J61" t="s">
        <v>246</v>
      </c>
      <c r="M61">
        <v>1</v>
      </c>
      <c r="N61">
        <v>1</v>
      </c>
    </row>
    <row r="62" spans="1:14" x14ac:dyDescent="0.45">
      <c r="A62" t="s">
        <v>868</v>
      </c>
      <c r="B62" t="s">
        <v>869</v>
      </c>
      <c r="C62" t="s">
        <v>866</v>
      </c>
      <c r="D62" t="s">
        <v>867</v>
      </c>
      <c r="E62" t="s">
        <v>243</v>
      </c>
      <c r="F62" t="s">
        <v>244</v>
      </c>
      <c r="G62" t="s">
        <v>750</v>
      </c>
      <c r="H62" t="s">
        <v>751</v>
      </c>
      <c r="I62" t="s">
        <v>199</v>
      </c>
      <c r="J62" t="s">
        <v>246</v>
      </c>
      <c r="M62">
        <v>1</v>
      </c>
      <c r="N62">
        <v>1</v>
      </c>
    </row>
    <row r="63" spans="1:14" x14ac:dyDescent="0.45">
      <c r="A63" t="s">
        <v>870</v>
      </c>
      <c r="B63" t="s">
        <v>871</v>
      </c>
      <c r="C63" t="s">
        <v>866</v>
      </c>
      <c r="D63" t="s">
        <v>867</v>
      </c>
      <c r="E63" t="s">
        <v>243</v>
      </c>
      <c r="F63" t="s">
        <v>244</v>
      </c>
      <c r="G63" t="s">
        <v>750</v>
      </c>
      <c r="H63" t="s">
        <v>751</v>
      </c>
      <c r="I63" t="s">
        <v>199</v>
      </c>
      <c r="J63" t="s">
        <v>246</v>
      </c>
      <c r="M63">
        <v>1</v>
      </c>
      <c r="N63">
        <v>1</v>
      </c>
    </row>
    <row r="64" spans="1:14" x14ac:dyDescent="0.45">
      <c r="A64" t="s">
        <v>872</v>
      </c>
      <c r="B64" t="s">
        <v>873</v>
      </c>
      <c r="C64" t="s">
        <v>866</v>
      </c>
      <c r="D64" t="s">
        <v>867</v>
      </c>
      <c r="E64" t="s">
        <v>243</v>
      </c>
      <c r="F64" t="s">
        <v>244</v>
      </c>
      <c r="G64" t="s">
        <v>750</v>
      </c>
      <c r="H64" t="s">
        <v>751</v>
      </c>
      <c r="I64" t="s">
        <v>199</v>
      </c>
      <c r="J64" t="s">
        <v>246</v>
      </c>
      <c r="M64">
        <v>1</v>
      </c>
      <c r="N64">
        <v>1</v>
      </c>
    </row>
    <row r="65" spans="1:14" x14ac:dyDescent="0.45">
      <c r="A65" t="s">
        <v>874</v>
      </c>
      <c r="B65" t="s">
        <v>875</v>
      </c>
      <c r="C65" t="s">
        <v>866</v>
      </c>
      <c r="D65" t="s">
        <v>867</v>
      </c>
      <c r="E65" t="s">
        <v>243</v>
      </c>
      <c r="F65" t="s">
        <v>244</v>
      </c>
      <c r="G65" t="s">
        <v>750</v>
      </c>
      <c r="H65" t="s">
        <v>751</v>
      </c>
      <c r="I65" t="s">
        <v>199</v>
      </c>
      <c r="J65" t="s">
        <v>246</v>
      </c>
      <c r="M65">
        <v>1</v>
      </c>
      <c r="N65">
        <v>1</v>
      </c>
    </row>
    <row r="66" spans="1:14" x14ac:dyDescent="0.45">
      <c r="A66" t="s">
        <v>876</v>
      </c>
      <c r="B66" t="s">
        <v>877</v>
      </c>
      <c r="C66" t="s">
        <v>866</v>
      </c>
      <c r="D66" t="s">
        <v>867</v>
      </c>
      <c r="E66" t="s">
        <v>243</v>
      </c>
      <c r="F66" t="s">
        <v>244</v>
      </c>
      <c r="G66" t="s">
        <v>750</v>
      </c>
      <c r="H66" t="s">
        <v>751</v>
      </c>
      <c r="I66" t="s">
        <v>199</v>
      </c>
      <c r="J66" t="s">
        <v>246</v>
      </c>
      <c r="M66">
        <v>1</v>
      </c>
      <c r="N66">
        <v>1</v>
      </c>
    </row>
    <row r="67" spans="1:14" x14ac:dyDescent="0.45">
      <c r="A67" t="s">
        <v>878</v>
      </c>
      <c r="B67" t="s">
        <v>879</v>
      </c>
      <c r="C67" t="s">
        <v>866</v>
      </c>
      <c r="D67" t="s">
        <v>867</v>
      </c>
      <c r="E67" t="s">
        <v>243</v>
      </c>
      <c r="F67" t="s">
        <v>244</v>
      </c>
      <c r="G67" t="s">
        <v>750</v>
      </c>
      <c r="H67" t="s">
        <v>751</v>
      </c>
      <c r="I67" t="s">
        <v>199</v>
      </c>
      <c r="J67" t="s">
        <v>246</v>
      </c>
      <c r="M67">
        <v>1</v>
      </c>
      <c r="N67">
        <v>1</v>
      </c>
    </row>
    <row r="68" spans="1:14" x14ac:dyDescent="0.45">
      <c r="A68" t="s">
        <v>880</v>
      </c>
      <c r="B68" t="s">
        <v>881</v>
      </c>
      <c r="C68" t="s">
        <v>866</v>
      </c>
      <c r="D68" t="s">
        <v>867</v>
      </c>
      <c r="E68" t="s">
        <v>243</v>
      </c>
      <c r="F68" t="s">
        <v>244</v>
      </c>
      <c r="G68" t="s">
        <v>750</v>
      </c>
      <c r="H68" t="s">
        <v>751</v>
      </c>
      <c r="I68" t="s">
        <v>199</v>
      </c>
      <c r="J68" t="s">
        <v>246</v>
      </c>
      <c r="M68">
        <v>1</v>
      </c>
      <c r="N68">
        <v>1</v>
      </c>
    </row>
    <row r="69" spans="1:14" x14ac:dyDescent="0.45">
      <c r="A69" t="s">
        <v>882</v>
      </c>
      <c r="B69" t="s">
        <v>883</v>
      </c>
      <c r="C69" t="s">
        <v>866</v>
      </c>
      <c r="D69" t="s">
        <v>867</v>
      </c>
      <c r="E69" t="s">
        <v>243</v>
      </c>
      <c r="F69" t="s">
        <v>244</v>
      </c>
      <c r="G69" t="s">
        <v>750</v>
      </c>
      <c r="H69" t="s">
        <v>751</v>
      </c>
      <c r="I69" t="s">
        <v>199</v>
      </c>
      <c r="J69" t="s">
        <v>246</v>
      </c>
      <c r="M69">
        <v>1</v>
      </c>
      <c r="N69">
        <v>1</v>
      </c>
    </row>
    <row r="70" spans="1:14" x14ac:dyDescent="0.45">
      <c r="A70" t="s">
        <v>884</v>
      </c>
      <c r="B70" t="s">
        <v>885</v>
      </c>
      <c r="C70" t="s">
        <v>886</v>
      </c>
      <c r="D70" t="s">
        <v>887</v>
      </c>
      <c r="E70" t="s">
        <v>247</v>
      </c>
      <c r="F70" t="s">
        <v>248</v>
      </c>
      <c r="G70" t="s">
        <v>750</v>
      </c>
      <c r="H70" t="s">
        <v>751</v>
      </c>
      <c r="I70" t="s">
        <v>199</v>
      </c>
      <c r="J70" t="s">
        <v>249</v>
      </c>
      <c r="M70">
        <v>1</v>
      </c>
      <c r="N70">
        <v>1</v>
      </c>
    </row>
    <row r="71" spans="1:14" x14ac:dyDescent="0.45">
      <c r="A71" t="s">
        <v>888</v>
      </c>
      <c r="B71" t="s">
        <v>889</v>
      </c>
      <c r="C71" t="s">
        <v>886</v>
      </c>
      <c r="D71" t="s">
        <v>887</v>
      </c>
      <c r="E71" t="s">
        <v>247</v>
      </c>
      <c r="F71" t="s">
        <v>248</v>
      </c>
      <c r="G71" t="s">
        <v>750</v>
      </c>
      <c r="H71" t="s">
        <v>751</v>
      </c>
      <c r="I71" t="s">
        <v>199</v>
      </c>
      <c r="J71" t="s">
        <v>249</v>
      </c>
      <c r="M71">
        <v>1</v>
      </c>
      <c r="N71">
        <v>1</v>
      </c>
    </row>
    <row r="72" spans="1:14" x14ac:dyDescent="0.45">
      <c r="A72" t="s">
        <v>890</v>
      </c>
      <c r="B72" t="s">
        <v>891</v>
      </c>
      <c r="C72" t="s">
        <v>886</v>
      </c>
      <c r="D72" t="s">
        <v>887</v>
      </c>
      <c r="E72" t="s">
        <v>247</v>
      </c>
      <c r="F72" t="s">
        <v>248</v>
      </c>
      <c r="G72" t="s">
        <v>750</v>
      </c>
      <c r="H72" t="s">
        <v>751</v>
      </c>
      <c r="I72" t="s">
        <v>199</v>
      </c>
      <c r="J72" t="s">
        <v>249</v>
      </c>
      <c r="M72">
        <v>1</v>
      </c>
      <c r="N72">
        <v>1</v>
      </c>
    </row>
    <row r="73" spans="1:14" x14ac:dyDescent="0.45">
      <c r="A73" t="s">
        <v>892</v>
      </c>
      <c r="B73" t="s">
        <v>893</v>
      </c>
      <c r="C73" t="s">
        <v>886</v>
      </c>
      <c r="D73" t="s">
        <v>887</v>
      </c>
      <c r="E73" t="s">
        <v>247</v>
      </c>
      <c r="F73" t="s">
        <v>248</v>
      </c>
      <c r="G73" t="s">
        <v>750</v>
      </c>
      <c r="H73" t="s">
        <v>751</v>
      </c>
      <c r="I73" t="s">
        <v>199</v>
      </c>
      <c r="J73" t="s">
        <v>249</v>
      </c>
      <c r="M73">
        <v>1</v>
      </c>
      <c r="N73">
        <v>1</v>
      </c>
    </row>
    <row r="74" spans="1:14" x14ac:dyDescent="0.45">
      <c r="A74" t="s">
        <v>894</v>
      </c>
      <c r="B74" t="s">
        <v>895</v>
      </c>
      <c r="C74" t="s">
        <v>886</v>
      </c>
      <c r="D74" t="s">
        <v>887</v>
      </c>
      <c r="E74" t="s">
        <v>247</v>
      </c>
      <c r="F74" t="s">
        <v>248</v>
      </c>
      <c r="G74" t="s">
        <v>750</v>
      </c>
      <c r="H74" t="s">
        <v>751</v>
      </c>
      <c r="I74" t="s">
        <v>199</v>
      </c>
      <c r="J74" t="s">
        <v>249</v>
      </c>
      <c r="M74">
        <v>1</v>
      </c>
      <c r="N74">
        <v>1</v>
      </c>
    </row>
    <row r="75" spans="1:14" x14ac:dyDescent="0.45">
      <c r="A75" t="s">
        <v>896</v>
      </c>
      <c r="B75" t="s">
        <v>897</v>
      </c>
      <c r="C75" t="s">
        <v>886</v>
      </c>
      <c r="D75" t="s">
        <v>887</v>
      </c>
      <c r="E75" t="s">
        <v>247</v>
      </c>
      <c r="F75" t="s">
        <v>248</v>
      </c>
      <c r="G75" t="s">
        <v>750</v>
      </c>
      <c r="H75" t="s">
        <v>751</v>
      </c>
      <c r="I75" t="s">
        <v>199</v>
      </c>
      <c r="J75" t="s">
        <v>249</v>
      </c>
      <c r="M75">
        <v>1</v>
      </c>
      <c r="N75">
        <v>1</v>
      </c>
    </row>
    <row r="76" spans="1:14" x14ac:dyDescent="0.45">
      <c r="A76" t="s">
        <v>898</v>
      </c>
      <c r="B76" t="s">
        <v>899</v>
      </c>
      <c r="C76" t="s">
        <v>886</v>
      </c>
      <c r="D76" t="s">
        <v>887</v>
      </c>
      <c r="E76" t="s">
        <v>247</v>
      </c>
      <c r="F76" t="s">
        <v>248</v>
      </c>
      <c r="G76" t="s">
        <v>750</v>
      </c>
      <c r="H76" t="s">
        <v>751</v>
      </c>
      <c r="I76" t="s">
        <v>199</v>
      </c>
      <c r="J76" t="s">
        <v>249</v>
      </c>
      <c r="M76">
        <v>1</v>
      </c>
      <c r="N76">
        <v>1</v>
      </c>
    </row>
    <row r="77" spans="1:14" x14ac:dyDescent="0.45">
      <c r="A77" t="s">
        <v>900</v>
      </c>
      <c r="B77" t="s">
        <v>901</v>
      </c>
      <c r="C77" t="s">
        <v>886</v>
      </c>
      <c r="D77" t="s">
        <v>887</v>
      </c>
      <c r="E77" t="s">
        <v>247</v>
      </c>
      <c r="F77" t="s">
        <v>248</v>
      </c>
      <c r="G77" t="s">
        <v>750</v>
      </c>
      <c r="H77" t="s">
        <v>751</v>
      </c>
      <c r="I77" t="s">
        <v>199</v>
      </c>
      <c r="J77" t="s">
        <v>249</v>
      </c>
      <c r="M77">
        <v>1</v>
      </c>
      <c r="N77">
        <v>1</v>
      </c>
    </row>
    <row r="78" spans="1:14" x14ac:dyDescent="0.45">
      <c r="A78" t="s">
        <v>902</v>
      </c>
      <c r="B78" t="s">
        <v>903</v>
      </c>
      <c r="C78" t="s">
        <v>886</v>
      </c>
      <c r="D78" t="s">
        <v>887</v>
      </c>
      <c r="E78" t="s">
        <v>247</v>
      </c>
      <c r="F78" t="s">
        <v>248</v>
      </c>
      <c r="G78" t="s">
        <v>750</v>
      </c>
      <c r="H78" t="s">
        <v>751</v>
      </c>
      <c r="I78" t="s">
        <v>199</v>
      </c>
      <c r="J78" t="s">
        <v>249</v>
      </c>
      <c r="M78">
        <v>1</v>
      </c>
      <c r="N78">
        <v>1</v>
      </c>
    </row>
    <row r="79" spans="1:14" x14ac:dyDescent="0.45">
      <c r="A79" t="s">
        <v>904</v>
      </c>
      <c r="B79" t="s">
        <v>905</v>
      </c>
      <c r="C79" t="s">
        <v>886</v>
      </c>
      <c r="D79" t="s">
        <v>887</v>
      </c>
      <c r="E79" t="s">
        <v>247</v>
      </c>
      <c r="F79" t="s">
        <v>248</v>
      </c>
      <c r="G79" t="s">
        <v>750</v>
      </c>
      <c r="H79" t="s">
        <v>751</v>
      </c>
      <c r="I79" t="s">
        <v>199</v>
      </c>
      <c r="J79" t="s">
        <v>249</v>
      </c>
      <c r="M79">
        <v>1</v>
      </c>
      <c r="N79">
        <v>1</v>
      </c>
    </row>
    <row r="80" spans="1:14" x14ac:dyDescent="0.45">
      <c r="A80" t="s">
        <v>906</v>
      </c>
      <c r="B80" t="s">
        <v>907</v>
      </c>
      <c r="C80" t="s">
        <v>886</v>
      </c>
      <c r="D80" t="s">
        <v>887</v>
      </c>
      <c r="E80" t="s">
        <v>247</v>
      </c>
      <c r="F80" t="s">
        <v>248</v>
      </c>
      <c r="G80" t="s">
        <v>750</v>
      </c>
      <c r="H80" t="s">
        <v>751</v>
      </c>
      <c r="I80" t="s">
        <v>199</v>
      </c>
      <c r="J80" t="s">
        <v>249</v>
      </c>
      <c r="M80">
        <v>1</v>
      </c>
      <c r="N80">
        <v>1</v>
      </c>
    </row>
    <row r="81" spans="1:14" x14ac:dyDescent="0.45">
      <c r="A81" t="s">
        <v>908</v>
      </c>
      <c r="B81" t="s">
        <v>909</v>
      </c>
      <c r="C81" t="s">
        <v>910</v>
      </c>
      <c r="D81" t="s">
        <v>911</v>
      </c>
      <c r="E81" t="s">
        <v>247</v>
      </c>
      <c r="F81" t="s">
        <v>248</v>
      </c>
      <c r="G81" t="s">
        <v>750</v>
      </c>
      <c r="H81" t="s">
        <v>751</v>
      </c>
      <c r="I81" t="s">
        <v>199</v>
      </c>
      <c r="J81" t="s">
        <v>249</v>
      </c>
      <c r="M81">
        <v>1</v>
      </c>
      <c r="N81">
        <v>1</v>
      </c>
    </row>
    <row r="82" spans="1:14" x14ac:dyDescent="0.45">
      <c r="A82" t="s">
        <v>912</v>
      </c>
      <c r="B82" t="s">
        <v>913</v>
      </c>
      <c r="C82" t="s">
        <v>910</v>
      </c>
      <c r="D82" t="s">
        <v>911</v>
      </c>
      <c r="E82" t="s">
        <v>247</v>
      </c>
      <c r="F82" t="s">
        <v>248</v>
      </c>
      <c r="G82" t="s">
        <v>750</v>
      </c>
      <c r="H82" t="s">
        <v>751</v>
      </c>
      <c r="I82" t="s">
        <v>199</v>
      </c>
      <c r="J82" t="s">
        <v>249</v>
      </c>
      <c r="M82">
        <v>1</v>
      </c>
      <c r="N82">
        <v>1</v>
      </c>
    </row>
    <row r="83" spans="1:14" x14ac:dyDescent="0.45">
      <c r="A83" t="s">
        <v>914</v>
      </c>
      <c r="B83" t="s">
        <v>915</v>
      </c>
      <c r="C83" t="s">
        <v>910</v>
      </c>
      <c r="D83" t="s">
        <v>911</v>
      </c>
      <c r="E83" t="s">
        <v>247</v>
      </c>
      <c r="F83" t="s">
        <v>248</v>
      </c>
      <c r="G83" t="s">
        <v>750</v>
      </c>
      <c r="H83" t="s">
        <v>751</v>
      </c>
      <c r="I83" t="s">
        <v>199</v>
      </c>
      <c r="J83" t="s">
        <v>249</v>
      </c>
      <c r="M83">
        <v>1</v>
      </c>
      <c r="N83">
        <v>1</v>
      </c>
    </row>
    <row r="84" spans="1:14" x14ac:dyDescent="0.45">
      <c r="A84" t="s">
        <v>916</v>
      </c>
      <c r="B84" t="s">
        <v>917</v>
      </c>
      <c r="C84" t="s">
        <v>910</v>
      </c>
      <c r="D84" t="s">
        <v>911</v>
      </c>
      <c r="E84" t="s">
        <v>247</v>
      </c>
      <c r="F84" t="s">
        <v>248</v>
      </c>
      <c r="G84" t="s">
        <v>750</v>
      </c>
      <c r="H84" t="s">
        <v>751</v>
      </c>
      <c r="I84" t="s">
        <v>199</v>
      </c>
      <c r="J84" t="s">
        <v>249</v>
      </c>
      <c r="M84">
        <v>1</v>
      </c>
      <c r="N84">
        <v>1</v>
      </c>
    </row>
    <row r="85" spans="1:14" x14ac:dyDescent="0.45">
      <c r="A85" t="s">
        <v>918</v>
      </c>
      <c r="B85" t="s">
        <v>919</v>
      </c>
      <c r="C85" t="s">
        <v>910</v>
      </c>
      <c r="D85" t="s">
        <v>911</v>
      </c>
      <c r="E85" t="s">
        <v>247</v>
      </c>
      <c r="F85" t="s">
        <v>248</v>
      </c>
      <c r="G85" t="s">
        <v>750</v>
      </c>
      <c r="H85" t="s">
        <v>751</v>
      </c>
      <c r="I85" t="s">
        <v>199</v>
      </c>
      <c r="J85" t="s">
        <v>249</v>
      </c>
      <c r="M85">
        <v>1</v>
      </c>
      <c r="N85">
        <v>1</v>
      </c>
    </row>
    <row r="86" spans="1:14" x14ac:dyDescent="0.45">
      <c r="A86" t="s">
        <v>920</v>
      </c>
      <c r="B86" t="s">
        <v>921</v>
      </c>
      <c r="C86" t="s">
        <v>922</v>
      </c>
      <c r="D86" t="s">
        <v>923</v>
      </c>
      <c r="E86" t="s">
        <v>247</v>
      </c>
      <c r="F86" t="s">
        <v>248</v>
      </c>
      <c r="G86" t="s">
        <v>750</v>
      </c>
      <c r="H86" t="s">
        <v>751</v>
      </c>
      <c r="I86" t="s">
        <v>199</v>
      </c>
      <c r="J86" t="s">
        <v>249</v>
      </c>
      <c r="M86">
        <v>1</v>
      </c>
      <c r="N86">
        <v>1</v>
      </c>
    </row>
    <row r="87" spans="1:14" x14ac:dyDescent="0.45">
      <c r="A87" t="s">
        <v>924</v>
      </c>
      <c r="B87" t="s">
        <v>925</v>
      </c>
      <c r="C87" t="s">
        <v>922</v>
      </c>
      <c r="D87" t="s">
        <v>923</v>
      </c>
      <c r="E87" t="s">
        <v>247</v>
      </c>
      <c r="F87" t="s">
        <v>248</v>
      </c>
      <c r="G87" t="s">
        <v>750</v>
      </c>
      <c r="H87" t="s">
        <v>751</v>
      </c>
      <c r="I87" t="s">
        <v>199</v>
      </c>
      <c r="J87" t="s">
        <v>249</v>
      </c>
      <c r="M87">
        <v>1</v>
      </c>
      <c r="N87">
        <v>1</v>
      </c>
    </row>
    <row r="88" spans="1:14" x14ac:dyDescent="0.45">
      <c r="A88" t="s">
        <v>926</v>
      </c>
      <c r="B88" t="s">
        <v>927</v>
      </c>
      <c r="C88" t="s">
        <v>922</v>
      </c>
      <c r="D88" t="s">
        <v>923</v>
      </c>
      <c r="E88" t="s">
        <v>247</v>
      </c>
      <c r="F88" t="s">
        <v>248</v>
      </c>
      <c r="G88" t="s">
        <v>750</v>
      </c>
      <c r="H88" t="s">
        <v>751</v>
      </c>
      <c r="I88" t="s">
        <v>199</v>
      </c>
      <c r="J88" t="s">
        <v>249</v>
      </c>
      <c r="M88">
        <v>1</v>
      </c>
      <c r="N88">
        <v>1</v>
      </c>
    </row>
    <row r="89" spans="1:14" x14ac:dyDescent="0.45">
      <c r="A89" t="s">
        <v>928</v>
      </c>
      <c r="B89" t="s">
        <v>929</v>
      </c>
      <c r="C89" t="s">
        <v>922</v>
      </c>
      <c r="D89" t="s">
        <v>923</v>
      </c>
      <c r="E89" t="s">
        <v>247</v>
      </c>
      <c r="F89" t="s">
        <v>248</v>
      </c>
      <c r="G89" t="s">
        <v>750</v>
      </c>
      <c r="H89" t="s">
        <v>751</v>
      </c>
      <c r="I89" t="s">
        <v>199</v>
      </c>
      <c r="J89" t="s">
        <v>249</v>
      </c>
      <c r="M89">
        <v>1</v>
      </c>
      <c r="N89">
        <v>1</v>
      </c>
    </row>
    <row r="90" spans="1:14" x14ac:dyDescent="0.45">
      <c r="A90" t="s">
        <v>930</v>
      </c>
      <c r="B90" t="s">
        <v>931</v>
      </c>
      <c r="C90" t="s">
        <v>922</v>
      </c>
      <c r="D90" t="s">
        <v>923</v>
      </c>
      <c r="E90" t="s">
        <v>247</v>
      </c>
      <c r="F90" t="s">
        <v>248</v>
      </c>
      <c r="G90" t="s">
        <v>750</v>
      </c>
      <c r="H90" t="s">
        <v>751</v>
      </c>
      <c r="I90" t="s">
        <v>199</v>
      </c>
      <c r="J90" t="s">
        <v>249</v>
      </c>
      <c r="M90">
        <v>1</v>
      </c>
      <c r="N90">
        <v>1</v>
      </c>
    </row>
    <row r="91" spans="1:14" x14ac:dyDescent="0.45">
      <c r="A91" t="s">
        <v>932</v>
      </c>
      <c r="B91" t="s">
        <v>933</v>
      </c>
      <c r="C91" t="s">
        <v>922</v>
      </c>
      <c r="D91" t="s">
        <v>923</v>
      </c>
      <c r="E91" t="s">
        <v>247</v>
      </c>
      <c r="F91" t="s">
        <v>248</v>
      </c>
      <c r="G91" t="s">
        <v>750</v>
      </c>
      <c r="H91" t="s">
        <v>751</v>
      </c>
      <c r="I91" t="s">
        <v>199</v>
      </c>
      <c r="J91" t="s">
        <v>249</v>
      </c>
      <c r="M91">
        <v>1</v>
      </c>
      <c r="N91">
        <v>1</v>
      </c>
    </row>
    <row r="92" spans="1:14" x14ac:dyDescent="0.45">
      <c r="A92" t="s">
        <v>934</v>
      </c>
      <c r="B92" t="s">
        <v>935</v>
      </c>
      <c r="C92" t="s">
        <v>922</v>
      </c>
      <c r="D92" t="s">
        <v>923</v>
      </c>
      <c r="E92" t="s">
        <v>247</v>
      </c>
      <c r="F92" t="s">
        <v>248</v>
      </c>
      <c r="G92" t="s">
        <v>750</v>
      </c>
      <c r="H92" t="s">
        <v>751</v>
      </c>
      <c r="I92" t="s">
        <v>199</v>
      </c>
      <c r="J92" t="s">
        <v>249</v>
      </c>
      <c r="M92">
        <v>1</v>
      </c>
      <c r="N92">
        <v>1</v>
      </c>
    </row>
    <row r="93" spans="1:14" x14ac:dyDescent="0.45">
      <c r="A93" t="s">
        <v>936</v>
      </c>
      <c r="B93" t="s">
        <v>937</v>
      </c>
      <c r="C93" t="s">
        <v>922</v>
      </c>
      <c r="D93" t="s">
        <v>923</v>
      </c>
      <c r="E93" t="s">
        <v>247</v>
      </c>
      <c r="F93" t="s">
        <v>248</v>
      </c>
      <c r="G93" t="s">
        <v>750</v>
      </c>
      <c r="H93" t="s">
        <v>751</v>
      </c>
      <c r="I93" t="s">
        <v>199</v>
      </c>
      <c r="J93" t="s">
        <v>249</v>
      </c>
      <c r="M93">
        <v>1</v>
      </c>
      <c r="N93">
        <v>1</v>
      </c>
    </row>
    <row r="94" spans="1:14" x14ac:dyDescent="0.45">
      <c r="A94" t="s">
        <v>938</v>
      </c>
      <c r="B94" t="s">
        <v>939</v>
      </c>
      <c r="C94" t="s">
        <v>922</v>
      </c>
      <c r="D94" t="s">
        <v>923</v>
      </c>
      <c r="E94" t="s">
        <v>247</v>
      </c>
      <c r="F94" t="s">
        <v>248</v>
      </c>
      <c r="G94" t="s">
        <v>750</v>
      </c>
      <c r="H94" t="s">
        <v>751</v>
      </c>
      <c r="I94" t="s">
        <v>199</v>
      </c>
      <c r="J94" t="s">
        <v>249</v>
      </c>
      <c r="M94">
        <v>1</v>
      </c>
      <c r="N94">
        <v>1</v>
      </c>
    </row>
    <row r="95" spans="1:14" x14ac:dyDescent="0.45">
      <c r="A95" t="s">
        <v>940</v>
      </c>
      <c r="B95" t="s">
        <v>941</v>
      </c>
      <c r="C95" t="s">
        <v>922</v>
      </c>
      <c r="D95" t="s">
        <v>923</v>
      </c>
      <c r="E95" t="s">
        <v>247</v>
      </c>
      <c r="F95" t="s">
        <v>248</v>
      </c>
      <c r="G95" t="s">
        <v>750</v>
      </c>
      <c r="H95" t="s">
        <v>751</v>
      </c>
      <c r="I95" t="s">
        <v>199</v>
      </c>
      <c r="J95" t="s">
        <v>249</v>
      </c>
      <c r="M95">
        <v>1</v>
      </c>
      <c r="N95">
        <v>1</v>
      </c>
    </row>
    <row r="96" spans="1:14" x14ac:dyDescent="0.45">
      <c r="A96" t="s">
        <v>942</v>
      </c>
      <c r="B96" t="s">
        <v>943</v>
      </c>
      <c r="C96" t="s">
        <v>922</v>
      </c>
      <c r="D96" t="s">
        <v>923</v>
      </c>
      <c r="E96" t="s">
        <v>247</v>
      </c>
      <c r="F96" t="s">
        <v>248</v>
      </c>
      <c r="G96" t="s">
        <v>750</v>
      </c>
      <c r="H96" t="s">
        <v>751</v>
      </c>
      <c r="I96" t="s">
        <v>199</v>
      </c>
      <c r="J96" t="s">
        <v>249</v>
      </c>
      <c r="M96">
        <v>1</v>
      </c>
      <c r="N96">
        <v>1</v>
      </c>
    </row>
    <row r="97" spans="1:14" x14ac:dyDescent="0.45">
      <c r="A97" t="s">
        <v>944</v>
      </c>
      <c r="B97" t="s">
        <v>945</v>
      </c>
      <c r="C97" t="s">
        <v>922</v>
      </c>
      <c r="D97" t="s">
        <v>923</v>
      </c>
      <c r="E97" t="s">
        <v>247</v>
      </c>
      <c r="F97" t="s">
        <v>248</v>
      </c>
      <c r="G97" t="s">
        <v>750</v>
      </c>
      <c r="H97" t="s">
        <v>751</v>
      </c>
      <c r="I97" t="s">
        <v>199</v>
      </c>
      <c r="J97" t="s">
        <v>249</v>
      </c>
      <c r="M97">
        <v>1</v>
      </c>
      <c r="N97">
        <v>1</v>
      </c>
    </row>
    <row r="98" spans="1:14" x14ac:dyDescent="0.45">
      <c r="A98" t="s">
        <v>946</v>
      </c>
      <c r="B98" t="s">
        <v>947</v>
      </c>
      <c r="C98" t="s">
        <v>922</v>
      </c>
      <c r="D98" t="s">
        <v>923</v>
      </c>
      <c r="E98" t="s">
        <v>247</v>
      </c>
      <c r="F98" t="s">
        <v>248</v>
      </c>
      <c r="G98" t="s">
        <v>750</v>
      </c>
      <c r="H98" t="s">
        <v>751</v>
      </c>
      <c r="I98" t="s">
        <v>199</v>
      </c>
      <c r="J98" t="s">
        <v>249</v>
      </c>
      <c r="M98">
        <v>1</v>
      </c>
      <c r="N98">
        <v>1</v>
      </c>
    </row>
    <row r="99" spans="1:14" x14ac:dyDescent="0.45">
      <c r="A99" t="s">
        <v>948</v>
      </c>
      <c r="B99" t="s">
        <v>949</v>
      </c>
      <c r="C99" t="s">
        <v>922</v>
      </c>
      <c r="D99" t="s">
        <v>923</v>
      </c>
      <c r="E99" t="s">
        <v>247</v>
      </c>
      <c r="F99" t="s">
        <v>248</v>
      </c>
      <c r="G99" t="s">
        <v>750</v>
      </c>
      <c r="H99" t="s">
        <v>751</v>
      </c>
      <c r="I99" t="s">
        <v>199</v>
      </c>
      <c r="J99" t="s">
        <v>249</v>
      </c>
      <c r="M99">
        <v>1</v>
      </c>
      <c r="N99">
        <v>1</v>
      </c>
    </row>
    <row r="100" spans="1:14" x14ac:dyDescent="0.45">
      <c r="A100" t="s">
        <v>950</v>
      </c>
      <c r="B100" t="s">
        <v>951</v>
      </c>
      <c r="C100" t="s">
        <v>922</v>
      </c>
      <c r="D100" t="s">
        <v>923</v>
      </c>
      <c r="E100" t="s">
        <v>247</v>
      </c>
      <c r="F100" t="s">
        <v>248</v>
      </c>
      <c r="G100" t="s">
        <v>750</v>
      </c>
      <c r="H100" t="s">
        <v>751</v>
      </c>
      <c r="I100" t="s">
        <v>199</v>
      </c>
      <c r="J100" t="s">
        <v>249</v>
      </c>
      <c r="M100">
        <v>1</v>
      </c>
      <c r="N100">
        <v>1</v>
      </c>
    </row>
    <row r="101" spans="1:14" x14ac:dyDescent="0.45">
      <c r="A101" t="s">
        <v>952</v>
      </c>
      <c r="B101" t="s">
        <v>953</v>
      </c>
      <c r="C101" t="s">
        <v>922</v>
      </c>
      <c r="D101" t="s">
        <v>923</v>
      </c>
      <c r="E101" t="s">
        <v>247</v>
      </c>
      <c r="F101" t="s">
        <v>248</v>
      </c>
      <c r="G101" t="s">
        <v>750</v>
      </c>
      <c r="H101" t="s">
        <v>751</v>
      </c>
      <c r="I101" t="s">
        <v>199</v>
      </c>
      <c r="J101" t="s">
        <v>249</v>
      </c>
      <c r="M101">
        <v>1</v>
      </c>
      <c r="N101">
        <v>1</v>
      </c>
    </row>
    <row r="102" spans="1:14" x14ac:dyDescent="0.45">
      <c r="A102" t="s">
        <v>302</v>
      </c>
      <c r="B102" t="s">
        <v>954</v>
      </c>
      <c r="C102" t="s">
        <v>922</v>
      </c>
      <c r="D102" t="s">
        <v>923</v>
      </c>
      <c r="E102" t="s">
        <v>247</v>
      </c>
      <c r="F102" t="s">
        <v>248</v>
      </c>
      <c r="G102" t="s">
        <v>750</v>
      </c>
      <c r="H102" t="s">
        <v>751</v>
      </c>
      <c r="I102" t="s">
        <v>199</v>
      </c>
      <c r="J102" t="s">
        <v>249</v>
      </c>
      <c r="M102">
        <v>1</v>
      </c>
      <c r="N102">
        <v>1</v>
      </c>
    </row>
    <row r="103" spans="1:14" x14ac:dyDescent="0.45">
      <c r="A103" t="s">
        <v>955</v>
      </c>
      <c r="B103" t="s">
        <v>956</v>
      </c>
      <c r="C103" t="s">
        <v>922</v>
      </c>
      <c r="D103" t="s">
        <v>923</v>
      </c>
      <c r="E103" t="s">
        <v>247</v>
      </c>
      <c r="F103" t="s">
        <v>248</v>
      </c>
      <c r="G103" t="s">
        <v>750</v>
      </c>
      <c r="H103" t="s">
        <v>751</v>
      </c>
      <c r="I103" t="s">
        <v>199</v>
      </c>
      <c r="J103" t="s">
        <v>249</v>
      </c>
      <c r="M103">
        <v>1</v>
      </c>
      <c r="N103">
        <v>1</v>
      </c>
    </row>
    <row r="104" spans="1:14" x14ac:dyDescent="0.45">
      <c r="A104" t="s">
        <v>957</v>
      </c>
      <c r="B104" t="s">
        <v>958</v>
      </c>
      <c r="C104" t="s">
        <v>922</v>
      </c>
      <c r="D104" t="s">
        <v>923</v>
      </c>
      <c r="E104" t="s">
        <v>247</v>
      </c>
      <c r="F104" t="s">
        <v>248</v>
      </c>
      <c r="G104" t="s">
        <v>750</v>
      </c>
      <c r="H104" t="s">
        <v>751</v>
      </c>
      <c r="I104" t="s">
        <v>199</v>
      </c>
      <c r="J104" t="s">
        <v>249</v>
      </c>
      <c r="M104">
        <v>1</v>
      </c>
      <c r="N104">
        <v>1</v>
      </c>
    </row>
    <row r="105" spans="1:14" x14ac:dyDescent="0.45">
      <c r="A105" t="s">
        <v>959</v>
      </c>
      <c r="B105" t="s">
        <v>960</v>
      </c>
      <c r="C105" t="s">
        <v>922</v>
      </c>
      <c r="D105" t="s">
        <v>923</v>
      </c>
      <c r="E105" t="s">
        <v>247</v>
      </c>
      <c r="F105" t="s">
        <v>248</v>
      </c>
      <c r="G105" t="s">
        <v>750</v>
      </c>
      <c r="H105" t="s">
        <v>751</v>
      </c>
      <c r="I105" t="s">
        <v>199</v>
      </c>
      <c r="J105" t="s">
        <v>249</v>
      </c>
      <c r="M105">
        <v>1</v>
      </c>
      <c r="N105">
        <v>1</v>
      </c>
    </row>
    <row r="106" spans="1:14" x14ac:dyDescent="0.45">
      <c r="A106" t="s">
        <v>961</v>
      </c>
      <c r="B106" t="s">
        <v>962</v>
      </c>
      <c r="C106" t="s">
        <v>922</v>
      </c>
      <c r="D106" t="s">
        <v>923</v>
      </c>
      <c r="E106" t="s">
        <v>247</v>
      </c>
      <c r="F106" t="s">
        <v>248</v>
      </c>
      <c r="G106" t="s">
        <v>750</v>
      </c>
      <c r="H106" t="s">
        <v>751</v>
      </c>
      <c r="I106" t="s">
        <v>199</v>
      </c>
      <c r="J106" t="s">
        <v>249</v>
      </c>
      <c r="M106">
        <v>1</v>
      </c>
      <c r="N106">
        <v>1</v>
      </c>
    </row>
    <row r="107" spans="1:14" x14ac:dyDescent="0.45">
      <c r="A107" t="s">
        <v>963</v>
      </c>
      <c r="B107" t="s">
        <v>964</v>
      </c>
      <c r="C107" t="s">
        <v>922</v>
      </c>
      <c r="D107" t="s">
        <v>923</v>
      </c>
      <c r="E107" t="s">
        <v>247</v>
      </c>
      <c r="F107" t="s">
        <v>248</v>
      </c>
      <c r="G107" t="s">
        <v>750</v>
      </c>
      <c r="H107" t="s">
        <v>751</v>
      </c>
      <c r="I107" t="s">
        <v>199</v>
      </c>
      <c r="J107" t="s">
        <v>249</v>
      </c>
      <c r="M107">
        <v>1</v>
      </c>
      <c r="N107">
        <v>1</v>
      </c>
    </row>
    <row r="108" spans="1:14" x14ac:dyDescent="0.45">
      <c r="A108" t="s">
        <v>965</v>
      </c>
      <c r="B108" t="s">
        <v>966</v>
      </c>
      <c r="C108" t="s">
        <v>922</v>
      </c>
      <c r="D108" t="s">
        <v>923</v>
      </c>
      <c r="E108" t="s">
        <v>247</v>
      </c>
      <c r="F108" t="s">
        <v>248</v>
      </c>
      <c r="G108" t="s">
        <v>750</v>
      </c>
      <c r="H108" t="s">
        <v>751</v>
      </c>
      <c r="I108" t="s">
        <v>199</v>
      </c>
      <c r="J108" t="s">
        <v>249</v>
      </c>
      <c r="M108">
        <v>1</v>
      </c>
      <c r="N108">
        <v>1</v>
      </c>
    </row>
    <row r="109" spans="1:14" x14ac:dyDescent="0.45">
      <c r="A109" t="s">
        <v>967</v>
      </c>
      <c r="B109" t="s">
        <v>968</v>
      </c>
      <c r="C109" t="s">
        <v>969</v>
      </c>
      <c r="D109" t="s">
        <v>970</v>
      </c>
      <c r="E109" t="s">
        <v>247</v>
      </c>
      <c r="F109" t="s">
        <v>248</v>
      </c>
      <c r="G109" t="s">
        <v>750</v>
      </c>
      <c r="H109" t="s">
        <v>751</v>
      </c>
      <c r="I109" t="s">
        <v>199</v>
      </c>
      <c r="J109" t="s">
        <v>249</v>
      </c>
      <c r="M109">
        <v>1</v>
      </c>
      <c r="N109">
        <v>1</v>
      </c>
    </row>
    <row r="110" spans="1:14" x14ac:dyDescent="0.45">
      <c r="A110" t="s">
        <v>971</v>
      </c>
      <c r="B110" t="s">
        <v>972</v>
      </c>
      <c r="C110" t="s">
        <v>969</v>
      </c>
      <c r="D110" t="s">
        <v>970</v>
      </c>
      <c r="E110" t="s">
        <v>247</v>
      </c>
      <c r="F110" t="s">
        <v>248</v>
      </c>
      <c r="G110" t="s">
        <v>750</v>
      </c>
      <c r="H110" t="s">
        <v>751</v>
      </c>
      <c r="I110" t="s">
        <v>199</v>
      </c>
      <c r="J110" t="s">
        <v>249</v>
      </c>
      <c r="M110">
        <v>1</v>
      </c>
      <c r="N110">
        <v>1</v>
      </c>
    </row>
    <row r="111" spans="1:14" x14ac:dyDescent="0.45">
      <c r="A111" t="s">
        <v>973</v>
      </c>
      <c r="B111" t="s">
        <v>974</v>
      </c>
      <c r="C111" t="s">
        <v>969</v>
      </c>
      <c r="D111" t="s">
        <v>970</v>
      </c>
      <c r="E111" t="s">
        <v>247</v>
      </c>
      <c r="F111" t="s">
        <v>248</v>
      </c>
      <c r="G111" t="s">
        <v>750</v>
      </c>
      <c r="H111" t="s">
        <v>751</v>
      </c>
      <c r="I111" t="s">
        <v>199</v>
      </c>
      <c r="J111" t="s">
        <v>249</v>
      </c>
      <c r="M111">
        <v>1</v>
      </c>
      <c r="N111">
        <v>1</v>
      </c>
    </row>
    <row r="112" spans="1:14" x14ac:dyDescent="0.45">
      <c r="A112" t="s">
        <v>975</v>
      </c>
      <c r="B112" t="s">
        <v>976</v>
      </c>
      <c r="C112" t="s">
        <v>969</v>
      </c>
      <c r="D112" t="s">
        <v>970</v>
      </c>
      <c r="E112" t="s">
        <v>247</v>
      </c>
      <c r="F112" t="s">
        <v>248</v>
      </c>
      <c r="G112" t="s">
        <v>750</v>
      </c>
      <c r="H112" t="s">
        <v>751</v>
      </c>
      <c r="I112" t="s">
        <v>199</v>
      </c>
      <c r="J112" t="s">
        <v>249</v>
      </c>
      <c r="M112">
        <v>1</v>
      </c>
      <c r="N112">
        <v>1</v>
      </c>
    </row>
    <row r="113" spans="1:14" x14ac:dyDescent="0.45">
      <c r="A113" t="s">
        <v>977</v>
      </c>
      <c r="B113" t="s">
        <v>978</v>
      </c>
      <c r="C113" t="s">
        <v>969</v>
      </c>
      <c r="D113" t="s">
        <v>970</v>
      </c>
      <c r="E113" t="s">
        <v>247</v>
      </c>
      <c r="F113" t="s">
        <v>248</v>
      </c>
      <c r="G113" t="s">
        <v>750</v>
      </c>
      <c r="H113" t="s">
        <v>751</v>
      </c>
      <c r="I113" t="s">
        <v>199</v>
      </c>
      <c r="J113" t="s">
        <v>249</v>
      </c>
      <c r="M113">
        <v>1</v>
      </c>
      <c r="N113">
        <v>1</v>
      </c>
    </row>
    <row r="114" spans="1:14" x14ac:dyDescent="0.45">
      <c r="A114" t="s">
        <v>979</v>
      </c>
      <c r="B114" t="s">
        <v>980</v>
      </c>
      <c r="C114" t="s">
        <v>969</v>
      </c>
      <c r="D114" t="s">
        <v>970</v>
      </c>
      <c r="E114" t="s">
        <v>247</v>
      </c>
      <c r="F114" t="s">
        <v>248</v>
      </c>
      <c r="G114" t="s">
        <v>750</v>
      </c>
      <c r="H114" t="s">
        <v>751</v>
      </c>
      <c r="I114" t="s">
        <v>199</v>
      </c>
      <c r="J114" t="s">
        <v>249</v>
      </c>
      <c r="M114">
        <v>1</v>
      </c>
      <c r="N114">
        <v>1</v>
      </c>
    </row>
    <row r="115" spans="1:14" x14ac:dyDescent="0.45">
      <c r="A115" t="s">
        <v>981</v>
      </c>
      <c r="B115" t="s">
        <v>982</v>
      </c>
      <c r="C115" t="s">
        <v>969</v>
      </c>
      <c r="D115" t="s">
        <v>970</v>
      </c>
      <c r="E115" t="s">
        <v>247</v>
      </c>
      <c r="F115" t="s">
        <v>248</v>
      </c>
      <c r="G115" t="s">
        <v>750</v>
      </c>
      <c r="H115" t="s">
        <v>751</v>
      </c>
      <c r="I115" t="s">
        <v>199</v>
      </c>
      <c r="J115" t="s">
        <v>249</v>
      </c>
      <c r="M115">
        <v>1</v>
      </c>
      <c r="N115">
        <v>1</v>
      </c>
    </row>
    <row r="116" spans="1:14" x14ac:dyDescent="0.45">
      <c r="A116" t="s">
        <v>983</v>
      </c>
      <c r="B116" t="s">
        <v>984</v>
      </c>
      <c r="C116" t="s">
        <v>969</v>
      </c>
      <c r="D116" t="s">
        <v>970</v>
      </c>
      <c r="E116" t="s">
        <v>247</v>
      </c>
      <c r="F116" t="s">
        <v>248</v>
      </c>
      <c r="G116" t="s">
        <v>750</v>
      </c>
      <c r="H116" t="s">
        <v>751</v>
      </c>
      <c r="I116" t="s">
        <v>199</v>
      </c>
      <c r="J116" t="s">
        <v>249</v>
      </c>
      <c r="M116">
        <v>1</v>
      </c>
      <c r="N116">
        <v>1</v>
      </c>
    </row>
    <row r="117" spans="1:14" x14ac:dyDescent="0.45">
      <c r="A117" t="s">
        <v>985</v>
      </c>
      <c r="B117" t="s">
        <v>986</v>
      </c>
      <c r="C117" t="s">
        <v>969</v>
      </c>
      <c r="D117" t="s">
        <v>970</v>
      </c>
      <c r="E117" t="s">
        <v>247</v>
      </c>
      <c r="F117" t="s">
        <v>248</v>
      </c>
      <c r="G117" t="s">
        <v>750</v>
      </c>
      <c r="H117" t="s">
        <v>751</v>
      </c>
      <c r="I117" t="s">
        <v>199</v>
      </c>
      <c r="J117" t="s">
        <v>249</v>
      </c>
      <c r="M117">
        <v>1</v>
      </c>
      <c r="N117">
        <v>1</v>
      </c>
    </row>
    <row r="118" spans="1:14" x14ac:dyDescent="0.45">
      <c r="A118" t="s">
        <v>987</v>
      </c>
      <c r="B118" t="s">
        <v>988</v>
      </c>
      <c r="C118" t="s">
        <v>969</v>
      </c>
      <c r="D118" t="s">
        <v>970</v>
      </c>
      <c r="E118" t="s">
        <v>247</v>
      </c>
      <c r="F118" t="s">
        <v>248</v>
      </c>
      <c r="G118" t="s">
        <v>750</v>
      </c>
      <c r="H118" t="s">
        <v>751</v>
      </c>
      <c r="I118" t="s">
        <v>199</v>
      </c>
      <c r="J118" t="s">
        <v>249</v>
      </c>
      <c r="M118">
        <v>1</v>
      </c>
      <c r="N118">
        <v>1</v>
      </c>
    </row>
    <row r="119" spans="1:14" x14ac:dyDescent="0.45">
      <c r="A119" t="s">
        <v>989</v>
      </c>
      <c r="B119" t="s">
        <v>990</v>
      </c>
      <c r="C119" t="s">
        <v>969</v>
      </c>
      <c r="D119" t="s">
        <v>970</v>
      </c>
      <c r="E119" t="s">
        <v>247</v>
      </c>
      <c r="F119" t="s">
        <v>248</v>
      </c>
      <c r="G119" t="s">
        <v>750</v>
      </c>
      <c r="H119" t="s">
        <v>751</v>
      </c>
      <c r="I119" t="s">
        <v>199</v>
      </c>
      <c r="J119" t="s">
        <v>249</v>
      </c>
      <c r="M119">
        <v>1</v>
      </c>
      <c r="N119">
        <v>1</v>
      </c>
    </row>
    <row r="120" spans="1:14" x14ac:dyDescent="0.45">
      <c r="A120" t="s">
        <v>991</v>
      </c>
      <c r="B120" t="s">
        <v>992</v>
      </c>
      <c r="C120" t="s">
        <v>969</v>
      </c>
      <c r="D120" t="s">
        <v>970</v>
      </c>
      <c r="E120" t="s">
        <v>247</v>
      </c>
      <c r="F120" t="s">
        <v>248</v>
      </c>
      <c r="G120" t="s">
        <v>750</v>
      </c>
      <c r="H120" t="s">
        <v>751</v>
      </c>
      <c r="I120" t="s">
        <v>199</v>
      </c>
      <c r="J120" t="s">
        <v>249</v>
      </c>
      <c r="M120">
        <v>1</v>
      </c>
      <c r="N120">
        <v>1</v>
      </c>
    </row>
    <row r="121" spans="1:14" x14ac:dyDescent="0.45">
      <c r="A121" t="s">
        <v>993</v>
      </c>
      <c r="B121" t="s">
        <v>994</v>
      </c>
      <c r="C121" t="s">
        <v>969</v>
      </c>
      <c r="D121" t="s">
        <v>970</v>
      </c>
      <c r="E121" t="s">
        <v>247</v>
      </c>
      <c r="F121" t="s">
        <v>248</v>
      </c>
      <c r="G121" t="s">
        <v>750</v>
      </c>
      <c r="H121" t="s">
        <v>751</v>
      </c>
      <c r="I121" t="s">
        <v>199</v>
      </c>
      <c r="J121" t="s">
        <v>249</v>
      </c>
      <c r="M121">
        <v>1</v>
      </c>
      <c r="N121">
        <v>1</v>
      </c>
    </row>
    <row r="122" spans="1:14" x14ac:dyDescent="0.45">
      <c r="A122" t="s">
        <v>995</v>
      </c>
      <c r="B122" t="s">
        <v>996</v>
      </c>
      <c r="C122" t="s">
        <v>969</v>
      </c>
      <c r="D122" t="s">
        <v>970</v>
      </c>
      <c r="E122" t="s">
        <v>247</v>
      </c>
      <c r="F122" t="s">
        <v>248</v>
      </c>
      <c r="G122" t="s">
        <v>750</v>
      </c>
      <c r="H122" t="s">
        <v>751</v>
      </c>
      <c r="I122" t="s">
        <v>199</v>
      </c>
      <c r="J122" t="s">
        <v>249</v>
      </c>
      <c r="M122">
        <v>1</v>
      </c>
      <c r="N122">
        <v>1</v>
      </c>
    </row>
    <row r="123" spans="1:14" x14ac:dyDescent="0.45">
      <c r="A123" t="s">
        <v>997</v>
      </c>
      <c r="B123" t="s">
        <v>998</v>
      </c>
      <c r="C123" t="s">
        <v>969</v>
      </c>
      <c r="D123" t="s">
        <v>970</v>
      </c>
      <c r="E123" t="s">
        <v>247</v>
      </c>
      <c r="F123" t="s">
        <v>248</v>
      </c>
      <c r="G123" t="s">
        <v>750</v>
      </c>
      <c r="H123" t="s">
        <v>751</v>
      </c>
      <c r="I123" t="s">
        <v>199</v>
      </c>
      <c r="J123" t="s">
        <v>249</v>
      </c>
      <c r="M123">
        <v>1</v>
      </c>
      <c r="N123">
        <v>1</v>
      </c>
    </row>
    <row r="124" spans="1:14" x14ac:dyDescent="0.45">
      <c r="A124" t="s">
        <v>1070</v>
      </c>
      <c r="B124" t="s">
        <v>1071</v>
      </c>
      <c r="C124" t="s">
        <v>1062</v>
      </c>
      <c r="D124" t="s">
        <v>1063</v>
      </c>
      <c r="E124" t="s">
        <v>250</v>
      </c>
      <c r="F124" t="s">
        <v>251</v>
      </c>
      <c r="G124" t="s">
        <v>750</v>
      </c>
      <c r="H124" t="s">
        <v>252</v>
      </c>
      <c r="I124" t="s">
        <v>193</v>
      </c>
      <c r="J124" t="s">
        <v>253</v>
      </c>
      <c r="K124">
        <v>1</v>
      </c>
      <c r="L124">
        <v>1</v>
      </c>
      <c r="M124">
        <v>1</v>
      </c>
      <c r="N124">
        <v>1</v>
      </c>
    </row>
    <row r="125" spans="1:14" x14ac:dyDescent="0.45">
      <c r="A125" t="s">
        <v>1074</v>
      </c>
      <c r="B125" t="s">
        <v>1075</v>
      </c>
      <c r="C125" t="s">
        <v>1062</v>
      </c>
      <c r="D125" t="s">
        <v>1063</v>
      </c>
      <c r="E125" t="s">
        <v>250</v>
      </c>
      <c r="F125" t="s">
        <v>251</v>
      </c>
      <c r="G125" t="s">
        <v>750</v>
      </c>
      <c r="H125" t="s">
        <v>252</v>
      </c>
      <c r="I125" t="s">
        <v>193</v>
      </c>
      <c r="J125" t="s">
        <v>253</v>
      </c>
      <c r="K125">
        <v>1</v>
      </c>
      <c r="L125">
        <v>1</v>
      </c>
      <c r="M125">
        <v>1</v>
      </c>
      <c r="N125">
        <v>1</v>
      </c>
    </row>
    <row r="126" spans="1:14" x14ac:dyDescent="0.45">
      <c r="A126" t="s">
        <v>1092</v>
      </c>
      <c r="B126" t="s">
        <v>1093</v>
      </c>
      <c r="C126" t="s">
        <v>1094</v>
      </c>
      <c r="D126" t="s">
        <v>1095</v>
      </c>
      <c r="E126" t="s">
        <v>250</v>
      </c>
      <c r="F126" t="s">
        <v>251</v>
      </c>
      <c r="G126" t="s">
        <v>750</v>
      </c>
      <c r="H126" t="s">
        <v>252</v>
      </c>
      <c r="I126" t="s">
        <v>193</v>
      </c>
      <c r="J126" t="s">
        <v>253</v>
      </c>
      <c r="K126">
        <v>1</v>
      </c>
      <c r="L126">
        <v>1</v>
      </c>
      <c r="M126">
        <v>1</v>
      </c>
      <c r="N126">
        <v>1</v>
      </c>
    </row>
    <row r="127" spans="1:14" x14ac:dyDescent="0.45">
      <c r="A127" t="s">
        <v>1096</v>
      </c>
      <c r="B127" t="s">
        <v>1097</v>
      </c>
      <c r="C127" t="s">
        <v>1094</v>
      </c>
      <c r="D127" t="s">
        <v>1095</v>
      </c>
      <c r="E127" t="s">
        <v>250</v>
      </c>
      <c r="F127" t="s">
        <v>251</v>
      </c>
      <c r="G127" t="s">
        <v>750</v>
      </c>
      <c r="H127" t="s">
        <v>252</v>
      </c>
      <c r="I127" t="s">
        <v>193</v>
      </c>
      <c r="J127" t="s">
        <v>253</v>
      </c>
      <c r="K127">
        <v>1</v>
      </c>
      <c r="L127">
        <v>1</v>
      </c>
      <c r="M127">
        <v>1</v>
      </c>
      <c r="N127">
        <v>1</v>
      </c>
    </row>
    <row r="128" spans="1:14" x14ac:dyDescent="0.45">
      <c r="A128" t="s">
        <v>1098</v>
      </c>
      <c r="B128" t="s">
        <v>1099</v>
      </c>
      <c r="C128" t="s">
        <v>1094</v>
      </c>
      <c r="D128" t="s">
        <v>1095</v>
      </c>
      <c r="E128" t="s">
        <v>250</v>
      </c>
      <c r="F128" t="s">
        <v>251</v>
      </c>
      <c r="G128" t="s">
        <v>750</v>
      </c>
      <c r="H128" t="s">
        <v>252</v>
      </c>
      <c r="I128" t="s">
        <v>193</v>
      </c>
      <c r="J128" t="s">
        <v>253</v>
      </c>
      <c r="K128">
        <v>1</v>
      </c>
      <c r="L128">
        <v>1</v>
      </c>
      <c r="M128">
        <v>1</v>
      </c>
      <c r="N128">
        <v>1</v>
      </c>
    </row>
    <row r="129" spans="1:14" x14ac:dyDescent="0.45">
      <c r="A129" t="s">
        <v>1102</v>
      </c>
      <c r="B129" t="s">
        <v>1104</v>
      </c>
      <c r="C129" t="s">
        <v>1094</v>
      </c>
      <c r="D129" t="s">
        <v>1095</v>
      </c>
      <c r="E129" t="s">
        <v>250</v>
      </c>
      <c r="F129" t="s">
        <v>251</v>
      </c>
      <c r="G129" t="s">
        <v>750</v>
      </c>
      <c r="H129" t="s">
        <v>252</v>
      </c>
      <c r="I129" t="s">
        <v>193</v>
      </c>
      <c r="J129" t="s">
        <v>253</v>
      </c>
      <c r="K129">
        <v>1</v>
      </c>
      <c r="L129">
        <v>1</v>
      </c>
      <c r="M129">
        <v>1</v>
      </c>
      <c r="N129">
        <v>1</v>
      </c>
    </row>
    <row r="130" spans="1:14" x14ac:dyDescent="0.45">
      <c r="A130" t="s">
        <v>1107</v>
      </c>
      <c r="B130" t="s">
        <v>1108</v>
      </c>
      <c r="C130" t="s">
        <v>1094</v>
      </c>
      <c r="D130" t="s">
        <v>1095</v>
      </c>
      <c r="E130" t="s">
        <v>250</v>
      </c>
      <c r="F130" t="s">
        <v>251</v>
      </c>
      <c r="G130" t="s">
        <v>750</v>
      </c>
      <c r="H130" t="s">
        <v>252</v>
      </c>
      <c r="I130" t="s">
        <v>193</v>
      </c>
      <c r="J130" t="s">
        <v>253</v>
      </c>
      <c r="K130">
        <v>1</v>
      </c>
      <c r="L130">
        <v>1</v>
      </c>
      <c r="M130">
        <v>1</v>
      </c>
      <c r="N130">
        <v>1</v>
      </c>
    </row>
    <row r="131" spans="1:14" x14ac:dyDescent="0.45">
      <c r="A131" t="s">
        <v>1146</v>
      </c>
      <c r="B131" t="s">
        <v>1147</v>
      </c>
      <c r="C131" t="s">
        <v>1142</v>
      </c>
      <c r="D131" t="s">
        <v>1143</v>
      </c>
      <c r="E131" t="s">
        <v>250</v>
      </c>
      <c r="F131" t="s">
        <v>251</v>
      </c>
      <c r="G131" t="s">
        <v>750</v>
      </c>
      <c r="H131" t="s">
        <v>252</v>
      </c>
      <c r="I131" t="s">
        <v>193</v>
      </c>
      <c r="J131" t="s">
        <v>253</v>
      </c>
      <c r="K131">
        <v>1</v>
      </c>
      <c r="L131">
        <v>1</v>
      </c>
      <c r="M131">
        <v>1</v>
      </c>
      <c r="N131">
        <v>1</v>
      </c>
    </row>
    <row r="132" spans="1:14" x14ac:dyDescent="0.45">
      <c r="A132" t="s">
        <v>1154</v>
      </c>
      <c r="B132" t="s">
        <v>1155</v>
      </c>
      <c r="C132" t="s">
        <v>1142</v>
      </c>
      <c r="D132" t="s">
        <v>1143</v>
      </c>
      <c r="E132" t="s">
        <v>250</v>
      </c>
      <c r="F132" t="s">
        <v>251</v>
      </c>
      <c r="G132" t="s">
        <v>750</v>
      </c>
      <c r="H132" t="s">
        <v>252</v>
      </c>
      <c r="I132" t="s">
        <v>193</v>
      </c>
      <c r="J132" t="s">
        <v>253</v>
      </c>
      <c r="K132">
        <v>1</v>
      </c>
      <c r="L132">
        <v>1</v>
      </c>
      <c r="M132">
        <v>1</v>
      </c>
      <c r="N132">
        <v>1</v>
      </c>
    </row>
    <row r="133" spans="1:14" x14ac:dyDescent="0.45">
      <c r="A133" t="s">
        <v>1156</v>
      </c>
      <c r="B133" t="s">
        <v>1157</v>
      </c>
      <c r="C133" t="s">
        <v>1142</v>
      </c>
      <c r="D133" t="s">
        <v>1143</v>
      </c>
      <c r="E133" t="s">
        <v>250</v>
      </c>
      <c r="F133" t="s">
        <v>251</v>
      </c>
      <c r="G133" t="s">
        <v>750</v>
      </c>
      <c r="H133" t="s">
        <v>252</v>
      </c>
      <c r="I133" t="s">
        <v>193</v>
      </c>
      <c r="J133" t="s">
        <v>253</v>
      </c>
      <c r="K133">
        <v>1</v>
      </c>
      <c r="L133">
        <v>1</v>
      </c>
      <c r="M133">
        <v>1</v>
      </c>
      <c r="N133">
        <v>1</v>
      </c>
    </row>
    <row r="134" spans="1:14" x14ac:dyDescent="0.45">
      <c r="A134" t="s">
        <v>1159</v>
      </c>
      <c r="B134" t="s">
        <v>1160</v>
      </c>
      <c r="C134" t="s">
        <v>1142</v>
      </c>
      <c r="D134" t="s">
        <v>1143</v>
      </c>
      <c r="E134" t="s">
        <v>250</v>
      </c>
      <c r="F134" t="s">
        <v>251</v>
      </c>
      <c r="G134" t="s">
        <v>750</v>
      </c>
      <c r="H134" t="s">
        <v>252</v>
      </c>
      <c r="I134" t="s">
        <v>193</v>
      </c>
      <c r="J134" t="s">
        <v>253</v>
      </c>
      <c r="K134">
        <v>1</v>
      </c>
      <c r="L134">
        <v>1</v>
      </c>
      <c r="M134">
        <v>1</v>
      </c>
      <c r="N134">
        <v>1</v>
      </c>
    </row>
    <row r="135" spans="1:14" x14ac:dyDescent="0.45">
      <c r="A135" t="s">
        <v>1060</v>
      </c>
      <c r="B135" t="s">
        <v>1061</v>
      </c>
      <c r="C135" t="s">
        <v>1062</v>
      </c>
      <c r="D135" t="s">
        <v>1063</v>
      </c>
      <c r="E135" t="s">
        <v>250</v>
      </c>
      <c r="F135" t="s">
        <v>251</v>
      </c>
      <c r="G135" t="s">
        <v>750</v>
      </c>
      <c r="H135" t="s">
        <v>254</v>
      </c>
      <c r="I135" t="s">
        <v>196</v>
      </c>
      <c r="J135" t="s">
        <v>255</v>
      </c>
      <c r="K135">
        <v>1</v>
      </c>
      <c r="M135">
        <v>1</v>
      </c>
      <c r="N135">
        <v>1</v>
      </c>
    </row>
    <row r="136" spans="1:14" x14ac:dyDescent="0.45">
      <c r="A136" t="s">
        <v>1082</v>
      </c>
      <c r="B136" t="s">
        <v>1083</v>
      </c>
      <c r="C136" t="s">
        <v>1062</v>
      </c>
      <c r="D136" t="s">
        <v>1063</v>
      </c>
      <c r="E136" t="s">
        <v>250</v>
      </c>
      <c r="F136" t="s">
        <v>251</v>
      </c>
      <c r="G136" t="s">
        <v>750</v>
      </c>
      <c r="H136" t="s">
        <v>254</v>
      </c>
      <c r="I136" t="s">
        <v>196</v>
      </c>
      <c r="J136" t="s">
        <v>255</v>
      </c>
      <c r="K136">
        <v>1</v>
      </c>
      <c r="M136">
        <v>1</v>
      </c>
      <c r="N136">
        <v>1</v>
      </c>
    </row>
    <row r="137" spans="1:14" x14ac:dyDescent="0.45">
      <c r="A137" t="s">
        <v>1100</v>
      </c>
      <c r="B137" t="s">
        <v>1101</v>
      </c>
      <c r="C137" t="s">
        <v>1094</v>
      </c>
      <c r="D137" t="s">
        <v>1095</v>
      </c>
      <c r="E137" t="s">
        <v>250</v>
      </c>
      <c r="F137" t="s">
        <v>251</v>
      </c>
      <c r="G137" t="s">
        <v>750</v>
      </c>
      <c r="H137" t="s">
        <v>254</v>
      </c>
      <c r="I137" t="s">
        <v>196</v>
      </c>
      <c r="J137" t="s">
        <v>255</v>
      </c>
      <c r="K137">
        <v>1</v>
      </c>
      <c r="M137">
        <v>1</v>
      </c>
      <c r="N137">
        <v>1</v>
      </c>
    </row>
    <row r="138" spans="1:14" x14ac:dyDescent="0.45">
      <c r="A138" t="s">
        <v>1102</v>
      </c>
      <c r="B138" t="s">
        <v>1103</v>
      </c>
      <c r="C138" t="s">
        <v>1094</v>
      </c>
      <c r="D138" t="s">
        <v>1095</v>
      </c>
      <c r="E138" t="s">
        <v>250</v>
      </c>
      <c r="F138" t="s">
        <v>251</v>
      </c>
      <c r="G138" t="s">
        <v>750</v>
      </c>
      <c r="H138" t="s">
        <v>254</v>
      </c>
      <c r="I138" t="s">
        <v>196</v>
      </c>
      <c r="J138" t="s">
        <v>255</v>
      </c>
      <c r="K138">
        <v>1</v>
      </c>
      <c r="M138">
        <v>1</v>
      </c>
      <c r="N138">
        <v>1</v>
      </c>
    </row>
    <row r="139" spans="1:14" x14ac:dyDescent="0.45">
      <c r="A139" t="s">
        <v>1105</v>
      </c>
      <c r="B139" t="s">
        <v>1106</v>
      </c>
      <c r="C139" t="s">
        <v>1094</v>
      </c>
      <c r="D139" t="s">
        <v>1095</v>
      </c>
      <c r="E139" t="s">
        <v>250</v>
      </c>
      <c r="F139" t="s">
        <v>251</v>
      </c>
      <c r="G139" t="s">
        <v>750</v>
      </c>
      <c r="H139" t="s">
        <v>254</v>
      </c>
      <c r="I139" t="s">
        <v>196</v>
      </c>
      <c r="J139" t="s">
        <v>255</v>
      </c>
      <c r="K139">
        <v>1</v>
      </c>
      <c r="M139">
        <v>1</v>
      </c>
      <c r="N139">
        <v>1</v>
      </c>
    </row>
    <row r="140" spans="1:14" x14ac:dyDescent="0.45">
      <c r="A140" t="s">
        <v>1148</v>
      </c>
      <c r="B140" t="s">
        <v>1149</v>
      </c>
      <c r="C140" t="s">
        <v>1142</v>
      </c>
      <c r="D140" t="s">
        <v>1143</v>
      </c>
      <c r="E140" t="s">
        <v>250</v>
      </c>
      <c r="F140" t="s">
        <v>251</v>
      </c>
      <c r="G140" t="s">
        <v>750</v>
      </c>
      <c r="H140" t="s">
        <v>254</v>
      </c>
      <c r="I140" t="s">
        <v>196</v>
      </c>
      <c r="J140" t="s">
        <v>255</v>
      </c>
      <c r="K140">
        <v>1</v>
      </c>
      <c r="M140">
        <v>1</v>
      </c>
      <c r="N140">
        <v>1</v>
      </c>
    </row>
    <row r="141" spans="1:14" x14ac:dyDescent="0.45">
      <c r="A141" t="s">
        <v>288</v>
      </c>
      <c r="B141" t="s">
        <v>1158</v>
      </c>
      <c r="C141" t="s">
        <v>1142</v>
      </c>
      <c r="D141" t="s">
        <v>1143</v>
      </c>
      <c r="E141" t="s">
        <v>250</v>
      </c>
      <c r="F141" t="s">
        <v>251</v>
      </c>
      <c r="G141" t="s">
        <v>750</v>
      </c>
      <c r="H141" t="s">
        <v>254</v>
      </c>
      <c r="I141" t="s">
        <v>196</v>
      </c>
      <c r="J141" t="s">
        <v>255</v>
      </c>
      <c r="K141">
        <v>1</v>
      </c>
      <c r="M141">
        <v>1</v>
      </c>
      <c r="N141">
        <v>1</v>
      </c>
    </row>
    <row r="142" spans="1:14" x14ac:dyDescent="0.45">
      <c r="A142" t="s">
        <v>1161</v>
      </c>
      <c r="B142" t="s">
        <v>1162</v>
      </c>
      <c r="C142" t="s">
        <v>1142</v>
      </c>
      <c r="D142" t="s">
        <v>1143</v>
      </c>
      <c r="E142" t="s">
        <v>250</v>
      </c>
      <c r="F142" t="s">
        <v>251</v>
      </c>
      <c r="G142" t="s">
        <v>750</v>
      </c>
      <c r="H142" t="s">
        <v>254</v>
      </c>
      <c r="I142" t="s">
        <v>196</v>
      </c>
      <c r="J142" t="s">
        <v>255</v>
      </c>
      <c r="K142">
        <v>1</v>
      </c>
      <c r="M142">
        <v>1</v>
      </c>
      <c r="N142">
        <v>1</v>
      </c>
    </row>
    <row r="143" spans="1:14" x14ac:dyDescent="0.45">
      <c r="A143" t="s">
        <v>1163</v>
      </c>
      <c r="B143" t="s">
        <v>1164</v>
      </c>
      <c r="C143" t="s">
        <v>1142</v>
      </c>
      <c r="D143" t="s">
        <v>1143</v>
      </c>
      <c r="E143" t="s">
        <v>250</v>
      </c>
      <c r="F143" t="s">
        <v>251</v>
      </c>
      <c r="G143" t="s">
        <v>750</v>
      </c>
      <c r="H143" t="s">
        <v>254</v>
      </c>
      <c r="I143" t="s">
        <v>196</v>
      </c>
      <c r="J143" t="s">
        <v>255</v>
      </c>
      <c r="K143">
        <v>1</v>
      </c>
      <c r="M143">
        <v>1</v>
      </c>
      <c r="N143">
        <v>1</v>
      </c>
    </row>
    <row r="144" spans="1:14" x14ac:dyDescent="0.45">
      <c r="A144" t="s">
        <v>1102</v>
      </c>
      <c r="B144" t="s">
        <v>1165</v>
      </c>
      <c r="C144" t="s">
        <v>1142</v>
      </c>
      <c r="D144" t="s">
        <v>1143</v>
      </c>
      <c r="E144" t="s">
        <v>250</v>
      </c>
      <c r="F144" t="s">
        <v>251</v>
      </c>
      <c r="G144" t="s">
        <v>750</v>
      </c>
      <c r="H144" t="s">
        <v>254</v>
      </c>
      <c r="I144" t="s">
        <v>196</v>
      </c>
      <c r="J144" t="s">
        <v>255</v>
      </c>
      <c r="K144">
        <v>1</v>
      </c>
      <c r="M144">
        <v>1</v>
      </c>
      <c r="N144">
        <v>1</v>
      </c>
    </row>
    <row r="145" spans="1:14" x14ac:dyDescent="0.45">
      <c r="A145" t="s">
        <v>1174</v>
      </c>
      <c r="B145" t="s">
        <v>1175</v>
      </c>
      <c r="C145" t="s">
        <v>1142</v>
      </c>
      <c r="D145" t="s">
        <v>1143</v>
      </c>
      <c r="E145" t="s">
        <v>250</v>
      </c>
      <c r="F145" t="s">
        <v>251</v>
      </c>
      <c r="G145" t="s">
        <v>750</v>
      </c>
      <c r="H145" t="s">
        <v>254</v>
      </c>
      <c r="I145" t="s">
        <v>196</v>
      </c>
      <c r="J145" t="s">
        <v>255</v>
      </c>
      <c r="K145">
        <v>1</v>
      </c>
      <c r="M145">
        <v>1</v>
      </c>
      <c r="N145">
        <v>1</v>
      </c>
    </row>
    <row r="146" spans="1:14" x14ac:dyDescent="0.45">
      <c r="A146" t="s">
        <v>1176</v>
      </c>
      <c r="B146" t="s">
        <v>1177</v>
      </c>
      <c r="C146" t="s">
        <v>1142</v>
      </c>
      <c r="D146" t="s">
        <v>1143</v>
      </c>
      <c r="E146" t="s">
        <v>250</v>
      </c>
      <c r="F146" t="s">
        <v>251</v>
      </c>
      <c r="G146" t="s">
        <v>750</v>
      </c>
      <c r="H146" t="s">
        <v>254</v>
      </c>
      <c r="I146" t="s">
        <v>196</v>
      </c>
      <c r="J146" t="s">
        <v>255</v>
      </c>
      <c r="K146">
        <v>1</v>
      </c>
      <c r="M146">
        <v>1</v>
      </c>
      <c r="N146">
        <v>1</v>
      </c>
    </row>
    <row r="147" spans="1:14" x14ac:dyDescent="0.45">
      <c r="A147" t="s">
        <v>999</v>
      </c>
      <c r="B147" t="s">
        <v>1000</v>
      </c>
      <c r="C147" t="s">
        <v>1001</v>
      </c>
      <c r="D147" t="s">
        <v>1002</v>
      </c>
      <c r="E147" t="s">
        <v>250</v>
      </c>
      <c r="F147" t="s">
        <v>251</v>
      </c>
      <c r="G147" t="s">
        <v>750</v>
      </c>
      <c r="H147" t="s">
        <v>1003</v>
      </c>
      <c r="I147" t="s">
        <v>199</v>
      </c>
      <c r="J147" t="s">
        <v>257</v>
      </c>
      <c r="M147">
        <v>1</v>
      </c>
      <c r="N147">
        <v>1</v>
      </c>
    </row>
    <row r="148" spans="1:14" x14ac:dyDescent="0.45">
      <c r="A148" t="s">
        <v>1004</v>
      </c>
      <c r="B148" t="s">
        <v>1005</v>
      </c>
      <c r="C148" t="s">
        <v>1001</v>
      </c>
      <c r="D148" t="s">
        <v>1002</v>
      </c>
      <c r="E148" t="s">
        <v>250</v>
      </c>
      <c r="F148" t="s">
        <v>251</v>
      </c>
      <c r="G148" t="s">
        <v>750</v>
      </c>
      <c r="H148" t="s">
        <v>1003</v>
      </c>
      <c r="I148" t="s">
        <v>199</v>
      </c>
      <c r="J148" t="s">
        <v>257</v>
      </c>
      <c r="M148">
        <v>1</v>
      </c>
      <c r="N148">
        <v>1</v>
      </c>
    </row>
    <row r="149" spans="1:14" x14ac:dyDescent="0.45">
      <c r="A149" t="s">
        <v>1006</v>
      </c>
      <c r="B149" t="s">
        <v>1007</v>
      </c>
      <c r="C149" t="s">
        <v>1001</v>
      </c>
      <c r="D149" t="s">
        <v>1002</v>
      </c>
      <c r="E149" t="s">
        <v>250</v>
      </c>
      <c r="F149" t="s">
        <v>251</v>
      </c>
      <c r="G149" t="s">
        <v>750</v>
      </c>
      <c r="H149" t="s">
        <v>1003</v>
      </c>
      <c r="I149" t="s">
        <v>199</v>
      </c>
      <c r="J149" t="s">
        <v>257</v>
      </c>
      <c r="M149">
        <v>1</v>
      </c>
      <c r="N149">
        <v>1</v>
      </c>
    </row>
    <row r="150" spans="1:14" x14ac:dyDescent="0.45">
      <c r="A150" t="s">
        <v>1008</v>
      </c>
      <c r="B150" t="s">
        <v>1009</v>
      </c>
      <c r="C150" t="s">
        <v>1001</v>
      </c>
      <c r="D150" t="s">
        <v>1002</v>
      </c>
      <c r="E150" t="s">
        <v>250</v>
      </c>
      <c r="F150" t="s">
        <v>251</v>
      </c>
      <c r="G150" t="s">
        <v>750</v>
      </c>
      <c r="H150" t="s">
        <v>1003</v>
      </c>
      <c r="I150" t="s">
        <v>199</v>
      </c>
      <c r="J150" t="s">
        <v>257</v>
      </c>
      <c r="M150">
        <v>1</v>
      </c>
      <c r="N150">
        <v>1</v>
      </c>
    </row>
    <row r="151" spans="1:14" x14ac:dyDescent="0.45">
      <c r="A151" t="s">
        <v>288</v>
      </c>
      <c r="B151" t="s">
        <v>1010</v>
      </c>
      <c r="C151" t="s">
        <v>1001</v>
      </c>
      <c r="D151" t="s">
        <v>1002</v>
      </c>
      <c r="E151" t="s">
        <v>250</v>
      </c>
      <c r="F151" t="s">
        <v>251</v>
      </c>
      <c r="G151" t="s">
        <v>750</v>
      </c>
      <c r="H151" t="s">
        <v>1003</v>
      </c>
      <c r="I151" t="s">
        <v>199</v>
      </c>
      <c r="J151" t="s">
        <v>257</v>
      </c>
      <c r="M151">
        <v>1</v>
      </c>
      <c r="N151">
        <v>1</v>
      </c>
    </row>
    <row r="152" spans="1:14" x14ac:dyDescent="0.45">
      <c r="A152" t="s">
        <v>1011</v>
      </c>
      <c r="B152" t="s">
        <v>1012</v>
      </c>
      <c r="C152" t="s">
        <v>1001</v>
      </c>
      <c r="D152" t="s">
        <v>1002</v>
      </c>
      <c r="E152" t="s">
        <v>250</v>
      </c>
      <c r="F152" t="s">
        <v>251</v>
      </c>
      <c r="G152" t="s">
        <v>750</v>
      </c>
      <c r="H152" t="s">
        <v>1003</v>
      </c>
      <c r="I152" t="s">
        <v>199</v>
      </c>
      <c r="J152" t="s">
        <v>257</v>
      </c>
      <c r="M152">
        <v>1</v>
      </c>
      <c r="N152">
        <v>1</v>
      </c>
    </row>
    <row r="153" spans="1:14" x14ac:dyDescent="0.45">
      <c r="A153" t="s">
        <v>1013</v>
      </c>
      <c r="B153" t="s">
        <v>1014</v>
      </c>
      <c r="C153" t="s">
        <v>1001</v>
      </c>
      <c r="D153" t="s">
        <v>1002</v>
      </c>
      <c r="E153" t="s">
        <v>250</v>
      </c>
      <c r="F153" t="s">
        <v>251</v>
      </c>
      <c r="G153" t="s">
        <v>750</v>
      </c>
      <c r="H153" t="s">
        <v>1003</v>
      </c>
      <c r="I153" t="s">
        <v>199</v>
      </c>
      <c r="J153" t="s">
        <v>257</v>
      </c>
      <c r="M153">
        <v>1</v>
      </c>
      <c r="N153">
        <v>1</v>
      </c>
    </row>
    <row r="154" spans="1:14" x14ac:dyDescent="0.45">
      <c r="A154" t="s">
        <v>1015</v>
      </c>
      <c r="B154" t="s">
        <v>1016</v>
      </c>
      <c r="C154" t="s">
        <v>1001</v>
      </c>
      <c r="D154" t="s">
        <v>1002</v>
      </c>
      <c r="E154" t="s">
        <v>250</v>
      </c>
      <c r="F154" t="s">
        <v>251</v>
      </c>
      <c r="G154" t="s">
        <v>750</v>
      </c>
      <c r="H154" t="s">
        <v>1003</v>
      </c>
      <c r="I154" t="s">
        <v>199</v>
      </c>
      <c r="J154" t="s">
        <v>257</v>
      </c>
      <c r="M154">
        <v>1</v>
      </c>
      <c r="N154">
        <v>1</v>
      </c>
    </row>
    <row r="155" spans="1:14" x14ac:dyDescent="0.45">
      <c r="A155" t="s">
        <v>1017</v>
      </c>
      <c r="B155" t="s">
        <v>1018</v>
      </c>
      <c r="C155" t="s">
        <v>1001</v>
      </c>
      <c r="D155" t="s">
        <v>1002</v>
      </c>
      <c r="E155" t="s">
        <v>250</v>
      </c>
      <c r="F155" t="s">
        <v>251</v>
      </c>
      <c r="G155" t="s">
        <v>750</v>
      </c>
      <c r="H155" t="s">
        <v>1003</v>
      </c>
      <c r="I155" t="s">
        <v>199</v>
      </c>
      <c r="J155" t="s">
        <v>257</v>
      </c>
      <c r="M155">
        <v>1</v>
      </c>
      <c r="N155">
        <v>1</v>
      </c>
    </row>
    <row r="156" spans="1:14" x14ac:dyDescent="0.45">
      <c r="A156" t="s">
        <v>1019</v>
      </c>
      <c r="B156" t="s">
        <v>1020</v>
      </c>
      <c r="C156" t="s">
        <v>1001</v>
      </c>
      <c r="D156" t="s">
        <v>1002</v>
      </c>
      <c r="E156" t="s">
        <v>250</v>
      </c>
      <c r="F156" t="s">
        <v>251</v>
      </c>
      <c r="G156" t="s">
        <v>750</v>
      </c>
      <c r="H156" t="s">
        <v>1003</v>
      </c>
      <c r="I156" t="s">
        <v>199</v>
      </c>
      <c r="J156" t="s">
        <v>257</v>
      </c>
      <c r="M156">
        <v>1</v>
      </c>
      <c r="N156">
        <v>1</v>
      </c>
    </row>
    <row r="157" spans="1:14" x14ac:dyDescent="0.45">
      <c r="A157" t="s">
        <v>1021</v>
      </c>
      <c r="B157" t="s">
        <v>1022</v>
      </c>
      <c r="C157" t="s">
        <v>1001</v>
      </c>
      <c r="D157" t="s">
        <v>1002</v>
      </c>
      <c r="E157" t="s">
        <v>250</v>
      </c>
      <c r="F157" t="s">
        <v>251</v>
      </c>
      <c r="G157" t="s">
        <v>750</v>
      </c>
      <c r="H157" t="s">
        <v>1003</v>
      </c>
      <c r="I157" t="s">
        <v>199</v>
      </c>
      <c r="J157" t="s">
        <v>257</v>
      </c>
      <c r="M157">
        <v>1</v>
      </c>
      <c r="N157">
        <v>1</v>
      </c>
    </row>
    <row r="158" spans="1:14" x14ac:dyDescent="0.45">
      <c r="A158" t="s">
        <v>1023</v>
      </c>
      <c r="B158" t="s">
        <v>1024</v>
      </c>
      <c r="C158" t="s">
        <v>1001</v>
      </c>
      <c r="D158" t="s">
        <v>1002</v>
      </c>
      <c r="E158" t="s">
        <v>250</v>
      </c>
      <c r="F158" t="s">
        <v>251</v>
      </c>
      <c r="G158" t="s">
        <v>750</v>
      </c>
      <c r="H158" t="s">
        <v>1003</v>
      </c>
      <c r="I158" t="s">
        <v>199</v>
      </c>
      <c r="J158" t="s">
        <v>257</v>
      </c>
      <c r="M158">
        <v>1</v>
      </c>
      <c r="N158">
        <v>1</v>
      </c>
    </row>
    <row r="159" spans="1:14" x14ac:dyDescent="0.45">
      <c r="A159" t="s">
        <v>1025</v>
      </c>
      <c r="B159" t="s">
        <v>1026</v>
      </c>
      <c r="C159" t="s">
        <v>1001</v>
      </c>
      <c r="D159" t="s">
        <v>1002</v>
      </c>
      <c r="E159" t="s">
        <v>250</v>
      </c>
      <c r="F159" t="s">
        <v>251</v>
      </c>
      <c r="G159" t="s">
        <v>750</v>
      </c>
      <c r="H159" t="s">
        <v>1003</v>
      </c>
      <c r="I159" t="s">
        <v>199</v>
      </c>
      <c r="J159" t="s">
        <v>257</v>
      </c>
      <c r="M159">
        <v>1</v>
      </c>
      <c r="N159">
        <v>1</v>
      </c>
    </row>
    <row r="160" spans="1:14" x14ac:dyDescent="0.45">
      <c r="A160" t="s">
        <v>1027</v>
      </c>
      <c r="B160" t="s">
        <v>1028</v>
      </c>
      <c r="C160" t="s">
        <v>1001</v>
      </c>
      <c r="D160" t="s">
        <v>1002</v>
      </c>
      <c r="E160" t="s">
        <v>250</v>
      </c>
      <c r="F160" t="s">
        <v>251</v>
      </c>
      <c r="G160" t="s">
        <v>750</v>
      </c>
      <c r="H160" t="s">
        <v>1003</v>
      </c>
      <c r="I160" t="s">
        <v>199</v>
      </c>
      <c r="J160" t="s">
        <v>257</v>
      </c>
      <c r="M160">
        <v>1</v>
      </c>
      <c r="N160">
        <v>1</v>
      </c>
    </row>
    <row r="161" spans="1:14" x14ac:dyDescent="0.45">
      <c r="A161" t="s">
        <v>1029</v>
      </c>
      <c r="B161" t="s">
        <v>1030</v>
      </c>
      <c r="C161" t="s">
        <v>1001</v>
      </c>
      <c r="D161" t="s">
        <v>1002</v>
      </c>
      <c r="E161" t="s">
        <v>250</v>
      </c>
      <c r="F161" t="s">
        <v>251</v>
      </c>
      <c r="G161" t="s">
        <v>750</v>
      </c>
      <c r="H161" t="s">
        <v>1003</v>
      </c>
      <c r="I161" t="s">
        <v>199</v>
      </c>
      <c r="J161" t="s">
        <v>257</v>
      </c>
      <c r="M161">
        <v>1</v>
      </c>
      <c r="N161">
        <v>1</v>
      </c>
    </row>
    <row r="162" spans="1:14" x14ac:dyDescent="0.45">
      <c r="A162" t="s">
        <v>1031</v>
      </c>
      <c r="B162" t="s">
        <v>1032</v>
      </c>
      <c r="C162" t="s">
        <v>1001</v>
      </c>
      <c r="D162" t="s">
        <v>1002</v>
      </c>
      <c r="E162" t="s">
        <v>250</v>
      </c>
      <c r="F162" t="s">
        <v>251</v>
      </c>
      <c r="G162" t="s">
        <v>750</v>
      </c>
      <c r="H162" t="s">
        <v>1003</v>
      </c>
      <c r="I162" t="s">
        <v>199</v>
      </c>
      <c r="J162" t="s">
        <v>257</v>
      </c>
      <c r="M162">
        <v>1</v>
      </c>
      <c r="N162">
        <v>1</v>
      </c>
    </row>
    <row r="163" spans="1:14" x14ac:dyDescent="0.45">
      <c r="A163" t="s">
        <v>1033</v>
      </c>
      <c r="B163" t="s">
        <v>1034</v>
      </c>
      <c r="C163" t="s">
        <v>1001</v>
      </c>
      <c r="D163" t="s">
        <v>1002</v>
      </c>
      <c r="E163" t="s">
        <v>250</v>
      </c>
      <c r="F163" t="s">
        <v>251</v>
      </c>
      <c r="G163" t="s">
        <v>750</v>
      </c>
      <c r="H163" t="s">
        <v>1003</v>
      </c>
      <c r="I163" t="s">
        <v>199</v>
      </c>
      <c r="J163" t="s">
        <v>257</v>
      </c>
      <c r="M163">
        <v>1</v>
      </c>
      <c r="N163">
        <v>1</v>
      </c>
    </row>
    <row r="164" spans="1:14" x14ac:dyDescent="0.45">
      <c r="A164" t="s">
        <v>1035</v>
      </c>
      <c r="B164" t="s">
        <v>1036</v>
      </c>
      <c r="C164" t="s">
        <v>1037</v>
      </c>
      <c r="D164" t="s">
        <v>1038</v>
      </c>
      <c r="E164" t="s">
        <v>250</v>
      </c>
      <c r="F164" t="s">
        <v>251</v>
      </c>
      <c r="G164" t="s">
        <v>750</v>
      </c>
      <c r="H164" t="s">
        <v>1003</v>
      </c>
      <c r="I164" t="s">
        <v>199</v>
      </c>
      <c r="J164" t="s">
        <v>257</v>
      </c>
      <c r="M164">
        <v>1</v>
      </c>
      <c r="N164">
        <v>1</v>
      </c>
    </row>
    <row r="165" spans="1:14" x14ac:dyDescent="0.45">
      <c r="A165" t="s">
        <v>1039</v>
      </c>
      <c r="B165" t="s">
        <v>1040</v>
      </c>
      <c r="C165" t="s">
        <v>1037</v>
      </c>
      <c r="D165" t="s">
        <v>1038</v>
      </c>
      <c r="E165" t="s">
        <v>250</v>
      </c>
      <c r="F165" t="s">
        <v>251</v>
      </c>
      <c r="G165" t="s">
        <v>750</v>
      </c>
      <c r="H165" t="s">
        <v>1003</v>
      </c>
      <c r="I165" t="s">
        <v>199</v>
      </c>
      <c r="J165" t="s">
        <v>257</v>
      </c>
      <c r="M165">
        <v>1</v>
      </c>
      <c r="N165">
        <v>1</v>
      </c>
    </row>
    <row r="166" spans="1:14" x14ac:dyDescent="0.45">
      <c r="A166" t="s">
        <v>1041</v>
      </c>
      <c r="B166" t="s">
        <v>1042</v>
      </c>
      <c r="C166" t="s">
        <v>1037</v>
      </c>
      <c r="D166" t="s">
        <v>1038</v>
      </c>
      <c r="E166" t="s">
        <v>250</v>
      </c>
      <c r="F166" t="s">
        <v>251</v>
      </c>
      <c r="G166" t="s">
        <v>750</v>
      </c>
      <c r="H166" t="s">
        <v>1003</v>
      </c>
      <c r="I166" t="s">
        <v>199</v>
      </c>
      <c r="J166" t="s">
        <v>257</v>
      </c>
      <c r="M166">
        <v>1</v>
      </c>
      <c r="N166">
        <v>1</v>
      </c>
    </row>
    <row r="167" spans="1:14" x14ac:dyDescent="0.45">
      <c r="A167" t="s">
        <v>926</v>
      </c>
      <c r="B167" t="s">
        <v>1043</v>
      </c>
      <c r="C167" t="s">
        <v>1037</v>
      </c>
      <c r="D167" t="s">
        <v>1038</v>
      </c>
      <c r="E167" t="s">
        <v>250</v>
      </c>
      <c r="F167" t="s">
        <v>251</v>
      </c>
      <c r="G167" t="s">
        <v>750</v>
      </c>
      <c r="H167" t="s">
        <v>1003</v>
      </c>
      <c r="I167" t="s">
        <v>199</v>
      </c>
      <c r="J167" t="s">
        <v>257</v>
      </c>
      <c r="M167">
        <v>1</v>
      </c>
      <c r="N167">
        <v>1</v>
      </c>
    </row>
    <row r="168" spans="1:14" x14ac:dyDescent="0.45">
      <c r="A168" t="s">
        <v>1044</v>
      </c>
      <c r="B168" t="s">
        <v>1045</v>
      </c>
      <c r="C168" t="s">
        <v>1037</v>
      </c>
      <c r="D168" t="s">
        <v>1038</v>
      </c>
      <c r="E168" t="s">
        <v>250</v>
      </c>
      <c r="F168" t="s">
        <v>251</v>
      </c>
      <c r="G168" t="s">
        <v>750</v>
      </c>
      <c r="H168" t="s">
        <v>1003</v>
      </c>
      <c r="I168" t="s">
        <v>199</v>
      </c>
      <c r="J168" t="s">
        <v>257</v>
      </c>
      <c r="M168">
        <v>1</v>
      </c>
      <c r="N168">
        <v>1</v>
      </c>
    </row>
    <row r="169" spans="1:14" x14ac:dyDescent="0.45">
      <c r="A169" t="s">
        <v>1046</v>
      </c>
      <c r="B169" t="s">
        <v>1047</v>
      </c>
      <c r="C169" t="s">
        <v>1037</v>
      </c>
      <c r="D169" t="s">
        <v>1038</v>
      </c>
      <c r="E169" t="s">
        <v>250</v>
      </c>
      <c r="F169" t="s">
        <v>251</v>
      </c>
      <c r="G169" t="s">
        <v>750</v>
      </c>
      <c r="H169" t="s">
        <v>1003</v>
      </c>
      <c r="I169" t="s">
        <v>199</v>
      </c>
      <c r="J169" t="s">
        <v>257</v>
      </c>
      <c r="M169">
        <v>1</v>
      </c>
      <c r="N169">
        <v>1</v>
      </c>
    </row>
    <row r="170" spans="1:14" x14ac:dyDescent="0.45">
      <c r="A170" t="s">
        <v>1048</v>
      </c>
      <c r="B170" t="s">
        <v>1049</v>
      </c>
      <c r="C170" t="s">
        <v>1037</v>
      </c>
      <c r="D170" t="s">
        <v>1038</v>
      </c>
      <c r="E170" t="s">
        <v>250</v>
      </c>
      <c r="F170" t="s">
        <v>251</v>
      </c>
      <c r="G170" t="s">
        <v>750</v>
      </c>
      <c r="H170" t="s">
        <v>1003</v>
      </c>
      <c r="I170" t="s">
        <v>199</v>
      </c>
      <c r="J170" t="s">
        <v>257</v>
      </c>
      <c r="M170">
        <v>1</v>
      </c>
      <c r="N170">
        <v>1</v>
      </c>
    </row>
    <row r="171" spans="1:14" x14ac:dyDescent="0.45">
      <c r="A171" t="s">
        <v>1050</v>
      </c>
      <c r="B171" t="s">
        <v>1051</v>
      </c>
      <c r="C171" t="s">
        <v>1037</v>
      </c>
      <c r="D171" t="s">
        <v>1038</v>
      </c>
      <c r="E171" t="s">
        <v>250</v>
      </c>
      <c r="F171" t="s">
        <v>251</v>
      </c>
      <c r="G171" t="s">
        <v>750</v>
      </c>
      <c r="H171" t="s">
        <v>1003</v>
      </c>
      <c r="I171" t="s">
        <v>199</v>
      </c>
      <c r="J171" t="s">
        <v>257</v>
      </c>
      <c r="M171">
        <v>1</v>
      </c>
      <c r="N171">
        <v>1</v>
      </c>
    </row>
    <row r="172" spans="1:14" x14ac:dyDescent="0.45">
      <c r="A172" t="s">
        <v>1052</v>
      </c>
      <c r="B172" t="s">
        <v>1053</v>
      </c>
      <c r="C172" t="s">
        <v>1037</v>
      </c>
      <c r="D172" t="s">
        <v>1038</v>
      </c>
      <c r="E172" t="s">
        <v>250</v>
      </c>
      <c r="F172" t="s">
        <v>251</v>
      </c>
      <c r="G172" t="s">
        <v>750</v>
      </c>
      <c r="H172" t="s">
        <v>1003</v>
      </c>
      <c r="I172" t="s">
        <v>199</v>
      </c>
      <c r="J172" t="s">
        <v>257</v>
      </c>
      <c r="M172">
        <v>1</v>
      </c>
      <c r="N172">
        <v>1</v>
      </c>
    </row>
    <row r="173" spans="1:14" x14ac:dyDescent="0.45">
      <c r="A173" t="s">
        <v>1054</v>
      </c>
      <c r="B173" t="s">
        <v>1055</v>
      </c>
      <c r="C173" t="s">
        <v>1037</v>
      </c>
      <c r="D173" t="s">
        <v>1038</v>
      </c>
      <c r="E173" t="s">
        <v>250</v>
      </c>
      <c r="F173" t="s">
        <v>251</v>
      </c>
      <c r="G173" t="s">
        <v>750</v>
      </c>
      <c r="H173" t="s">
        <v>1003</v>
      </c>
      <c r="I173" t="s">
        <v>199</v>
      </c>
      <c r="J173" t="s">
        <v>257</v>
      </c>
      <c r="M173">
        <v>1</v>
      </c>
      <c r="N173">
        <v>1</v>
      </c>
    </row>
    <row r="174" spans="1:14" x14ac:dyDescent="0.45">
      <c r="A174" t="s">
        <v>1056</v>
      </c>
      <c r="B174" t="s">
        <v>1057</v>
      </c>
      <c r="C174" t="s">
        <v>1037</v>
      </c>
      <c r="D174" t="s">
        <v>1038</v>
      </c>
      <c r="E174" t="s">
        <v>250</v>
      </c>
      <c r="F174" t="s">
        <v>251</v>
      </c>
      <c r="G174" t="s">
        <v>750</v>
      </c>
      <c r="H174" t="s">
        <v>1003</v>
      </c>
      <c r="I174" t="s">
        <v>199</v>
      </c>
      <c r="J174" t="s">
        <v>257</v>
      </c>
      <c r="M174">
        <v>1</v>
      </c>
      <c r="N174">
        <v>1</v>
      </c>
    </row>
    <row r="175" spans="1:14" x14ac:dyDescent="0.45">
      <c r="A175" t="s">
        <v>1058</v>
      </c>
      <c r="B175" t="s">
        <v>1059</v>
      </c>
      <c r="C175" t="s">
        <v>1037</v>
      </c>
      <c r="D175" t="s">
        <v>1038</v>
      </c>
      <c r="E175" t="s">
        <v>250</v>
      </c>
      <c r="F175" t="s">
        <v>251</v>
      </c>
      <c r="G175" t="s">
        <v>750</v>
      </c>
      <c r="H175" t="s">
        <v>1003</v>
      </c>
      <c r="I175" t="s">
        <v>199</v>
      </c>
      <c r="J175" t="s">
        <v>257</v>
      </c>
      <c r="M175">
        <v>1</v>
      </c>
      <c r="N175">
        <v>1</v>
      </c>
    </row>
    <row r="176" spans="1:14" x14ac:dyDescent="0.45">
      <c r="A176" t="s">
        <v>1064</v>
      </c>
      <c r="B176" t="s">
        <v>1065</v>
      </c>
      <c r="C176" t="s">
        <v>1062</v>
      </c>
      <c r="D176" t="s">
        <v>1063</v>
      </c>
      <c r="E176" t="s">
        <v>250</v>
      </c>
      <c r="F176" t="s">
        <v>251</v>
      </c>
      <c r="G176" t="s">
        <v>750</v>
      </c>
      <c r="H176" t="s">
        <v>1003</v>
      </c>
      <c r="I176" t="s">
        <v>199</v>
      </c>
      <c r="J176" t="s">
        <v>257</v>
      </c>
      <c r="M176">
        <v>1</v>
      </c>
      <c r="N176">
        <v>1</v>
      </c>
    </row>
    <row r="177" spans="1:14" x14ac:dyDescent="0.45">
      <c r="A177" t="s">
        <v>1066</v>
      </c>
      <c r="B177" t="s">
        <v>1067</v>
      </c>
      <c r="C177" t="s">
        <v>1062</v>
      </c>
      <c r="D177" t="s">
        <v>1063</v>
      </c>
      <c r="E177" t="s">
        <v>250</v>
      </c>
      <c r="F177" t="s">
        <v>251</v>
      </c>
      <c r="G177" t="s">
        <v>750</v>
      </c>
      <c r="H177" t="s">
        <v>1003</v>
      </c>
      <c r="I177" t="s">
        <v>199</v>
      </c>
      <c r="J177" t="s">
        <v>257</v>
      </c>
      <c r="M177">
        <v>1</v>
      </c>
      <c r="N177">
        <v>1</v>
      </c>
    </row>
    <row r="178" spans="1:14" x14ac:dyDescent="0.45">
      <c r="A178" t="s">
        <v>1068</v>
      </c>
      <c r="B178" t="s">
        <v>1069</v>
      </c>
      <c r="C178" t="s">
        <v>1062</v>
      </c>
      <c r="D178" t="s">
        <v>1063</v>
      </c>
      <c r="E178" t="s">
        <v>250</v>
      </c>
      <c r="F178" t="s">
        <v>251</v>
      </c>
      <c r="G178" t="s">
        <v>750</v>
      </c>
      <c r="H178" t="s">
        <v>1003</v>
      </c>
      <c r="I178" t="s">
        <v>199</v>
      </c>
      <c r="J178" t="s">
        <v>257</v>
      </c>
      <c r="M178">
        <v>1</v>
      </c>
      <c r="N178">
        <v>1</v>
      </c>
    </row>
    <row r="179" spans="1:14" x14ac:dyDescent="0.45">
      <c r="A179" t="s">
        <v>1072</v>
      </c>
      <c r="B179" t="s">
        <v>1073</v>
      </c>
      <c r="C179" t="s">
        <v>1062</v>
      </c>
      <c r="D179" t="s">
        <v>1063</v>
      </c>
      <c r="E179" t="s">
        <v>250</v>
      </c>
      <c r="F179" t="s">
        <v>251</v>
      </c>
      <c r="G179" t="s">
        <v>750</v>
      </c>
      <c r="H179" t="s">
        <v>1003</v>
      </c>
      <c r="I179" t="s">
        <v>199</v>
      </c>
      <c r="J179" t="s">
        <v>257</v>
      </c>
      <c r="M179">
        <v>1</v>
      </c>
      <c r="N179">
        <v>1</v>
      </c>
    </row>
    <row r="180" spans="1:14" x14ac:dyDescent="0.45">
      <c r="A180" t="s">
        <v>1076</v>
      </c>
      <c r="B180" t="s">
        <v>1077</v>
      </c>
      <c r="C180" t="s">
        <v>1062</v>
      </c>
      <c r="D180" t="s">
        <v>1063</v>
      </c>
      <c r="E180" t="s">
        <v>250</v>
      </c>
      <c r="F180" t="s">
        <v>251</v>
      </c>
      <c r="G180" t="s">
        <v>750</v>
      </c>
      <c r="H180" t="s">
        <v>1003</v>
      </c>
      <c r="I180" t="s">
        <v>199</v>
      </c>
      <c r="J180" t="s">
        <v>257</v>
      </c>
      <c r="M180">
        <v>1</v>
      </c>
      <c r="N180">
        <v>1</v>
      </c>
    </row>
    <row r="181" spans="1:14" x14ac:dyDescent="0.45">
      <c r="A181" t="s">
        <v>1078</v>
      </c>
      <c r="B181" t="s">
        <v>1079</v>
      </c>
      <c r="C181" t="s">
        <v>1062</v>
      </c>
      <c r="D181" t="s">
        <v>1063</v>
      </c>
      <c r="E181" t="s">
        <v>250</v>
      </c>
      <c r="F181" t="s">
        <v>251</v>
      </c>
      <c r="G181" t="s">
        <v>750</v>
      </c>
      <c r="H181" t="s">
        <v>1003</v>
      </c>
      <c r="I181" t="s">
        <v>199</v>
      </c>
      <c r="J181" t="s">
        <v>257</v>
      </c>
      <c r="M181">
        <v>1</v>
      </c>
      <c r="N181">
        <v>1</v>
      </c>
    </row>
    <row r="182" spans="1:14" x14ac:dyDescent="0.45">
      <c r="A182" t="s">
        <v>1080</v>
      </c>
      <c r="B182" t="s">
        <v>1081</v>
      </c>
      <c r="C182" t="s">
        <v>1062</v>
      </c>
      <c r="D182" t="s">
        <v>1063</v>
      </c>
      <c r="E182" t="s">
        <v>250</v>
      </c>
      <c r="F182" t="s">
        <v>251</v>
      </c>
      <c r="G182" t="s">
        <v>750</v>
      </c>
      <c r="H182" t="s">
        <v>1003</v>
      </c>
      <c r="I182" t="s">
        <v>199</v>
      </c>
      <c r="J182" t="s">
        <v>257</v>
      </c>
      <c r="M182">
        <v>1</v>
      </c>
      <c r="N182">
        <v>1</v>
      </c>
    </row>
    <row r="183" spans="1:14" x14ac:dyDescent="0.45">
      <c r="A183" t="s">
        <v>1084</v>
      </c>
      <c r="B183" t="s">
        <v>1085</v>
      </c>
      <c r="C183" t="s">
        <v>1062</v>
      </c>
      <c r="D183" t="s">
        <v>1063</v>
      </c>
      <c r="E183" t="s">
        <v>250</v>
      </c>
      <c r="F183" t="s">
        <v>251</v>
      </c>
      <c r="G183" t="s">
        <v>750</v>
      </c>
      <c r="H183" t="s">
        <v>1003</v>
      </c>
      <c r="I183" t="s">
        <v>199</v>
      </c>
      <c r="J183" t="s">
        <v>257</v>
      </c>
      <c r="M183">
        <v>1</v>
      </c>
      <c r="N183">
        <v>1</v>
      </c>
    </row>
    <row r="184" spans="1:14" x14ac:dyDescent="0.45">
      <c r="A184" t="s">
        <v>1086</v>
      </c>
      <c r="B184" t="s">
        <v>1087</v>
      </c>
      <c r="C184" t="s">
        <v>1062</v>
      </c>
      <c r="D184" t="s">
        <v>1063</v>
      </c>
      <c r="E184" t="s">
        <v>250</v>
      </c>
      <c r="F184" t="s">
        <v>251</v>
      </c>
      <c r="G184" t="s">
        <v>750</v>
      </c>
      <c r="H184" t="s">
        <v>1003</v>
      </c>
      <c r="I184" t="s">
        <v>199</v>
      </c>
      <c r="J184" t="s">
        <v>257</v>
      </c>
      <c r="M184">
        <v>1</v>
      </c>
      <c r="N184">
        <v>1</v>
      </c>
    </row>
    <row r="185" spans="1:14" x14ac:dyDescent="0.45">
      <c r="A185" t="s">
        <v>1088</v>
      </c>
      <c r="B185" t="s">
        <v>1089</v>
      </c>
      <c r="C185" t="s">
        <v>1062</v>
      </c>
      <c r="D185" t="s">
        <v>1063</v>
      </c>
      <c r="E185" t="s">
        <v>250</v>
      </c>
      <c r="F185" t="s">
        <v>251</v>
      </c>
      <c r="G185" t="s">
        <v>750</v>
      </c>
      <c r="H185" t="s">
        <v>1003</v>
      </c>
      <c r="I185" t="s">
        <v>199</v>
      </c>
      <c r="J185" t="s">
        <v>257</v>
      </c>
      <c r="M185">
        <v>1</v>
      </c>
      <c r="N185">
        <v>1</v>
      </c>
    </row>
    <row r="186" spans="1:14" x14ac:dyDescent="0.45">
      <c r="A186" t="s">
        <v>1090</v>
      </c>
      <c r="B186" t="s">
        <v>1091</v>
      </c>
      <c r="C186" t="s">
        <v>1062</v>
      </c>
      <c r="D186" t="s">
        <v>1063</v>
      </c>
      <c r="E186" t="s">
        <v>250</v>
      </c>
      <c r="F186" t="s">
        <v>251</v>
      </c>
      <c r="G186" t="s">
        <v>750</v>
      </c>
      <c r="H186" t="s">
        <v>1003</v>
      </c>
      <c r="I186" t="s">
        <v>199</v>
      </c>
      <c r="J186" t="s">
        <v>257</v>
      </c>
      <c r="M186">
        <v>1</v>
      </c>
      <c r="N186">
        <v>1</v>
      </c>
    </row>
    <row r="187" spans="1:14" x14ac:dyDescent="0.45">
      <c r="A187" t="s">
        <v>1109</v>
      </c>
      <c r="B187" t="s">
        <v>1110</v>
      </c>
      <c r="C187" t="s">
        <v>1111</v>
      </c>
      <c r="D187" t="s">
        <v>1112</v>
      </c>
      <c r="E187" t="s">
        <v>250</v>
      </c>
      <c r="F187" t="s">
        <v>251</v>
      </c>
      <c r="G187" t="s">
        <v>750</v>
      </c>
      <c r="H187" t="s">
        <v>1003</v>
      </c>
      <c r="I187" t="s">
        <v>199</v>
      </c>
      <c r="J187" t="s">
        <v>257</v>
      </c>
      <c r="M187">
        <v>1</v>
      </c>
      <c r="N187">
        <v>1</v>
      </c>
    </row>
    <row r="188" spans="1:14" x14ac:dyDescent="0.45">
      <c r="A188" t="s">
        <v>1113</v>
      </c>
      <c r="B188" t="s">
        <v>1114</v>
      </c>
      <c r="C188" t="s">
        <v>1111</v>
      </c>
      <c r="D188" t="s">
        <v>1112</v>
      </c>
      <c r="E188" t="s">
        <v>250</v>
      </c>
      <c r="F188" t="s">
        <v>251</v>
      </c>
      <c r="G188" t="s">
        <v>750</v>
      </c>
      <c r="H188" t="s">
        <v>1003</v>
      </c>
      <c r="I188" t="s">
        <v>199</v>
      </c>
      <c r="J188" t="s">
        <v>257</v>
      </c>
      <c r="M188">
        <v>1</v>
      </c>
      <c r="N188">
        <v>1</v>
      </c>
    </row>
    <row r="189" spans="1:14" x14ac:dyDescent="0.45">
      <c r="A189" t="s">
        <v>1115</v>
      </c>
      <c r="B189" t="s">
        <v>1116</v>
      </c>
      <c r="C189" t="s">
        <v>1111</v>
      </c>
      <c r="D189" t="s">
        <v>1112</v>
      </c>
      <c r="E189" t="s">
        <v>250</v>
      </c>
      <c r="F189" t="s">
        <v>251</v>
      </c>
      <c r="G189" t="s">
        <v>750</v>
      </c>
      <c r="H189" t="s">
        <v>1003</v>
      </c>
      <c r="I189" t="s">
        <v>199</v>
      </c>
      <c r="J189" t="s">
        <v>257</v>
      </c>
      <c r="M189">
        <v>1</v>
      </c>
      <c r="N189">
        <v>1</v>
      </c>
    </row>
    <row r="190" spans="1:14" x14ac:dyDescent="0.45">
      <c r="A190" t="s">
        <v>955</v>
      </c>
      <c r="B190" t="s">
        <v>1117</v>
      </c>
      <c r="C190" t="s">
        <v>1111</v>
      </c>
      <c r="D190" t="s">
        <v>1112</v>
      </c>
      <c r="E190" t="s">
        <v>250</v>
      </c>
      <c r="F190" t="s">
        <v>251</v>
      </c>
      <c r="G190" t="s">
        <v>750</v>
      </c>
      <c r="H190" t="s">
        <v>1003</v>
      </c>
      <c r="I190" t="s">
        <v>199</v>
      </c>
      <c r="J190" t="s">
        <v>257</v>
      </c>
      <c r="M190">
        <v>1</v>
      </c>
      <c r="N190">
        <v>1</v>
      </c>
    </row>
    <row r="191" spans="1:14" x14ac:dyDescent="0.45">
      <c r="A191" t="s">
        <v>1118</v>
      </c>
      <c r="B191" t="s">
        <v>1119</v>
      </c>
      <c r="C191" t="s">
        <v>1111</v>
      </c>
      <c r="D191" t="s">
        <v>1112</v>
      </c>
      <c r="E191" t="s">
        <v>250</v>
      </c>
      <c r="F191" t="s">
        <v>251</v>
      </c>
      <c r="G191" t="s">
        <v>750</v>
      </c>
      <c r="H191" t="s">
        <v>1003</v>
      </c>
      <c r="I191" t="s">
        <v>199</v>
      </c>
      <c r="J191" t="s">
        <v>257</v>
      </c>
      <c r="M191">
        <v>1</v>
      </c>
      <c r="N191">
        <v>1</v>
      </c>
    </row>
    <row r="192" spans="1:14" x14ac:dyDescent="0.45">
      <c r="A192" t="s">
        <v>854</v>
      </c>
      <c r="B192" t="s">
        <v>1120</v>
      </c>
      <c r="C192" t="s">
        <v>1111</v>
      </c>
      <c r="D192" t="s">
        <v>1112</v>
      </c>
      <c r="E192" t="s">
        <v>250</v>
      </c>
      <c r="F192" t="s">
        <v>251</v>
      </c>
      <c r="G192" t="s">
        <v>750</v>
      </c>
      <c r="H192" t="s">
        <v>1003</v>
      </c>
      <c r="I192" t="s">
        <v>199</v>
      </c>
      <c r="J192" t="s">
        <v>257</v>
      </c>
      <c r="M192">
        <v>1</v>
      </c>
      <c r="N192">
        <v>1</v>
      </c>
    </row>
    <row r="193" spans="1:14" x14ac:dyDescent="0.45">
      <c r="A193" t="s">
        <v>335</v>
      </c>
      <c r="B193" t="s">
        <v>1121</v>
      </c>
      <c r="C193" t="s">
        <v>1111</v>
      </c>
      <c r="D193" t="s">
        <v>1112</v>
      </c>
      <c r="E193" t="s">
        <v>250</v>
      </c>
      <c r="F193" t="s">
        <v>251</v>
      </c>
      <c r="G193" t="s">
        <v>750</v>
      </c>
      <c r="H193" t="s">
        <v>1003</v>
      </c>
      <c r="I193" t="s">
        <v>199</v>
      </c>
      <c r="J193" t="s">
        <v>257</v>
      </c>
      <c r="M193">
        <v>1</v>
      </c>
      <c r="N193">
        <v>1</v>
      </c>
    </row>
    <row r="194" spans="1:14" x14ac:dyDescent="0.45">
      <c r="A194" t="s">
        <v>1122</v>
      </c>
      <c r="B194" t="s">
        <v>1123</v>
      </c>
      <c r="C194" t="s">
        <v>1111</v>
      </c>
      <c r="D194" t="s">
        <v>1112</v>
      </c>
      <c r="E194" t="s">
        <v>250</v>
      </c>
      <c r="F194" t="s">
        <v>251</v>
      </c>
      <c r="G194" t="s">
        <v>750</v>
      </c>
      <c r="H194" t="s">
        <v>1003</v>
      </c>
      <c r="I194" t="s">
        <v>199</v>
      </c>
      <c r="J194" t="s">
        <v>257</v>
      </c>
      <c r="M194">
        <v>1</v>
      </c>
      <c r="N194">
        <v>1</v>
      </c>
    </row>
    <row r="195" spans="1:14" x14ac:dyDescent="0.45">
      <c r="A195" t="s">
        <v>1124</v>
      </c>
      <c r="B195" t="s">
        <v>1125</v>
      </c>
      <c r="C195" t="s">
        <v>1126</v>
      </c>
      <c r="D195" t="s">
        <v>1127</v>
      </c>
      <c r="E195" t="s">
        <v>250</v>
      </c>
      <c r="F195" t="s">
        <v>251</v>
      </c>
      <c r="G195" t="s">
        <v>750</v>
      </c>
      <c r="H195" t="s">
        <v>1003</v>
      </c>
      <c r="I195" t="s">
        <v>199</v>
      </c>
      <c r="J195" t="s">
        <v>257</v>
      </c>
      <c r="M195">
        <v>1</v>
      </c>
      <c r="N195">
        <v>1</v>
      </c>
    </row>
    <row r="196" spans="1:14" x14ac:dyDescent="0.45">
      <c r="A196" t="s">
        <v>1128</v>
      </c>
      <c r="B196" t="s">
        <v>1129</v>
      </c>
      <c r="C196" t="s">
        <v>1126</v>
      </c>
      <c r="D196" t="s">
        <v>1127</v>
      </c>
      <c r="E196" t="s">
        <v>250</v>
      </c>
      <c r="F196" t="s">
        <v>251</v>
      </c>
      <c r="G196" t="s">
        <v>750</v>
      </c>
      <c r="H196" t="s">
        <v>1003</v>
      </c>
      <c r="I196" t="s">
        <v>199</v>
      </c>
      <c r="J196" t="s">
        <v>257</v>
      </c>
      <c r="M196">
        <v>1</v>
      </c>
      <c r="N196">
        <v>1</v>
      </c>
    </row>
    <row r="197" spans="1:14" x14ac:dyDescent="0.45">
      <c r="A197" t="s">
        <v>1130</v>
      </c>
      <c r="B197" t="s">
        <v>1131</v>
      </c>
      <c r="C197" t="s">
        <v>1126</v>
      </c>
      <c r="D197" t="s">
        <v>1127</v>
      </c>
      <c r="E197" t="s">
        <v>250</v>
      </c>
      <c r="F197" t="s">
        <v>251</v>
      </c>
      <c r="G197" t="s">
        <v>750</v>
      </c>
      <c r="H197" t="s">
        <v>1003</v>
      </c>
      <c r="I197" t="s">
        <v>199</v>
      </c>
      <c r="J197" t="s">
        <v>257</v>
      </c>
      <c r="M197">
        <v>1</v>
      </c>
      <c r="N197">
        <v>1</v>
      </c>
    </row>
    <row r="198" spans="1:14" x14ac:dyDescent="0.45">
      <c r="A198" t="s">
        <v>1132</v>
      </c>
      <c r="B198" t="s">
        <v>1133</v>
      </c>
      <c r="C198" t="s">
        <v>1126</v>
      </c>
      <c r="D198" t="s">
        <v>1127</v>
      </c>
      <c r="E198" t="s">
        <v>250</v>
      </c>
      <c r="F198" t="s">
        <v>251</v>
      </c>
      <c r="G198" t="s">
        <v>750</v>
      </c>
      <c r="H198" t="s">
        <v>1003</v>
      </c>
      <c r="I198" t="s">
        <v>199</v>
      </c>
      <c r="J198" t="s">
        <v>257</v>
      </c>
      <c r="M198">
        <v>1</v>
      </c>
      <c r="N198">
        <v>1</v>
      </c>
    </row>
    <row r="199" spans="1:14" x14ac:dyDescent="0.45">
      <c r="A199" t="s">
        <v>1134</v>
      </c>
      <c r="B199" t="s">
        <v>1135</v>
      </c>
      <c r="C199" t="s">
        <v>1126</v>
      </c>
      <c r="D199" t="s">
        <v>1127</v>
      </c>
      <c r="E199" t="s">
        <v>250</v>
      </c>
      <c r="F199" t="s">
        <v>251</v>
      </c>
      <c r="G199" t="s">
        <v>750</v>
      </c>
      <c r="H199" t="s">
        <v>1003</v>
      </c>
      <c r="I199" t="s">
        <v>199</v>
      </c>
      <c r="J199" t="s">
        <v>257</v>
      </c>
      <c r="M199">
        <v>1</v>
      </c>
      <c r="N199">
        <v>1</v>
      </c>
    </row>
    <row r="200" spans="1:14" x14ac:dyDescent="0.45">
      <c r="A200" t="s">
        <v>1136</v>
      </c>
      <c r="B200" t="s">
        <v>1137</v>
      </c>
      <c r="C200" t="s">
        <v>1126</v>
      </c>
      <c r="D200" t="s">
        <v>1127</v>
      </c>
      <c r="E200" t="s">
        <v>250</v>
      </c>
      <c r="F200" t="s">
        <v>251</v>
      </c>
      <c r="G200" t="s">
        <v>750</v>
      </c>
      <c r="H200" t="s">
        <v>1003</v>
      </c>
      <c r="I200" t="s">
        <v>199</v>
      </c>
      <c r="J200" t="s">
        <v>257</v>
      </c>
      <c r="M200">
        <v>1</v>
      </c>
      <c r="N200">
        <v>1</v>
      </c>
    </row>
    <row r="201" spans="1:14" x14ac:dyDescent="0.45">
      <c r="A201" t="s">
        <v>1138</v>
      </c>
      <c r="B201" t="s">
        <v>1139</v>
      </c>
      <c r="C201" t="s">
        <v>1126</v>
      </c>
      <c r="D201" t="s">
        <v>1127</v>
      </c>
      <c r="E201" t="s">
        <v>250</v>
      </c>
      <c r="F201" t="s">
        <v>251</v>
      </c>
      <c r="G201" t="s">
        <v>750</v>
      </c>
      <c r="H201" t="s">
        <v>1003</v>
      </c>
      <c r="I201" t="s">
        <v>199</v>
      </c>
      <c r="J201" t="s">
        <v>257</v>
      </c>
      <c r="M201">
        <v>1</v>
      </c>
      <c r="N201">
        <v>1</v>
      </c>
    </row>
    <row r="202" spans="1:14" x14ac:dyDescent="0.45">
      <c r="A202" t="s">
        <v>1140</v>
      </c>
      <c r="B202" t="s">
        <v>1141</v>
      </c>
      <c r="C202" t="s">
        <v>1142</v>
      </c>
      <c r="D202" t="s">
        <v>1143</v>
      </c>
      <c r="E202" t="s">
        <v>250</v>
      </c>
      <c r="F202" t="s">
        <v>251</v>
      </c>
      <c r="G202" t="s">
        <v>750</v>
      </c>
      <c r="H202" t="s">
        <v>1003</v>
      </c>
      <c r="I202" t="s">
        <v>199</v>
      </c>
      <c r="J202" t="s">
        <v>257</v>
      </c>
      <c r="M202">
        <v>1</v>
      </c>
      <c r="N202">
        <v>1</v>
      </c>
    </row>
    <row r="203" spans="1:14" x14ac:dyDescent="0.45">
      <c r="A203" t="s">
        <v>1144</v>
      </c>
      <c r="B203" t="s">
        <v>1145</v>
      </c>
      <c r="C203" t="s">
        <v>1142</v>
      </c>
      <c r="D203" t="s">
        <v>1143</v>
      </c>
      <c r="E203" t="s">
        <v>250</v>
      </c>
      <c r="F203" t="s">
        <v>251</v>
      </c>
      <c r="G203" t="s">
        <v>750</v>
      </c>
      <c r="H203" t="s">
        <v>1003</v>
      </c>
      <c r="I203" t="s">
        <v>199</v>
      </c>
      <c r="J203" t="s">
        <v>257</v>
      </c>
      <c r="M203">
        <v>1</v>
      </c>
      <c r="N203">
        <v>1</v>
      </c>
    </row>
    <row r="204" spans="1:14" x14ac:dyDescent="0.45">
      <c r="A204" t="s">
        <v>1150</v>
      </c>
      <c r="B204" t="s">
        <v>1151</v>
      </c>
      <c r="C204" t="s">
        <v>1142</v>
      </c>
      <c r="D204" t="s">
        <v>1143</v>
      </c>
      <c r="E204" t="s">
        <v>250</v>
      </c>
      <c r="F204" t="s">
        <v>251</v>
      </c>
      <c r="G204" t="s">
        <v>750</v>
      </c>
      <c r="H204" t="s">
        <v>1003</v>
      </c>
      <c r="I204" t="s">
        <v>199</v>
      </c>
      <c r="J204" t="s">
        <v>257</v>
      </c>
      <c r="M204">
        <v>1</v>
      </c>
      <c r="N204">
        <v>1</v>
      </c>
    </row>
    <row r="205" spans="1:14" x14ac:dyDescent="0.45">
      <c r="A205" t="s">
        <v>1152</v>
      </c>
      <c r="B205" t="s">
        <v>1153</v>
      </c>
      <c r="C205" t="s">
        <v>1142</v>
      </c>
      <c r="D205" t="s">
        <v>1143</v>
      </c>
      <c r="E205" t="s">
        <v>250</v>
      </c>
      <c r="F205" t="s">
        <v>251</v>
      </c>
      <c r="G205" t="s">
        <v>750</v>
      </c>
      <c r="H205" t="s">
        <v>1003</v>
      </c>
      <c r="I205" t="s">
        <v>199</v>
      </c>
      <c r="J205" t="s">
        <v>257</v>
      </c>
      <c r="M205">
        <v>1</v>
      </c>
      <c r="N205">
        <v>1</v>
      </c>
    </row>
    <row r="206" spans="1:14" x14ac:dyDescent="0.45">
      <c r="A206" t="s">
        <v>1166</v>
      </c>
      <c r="B206" t="s">
        <v>1167</v>
      </c>
      <c r="C206" t="s">
        <v>1142</v>
      </c>
      <c r="D206" t="s">
        <v>1143</v>
      </c>
      <c r="E206" t="s">
        <v>250</v>
      </c>
      <c r="F206" t="s">
        <v>251</v>
      </c>
      <c r="G206" t="s">
        <v>750</v>
      </c>
      <c r="H206" t="s">
        <v>1003</v>
      </c>
      <c r="I206" t="s">
        <v>199</v>
      </c>
      <c r="J206" t="s">
        <v>257</v>
      </c>
      <c r="M206">
        <v>1</v>
      </c>
      <c r="N206">
        <v>1</v>
      </c>
    </row>
    <row r="207" spans="1:14" x14ac:dyDescent="0.45">
      <c r="A207" t="s">
        <v>1168</v>
      </c>
      <c r="B207" t="s">
        <v>1169</v>
      </c>
      <c r="C207" t="s">
        <v>1142</v>
      </c>
      <c r="D207" t="s">
        <v>1143</v>
      </c>
      <c r="E207" t="s">
        <v>250</v>
      </c>
      <c r="F207" t="s">
        <v>251</v>
      </c>
      <c r="G207" t="s">
        <v>750</v>
      </c>
      <c r="H207" t="s">
        <v>1003</v>
      </c>
      <c r="I207" t="s">
        <v>199</v>
      </c>
      <c r="J207" t="s">
        <v>257</v>
      </c>
      <c r="M207">
        <v>1</v>
      </c>
      <c r="N207">
        <v>1</v>
      </c>
    </row>
    <row r="208" spans="1:14" x14ac:dyDescent="0.45">
      <c r="A208" t="s">
        <v>1170</v>
      </c>
      <c r="B208" t="s">
        <v>1171</v>
      </c>
      <c r="C208" t="s">
        <v>1142</v>
      </c>
      <c r="D208" t="s">
        <v>1143</v>
      </c>
      <c r="E208" t="s">
        <v>250</v>
      </c>
      <c r="F208" t="s">
        <v>251</v>
      </c>
      <c r="G208" t="s">
        <v>750</v>
      </c>
      <c r="H208" t="s">
        <v>1003</v>
      </c>
      <c r="I208" t="s">
        <v>199</v>
      </c>
      <c r="J208" t="s">
        <v>257</v>
      </c>
      <c r="M208">
        <v>1</v>
      </c>
      <c r="N208">
        <v>1</v>
      </c>
    </row>
    <row r="209" spans="1:14" x14ac:dyDescent="0.45">
      <c r="A209" t="s">
        <v>1172</v>
      </c>
      <c r="B209" t="s">
        <v>1173</v>
      </c>
      <c r="C209" t="s">
        <v>1142</v>
      </c>
      <c r="D209" t="s">
        <v>1143</v>
      </c>
      <c r="E209" t="s">
        <v>250</v>
      </c>
      <c r="F209" t="s">
        <v>251</v>
      </c>
      <c r="G209" t="s">
        <v>750</v>
      </c>
      <c r="H209" t="s">
        <v>1003</v>
      </c>
      <c r="I209" t="s">
        <v>199</v>
      </c>
      <c r="J209" t="s">
        <v>257</v>
      </c>
      <c r="M209">
        <v>1</v>
      </c>
      <c r="N209">
        <v>1</v>
      </c>
    </row>
    <row r="210" spans="1:14" x14ac:dyDescent="0.45">
      <c r="A210" t="s">
        <v>1182</v>
      </c>
      <c r="B210" t="s">
        <v>1183</v>
      </c>
      <c r="C210" t="s">
        <v>1180</v>
      </c>
      <c r="D210" t="s">
        <v>1181</v>
      </c>
      <c r="E210" t="s">
        <v>258</v>
      </c>
      <c r="F210" t="s">
        <v>259</v>
      </c>
      <c r="G210" t="s">
        <v>750</v>
      </c>
      <c r="H210" t="s">
        <v>252</v>
      </c>
      <c r="I210" t="s">
        <v>193</v>
      </c>
      <c r="J210" t="s">
        <v>260</v>
      </c>
      <c r="K210">
        <v>1</v>
      </c>
      <c r="L210">
        <v>1</v>
      </c>
      <c r="M210">
        <v>1</v>
      </c>
      <c r="N210">
        <v>1</v>
      </c>
    </row>
    <row r="211" spans="1:14" x14ac:dyDescent="0.45">
      <c r="A211" t="s">
        <v>1186</v>
      </c>
      <c r="B211" t="s">
        <v>1187</v>
      </c>
      <c r="C211" t="s">
        <v>1180</v>
      </c>
      <c r="D211" t="s">
        <v>1181</v>
      </c>
      <c r="E211" t="s">
        <v>258</v>
      </c>
      <c r="F211" t="s">
        <v>259</v>
      </c>
      <c r="G211" t="s">
        <v>750</v>
      </c>
      <c r="H211" t="s">
        <v>252</v>
      </c>
      <c r="I211" t="s">
        <v>193</v>
      </c>
      <c r="J211" t="s">
        <v>260</v>
      </c>
      <c r="K211">
        <v>1</v>
      </c>
      <c r="L211">
        <v>1</v>
      </c>
      <c r="M211">
        <v>1</v>
      </c>
      <c r="N211">
        <v>1</v>
      </c>
    </row>
    <row r="212" spans="1:14" x14ac:dyDescent="0.45">
      <c r="A212" t="s">
        <v>1188</v>
      </c>
      <c r="B212" t="s">
        <v>1189</v>
      </c>
      <c r="C212" t="s">
        <v>1180</v>
      </c>
      <c r="D212" t="s">
        <v>1181</v>
      </c>
      <c r="E212" t="s">
        <v>258</v>
      </c>
      <c r="F212" t="s">
        <v>259</v>
      </c>
      <c r="G212" t="s">
        <v>750</v>
      </c>
      <c r="H212" t="s">
        <v>252</v>
      </c>
      <c r="I212" t="s">
        <v>193</v>
      </c>
      <c r="J212" t="s">
        <v>260</v>
      </c>
      <c r="K212">
        <v>1</v>
      </c>
      <c r="L212">
        <v>1</v>
      </c>
      <c r="M212">
        <v>1</v>
      </c>
      <c r="N212">
        <v>1</v>
      </c>
    </row>
    <row r="213" spans="1:14" x14ac:dyDescent="0.45">
      <c r="A213" t="s">
        <v>1202</v>
      </c>
      <c r="B213" t="s">
        <v>1203</v>
      </c>
      <c r="C213" t="s">
        <v>1196</v>
      </c>
      <c r="D213" t="s">
        <v>1197</v>
      </c>
      <c r="E213" t="s">
        <v>258</v>
      </c>
      <c r="F213" t="s">
        <v>259</v>
      </c>
      <c r="G213" t="s">
        <v>750</v>
      </c>
      <c r="H213" t="s">
        <v>252</v>
      </c>
      <c r="I213" t="s">
        <v>193</v>
      </c>
      <c r="J213" t="s">
        <v>260</v>
      </c>
      <c r="K213">
        <v>1</v>
      </c>
      <c r="L213">
        <v>1</v>
      </c>
      <c r="M213">
        <v>1</v>
      </c>
      <c r="N213">
        <v>1</v>
      </c>
    </row>
    <row r="214" spans="1:14" x14ac:dyDescent="0.45">
      <c r="A214" t="s">
        <v>1259</v>
      </c>
      <c r="B214" t="s">
        <v>1260</v>
      </c>
      <c r="C214" t="s">
        <v>1257</v>
      </c>
      <c r="D214" t="s">
        <v>1258</v>
      </c>
      <c r="E214" t="s">
        <v>258</v>
      </c>
      <c r="F214" t="s">
        <v>259</v>
      </c>
      <c r="G214" t="s">
        <v>750</v>
      </c>
      <c r="H214" t="s">
        <v>252</v>
      </c>
      <c r="I214" t="s">
        <v>193</v>
      </c>
      <c r="J214" t="s">
        <v>260</v>
      </c>
      <c r="K214">
        <v>1</v>
      </c>
      <c r="L214">
        <v>1</v>
      </c>
      <c r="M214">
        <v>1</v>
      </c>
      <c r="N214">
        <v>1</v>
      </c>
    </row>
    <row r="215" spans="1:14" x14ac:dyDescent="0.45">
      <c r="A215" t="s">
        <v>1261</v>
      </c>
      <c r="B215" t="s">
        <v>1262</v>
      </c>
      <c r="C215" t="s">
        <v>1257</v>
      </c>
      <c r="D215" t="s">
        <v>1258</v>
      </c>
      <c r="E215" t="s">
        <v>258</v>
      </c>
      <c r="F215" t="s">
        <v>259</v>
      </c>
      <c r="G215" t="s">
        <v>750</v>
      </c>
      <c r="H215" t="s">
        <v>252</v>
      </c>
      <c r="I215" t="s">
        <v>193</v>
      </c>
      <c r="J215" t="s">
        <v>260</v>
      </c>
      <c r="K215">
        <v>1</v>
      </c>
      <c r="L215">
        <v>1</v>
      </c>
      <c r="M215">
        <v>1</v>
      </c>
      <c r="N215">
        <v>1</v>
      </c>
    </row>
    <row r="216" spans="1:14" x14ac:dyDescent="0.45">
      <c r="A216" t="s">
        <v>1263</v>
      </c>
      <c r="B216" t="s">
        <v>1264</v>
      </c>
      <c r="C216" t="s">
        <v>1257</v>
      </c>
      <c r="D216" t="s">
        <v>1258</v>
      </c>
      <c r="E216" t="s">
        <v>258</v>
      </c>
      <c r="F216" t="s">
        <v>259</v>
      </c>
      <c r="G216" t="s">
        <v>750</v>
      </c>
      <c r="H216" t="s">
        <v>252</v>
      </c>
      <c r="I216" t="s">
        <v>193</v>
      </c>
      <c r="J216" t="s">
        <v>260</v>
      </c>
      <c r="K216">
        <v>1</v>
      </c>
      <c r="L216">
        <v>1</v>
      </c>
      <c r="M216">
        <v>1</v>
      </c>
      <c r="N216">
        <v>1</v>
      </c>
    </row>
    <row r="217" spans="1:14" x14ac:dyDescent="0.45">
      <c r="A217" t="s">
        <v>1265</v>
      </c>
      <c r="B217" t="s">
        <v>1266</v>
      </c>
      <c r="C217" t="s">
        <v>1257</v>
      </c>
      <c r="D217" t="s">
        <v>1258</v>
      </c>
      <c r="E217" t="s">
        <v>258</v>
      </c>
      <c r="F217" t="s">
        <v>259</v>
      </c>
      <c r="G217" t="s">
        <v>750</v>
      </c>
      <c r="H217" t="s">
        <v>252</v>
      </c>
      <c r="I217" t="s">
        <v>193</v>
      </c>
      <c r="J217" t="s">
        <v>260</v>
      </c>
      <c r="K217">
        <v>1</v>
      </c>
      <c r="L217">
        <v>1</v>
      </c>
      <c r="M217">
        <v>1</v>
      </c>
      <c r="N217">
        <v>1</v>
      </c>
    </row>
    <row r="218" spans="1:14" x14ac:dyDescent="0.45">
      <c r="A218" t="s">
        <v>1267</v>
      </c>
      <c r="B218" t="s">
        <v>1268</v>
      </c>
      <c r="C218" t="s">
        <v>1257</v>
      </c>
      <c r="D218" t="s">
        <v>1258</v>
      </c>
      <c r="E218" t="s">
        <v>258</v>
      </c>
      <c r="F218" t="s">
        <v>259</v>
      </c>
      <c r="G218" t="s">
        <v>750</v>
      </c>
      <c r="H218" t="s">
        <v>252</v>
      </c>
      <c r="I218" t="s">
        <v>193</v>
      </c>
      <c r="J218" t="s">
        <v>260</v>
      </c>
      <c r="K218">
        <v>1</v>
      </c>
      <c r="L218">
        <v>1</v>
      </c>
      <c r="M218">
        <v>1</v>
      </c>
      <c r="N218">
        <v>1</v>
      </c>
    </row>
    <row r="219" spans="1:14" x14ac:dyDescent="0.45">
      <c r="A219" t="s">
        <v>288</v>
      </c>
      <c r="B219" t="s">
        <v>1269</v>
      </c>
      <c r="C219" t="s">
        <v>1257</v>
      </c>
      <c r="D219" t="s">
        <v>1258</v>
      </c>
      <c r="E219" t="s">
        <v>258</v>
      </c>
      <c r="F219" t="s">
        <v>259</v>
      </c>
      <c r="G219" t="s">
        <v>750</v>
      </c>
      <c r="H219" t="s">
        <v>252</v>
      </c>
      <c r="I219" t="s">
        <v>193</v>
      </c>
      <c r="J219" t="s">
        <v>260</v>
      </c>
      <c r="K219">
        <v>1</v>
      </c>
      <c r="L219">
        <v>1</v>
      </c>
      <c r="M219">
        <v>1</v>
      </c>
      <c r="N219">
        <v>1</v>
      </c>
    </row>
    <row r="220" spans="1:14" x14ac:dyDescent="0.45">
      <c r="A220" t="s">
        <v>1298</v>
      </c>
      <c r="B220" t="s">
        <v>1299</v>
      </c>
      <c r="C220" t="s">
        <v>1292</v>
      </c>
      <c r="D220" t="s">
        <v>1293</v>
      </c>
      <c r="E220" t="s">
        <v>258</v>
      </c>
      <c r="F220" t="s">
        <v>259</v>
      </c>
      <c r="G220" t="s">
        <v>750</v>
      </c>
      <c r="H220" t="s">
        <v>252</v>
      </c>
      <c r="I220" t="s">
        <v>193</v>
      </c>
      <c r="J220" t="s">
        <v>260</v>
      </c>
      <c r="K220">
        <v>1</v>
      </c>
      <c r="L220">
        <v>1</v>
      </c>
      <c r="M220">
        <v>1</v>
      </c>
      <c r="N220">
        <v>1</v>
      </c>
    </row>
    <row r="221" spans="1:14" x14ac:dyDescent="0.45">
      <c r="A221" t="s">
        <v>1078</v>
      </c>
      <c r="B221" t="s">
        <v>1300</v>
      </c>
      <c r="C221" t="s">
        <v>1292</v>
      </c>
      <c r="D221" t="s">
        <v>1293</v>
      </c>
      <c r="E221" t="s">
        <v>258</v>
      </c>
      <c r="F221" t="s">
        <v>259</v>
      </c>
      <c r="G221" t="s">
        <v>750</v>
      </c>
      <c r="H221" t="s">
        <v>252</v>
      </c>
      <c r="I221" t="s">
        <v>193</v>
      </c>
      <c r="J221" t="s">
        <v>260</v>
      </c>
      <c r="K221">
        <v>1</v>
      </c>
      <c r="L221">
        <v>1</v>
      </c>
      <c r="M221">
        <v>1</v>
      </c>
      <c r="N221">
        <v>1</v>
      </c>
    </row>
    <row r="222" spans="1:14" x14ac:dyDescent="0.45">
      <c r="A222" t="s">
        <v>1305</v>
      </c>
      <c r="B222" t="s">
        <v>1306</v>
      </c>
      <c r="C222" t="s">
        <v>1292</v>
      </c>
      <c r="D222" t="s">
        <v>1293</v>
      </c>
      <c r="E222" t="s">
        <v>258</v>
      </c>
      <c r="F222" t="s">
        <v>259</v>
      </c>
      <c r="G222" t="s">
        <v>750</v>
      </c>
      <c r="H222" t="s">
        <v>252</v>
      </c>
      <c r="I222" t="s">
        <v>193</v>
      </c>
      <c r="J222" t="s">
        <v>260</v>
      </c>
      <c r="K222">
        <v>1</v>
      </c>
      <c r="L222">
        <v>1</v>
      </c>
      <c r="M222">
        <v>1</v>
      </c>
      <c r="N222">
        <v>1</v>
      </c>
    </row>
    <row r="223" spans="1:14" x14ac:dyDescent="0.45">
      <c r="A223" t="s">
        <v>1102</v>
      </c>
      <c r="B223" t="s">
        <v>1311</v>
      </c>
      <c r="C223" t="s">
        <v>1292</v>
      </c>
      <c r="D223" t="s">
        <v>1293</v>
      </c>
      <c r="E223" t="s">
        <v>258</v>
      </c>
      <c r="F223" t="s">
        <v>259</v>
      </c>
      <c r="G223" t="s">
        <v>750</v>
      </c>
      <c r="H223" t="s">
        <v>252</v>
      </c>
      <c r="I223" t="s">
        <v>193</v>
      </c>
      <c r="J223" t="s">
        <v>260</v>
      </c>
      <c r="K223">
        <v>1</v>
      </c>
      <c r="L223">
        <v>1</v>
      </c>
      <c r="M223">
        <v>1</v>
      </c>
      <c r="N223">
        <v>1</v>
      </c>
    </row>
    <row r="224" spans="1:14" x14ac:dyDescent="0.45">
      <c r="A224" t="s">
        <v>1314</v>
      </c>
      <c r="B224" t="s">
        <v>1315</v>
      </c>
      <c r="C224" t="s">
        <v>1292</v>
      </c>
      <c r="D224" t="s">
        <v>1293</v>
      </c>
      <c r="E224" t="s">
        <v>258</v>
      </c>
      <c r="F224" t="s">
        <v>259</v>
      </c>
      <c r="G224" t="s">
        <v>750</v>
      </c>
      <c r="H224" t="s">
        <v>252</v>
      </c>
      <c r="I224" t="s">
        <v>193</v>
      </c>
      <c r="J224" t="s">
        <v>260</v>
      </c>
      <c r="K224">
        <v>1</v>
      </c>
      <c r="L224">
        <v>1</v>
      </c>
      <c r="M224">
        <v>1</v>
      </c>
      <c r="N224">
        <v>1</v>
      </c>
    </row>
    <row r="225" spans="1:14" x14ac:dyDescent="0.45">
      <c r="A225" t="s">
        <v>1316</v>
      </c>
      <c r="B225" t="s">
        <v>1317</v>
      </c>
      <c r="C225" t="s">
        <v>1292</v>
      </c>
      <c r="D225" t="s">
        <v>1293</v>
      </c>
      <c r="E225" t="s">
        <v>258</v>
      </c>
      <c r="F225" t="s">
        <v>259</v>
      </c>
      <c r="G225" t="s">
        <v>750</v>
      </c>
      <c r="H225" t="s">
        <v>252</v>
      </c>
      <c r="I225" t="s">
        <v>193</v>
      </c>
      <c r="J225" t="s">
        <v>260</v>
      </c>
      <c r="K225">
        <v>1</v>
      </c>
      <c r="L225">
        <v>1</v>
      </c>
      <c r="M225">
        <v>1</v>
      </c>
      <c r="N225">
        <v>1</v>
      </c>
    </row>
    <row r="226" spans="1:14" x14ac:dyDescent="0.45">
      <c r="A226" t="s">
        <v>1255</v>
      </c>
      <c r="B226" t="s">
        <v>1256</v>
      </c>
      <c r="C226" t="s">
        <v>1257</v>
      </c>
      <c r="D226" t="s">
        <v>1258</v>
      </c>
      <c r="E226" t="s">
        <v>258</v>
      </c>
      <c r="F226" t="s">
        <v>259</v>
      </c>
      <c r="G226" t="s">
        <v>750</v>
      </c>
      <c r="H226" t="s">
        <v>254</v>
      </c>
      <c r="I226" t="s">
        <v>196</v>
      </c>
      <c r="J226" t="s">
        <v>261</v>
      </c>
      <c r="K226">
        <v>1</v>
      </c>
      <c r="M226">
        <v>1</v>
      </c>
      <c r="N226">
        <v>1</v>
      </c>
    </row>
    <row r="227" spans="1:14" x14ac:dyDescent="0.45">
      <c r="A227" t="s">
        <v>1270</v>
      </c>
      <c r="B227" t="s">
        <v>1271</v>
      </c>
      <c r="C227" t="s">
        <v>1257</v>
      </c>
      <c r="D227" t="s">
        <v>1258</v>
      </c>
      <c r="E227" t="s">
        <v>258</v>
      </c>
      <c r="F227" t="s">
        <v>259</v>
      </c>
      <c r="G227" t="s">
        <v>750</v>
      </c>
      <c r="H227" t="s">
        <v>254</v>
      </c>
      <c r="I227" t="s">
        <v>196</v>
      </c>
      <c r="J227" t="s">
        <v>261</v>
      </c>
      <c r="K227">
        <v>1</v>
      </c>
      <c r="M227">
        <v>1</v>
      </c>
      <c r="N227">
        <v>1</v>
      </c>
    </row>
    <row r="228" spans="1:14" x14ac:dyDescent="0.45">
      <c r="A228" t="s">
        <v>1272</v>
      </c>
      <c r="B228" t="s">
        <v>1273</v>
      </c>
      <c r="C228" t="s">
        <v>1257</v>
      </c>
      <c r="D228" t="s">
        <v>1258</v>
      </c>
      <c r="E228" t="s">
        <v>258</v>
      </c>
      <c r="F228" t="s">
        <v>259</v>
      </c>
      <c r="G228" t="s">
        <v>750</v>
      </c>
      <c r="H228" t="s">
        <v>254</v>
      </c>
      <c r="I228" t="s">
        <v>196</v>
      </c>
      <c r="J228" t="s">
        <v>261</v>
      </c>
      <c r="K228">
        <v>1</v>
      </c>
      <c r="M228">
        <v>1</v>
      </c>
      <c r="N228">
        <v>1</v>
      </c>
    </row>
    <row r="229" spans="1:14" x14ac:dyDescent="0.45">
      <c r="A229" t="s">
        <v>1274</v>
      </c>
      <c r="B229" t="s">
        <v>1275</v>
      </c>
      <c r="C229" t="s">
        <v>1257</v>
      </c>
      <c r="D229" t="s">
        <v>1258</v>
      </c>
      <c r="E229" t="s">
        <v>258</v>
      </c>
      <c r="F229" t="s">
        <v>259</v>
      </c>
      <c r="G229" t="s">
        <v>750</v>
      </c>
      <c r="H229" t="s">
        <v>254</v>
      </c>
      <c r="I229" t="s">
        <v>196</v>
      </c>
      <c r="J229" t="s">
        <v>261</v>
      </c>
      <c r="K229">
        <v>1</v>
      </c>
      <c r="M229">
        <v>1</v>
      </c>
      <c r="N229">
        <v>1</v>
      </c>
    </row>
    <row r="230" spans="1:14" x14ac:dyDescent="0.45">
      <c r="A230" t="s">
        <v>1174</v>
      </c>
      <c r="B230" t="s">
        <v>1276</v>
      </c>
      <c r="C230" t="s">
        <v>1257</v>
      </c>
      <c r="D230" t="s">
        <v>1258</v>
      </c>
      <c r="E230" t="s">
        <v>258</v>
      </c>
      <c r="F230" t="s">
        <v>259</v>
      </c>
      <c r="G230" t="s">
        <v>750</v>
      </c>
      <c r="H230" t="s">
        <v>254</v>
      </c>
      <c r="I230" t="s">
        <v>196</v>
      </c>
      <c r="J230" t="s">
        <v>261</v>
      </c>
      <c r="K230">
        <v>1</v>
      </c>
      <c r="M230">
        <v>1</v>
      </c>
      <c r="N230">
        <v>1</v>
      </c>
    </row>
    <row r="231" spans="1:14" x14ac:dyDescent="0.45">
      <c r="A231" t="s">
        <v>335</v>
      </c>
      <c r="B231" t="s">
        <v>1277</v>
      </c>
      <c r="C231" t="s">
        <v>1257</v>
      </c>
      <c r="D231" t="s">
        <v>1258</v>
      </c>
      <c r="E231" t="s">
        <v>258</v>
      </c>
      <c r="F231" t="s">
        <v>259</v>
      </c>
      <c r="G231" t="s">
        <v>750</v>
      </c>
      <c r="H231" t="s">
        <v>254</v>
      </c>
      <c r="I231" t="s">
        <v>196</v>
      </c>
      <c r="J231" t="s">
        <v>261</v>
      </c>
      <c r="K231">
        <v>1</v>
      </c>
      <c r="M231">
        <v>1</v>
      </c>
      <c r="N231">
        <v>1</v>
      </c>
    </row>
    <row r="232" spans="1:14" x14ac:dyDescent="0.45">
      <c r="A232" t="s">
        <v>1294</v>
      </c>
      <c r="B232" t="s">
        <v>1295</v>
      </c>
      <c r="C232" t="s">
        <v>1292</v>
      </c>
      <c r="D232" t="s">
        <v>1293</v>
      </c>
      <c r="E232" t="s">
        <v>258</v>
      </c>
      <c r="F232" t="s">
        <v>259</v>
      </c>
      <c r="G232" t="s">
        <v>750</v>
      </c>
      <c r="H232" t="s">
        <v>254</v>
      </c>
      <c r="I232" t="s">
        <v>196</v>
      </c>
      <c r="J232" t="s">
        <v>261</v>
      </c>
      <c r="K232">
        <v>1</v>
      </c>
      <c r="M232">
        <v>1</v>
      </c>
      <c r="N232">
        <v>1</v>
      </c>
    </row>
    <row r="233" spans="1:14" x14ac:dyDescent="0.45">
      <c r="A233" t="s">
        <v>1318</v>
      </c>
      <c r="B233" t="s">
        <v>1319</v>
      </c>
      <c r="C233" t="s">
        <v>1320</v>
      </c>
      <c r="D233" t="s">
        <v>1321</v>
      </c>
      <c r="E233" t="s">
        <v>262</v>
      </c>
      <c r="F233" t="s">
        <v>263</v>
      </c>
      <c r="G233" t="s">
        <v>750</v>
      </c>
      <c r="H233" t="s">
        <v>751</v>
      </c>
      <c r="I233" t="s">
        <v>199</v>
      </c>
      <c r="J233" t="s">
        <v>264</v>
      </c>
      <c r="M233">
        <v>1</v>
      </c>
      <c r="N233">
        <v>1</v>
      </c>
    </row>
    <row r="234" spans="1:14" x14ac:dyDescent="0.45">
      <c r="A234" t="s">
        <v>1322</v>
      </c>
      <c r="B234" t="s">
        <v>1323</v>
      </c>
      <c r="C234" t="s">
        <v>1320</v>
      </c>
      <c r="D234" t="s">
        <v>1321</v>
      </c>
      <c r="E234" t="s">
        <v>262</v>
      </c>
      <c r="F234" t="s">
        <v>263</v>
      </c>
      <c r="G234" t="s">
        <v>750</v>
      </c>
      <c r="H234" t="s">
        <v>751</v>
      </c>
      <c r="I234" t="s">
        <v>199</v>
      </c>
      <c r="J234" t="s">
        <v>264</v>
      </c>
      <c r="M234">
        <v>1</v>
      </c>
      <c r="N234">
        <v>1</v>
      </c>
    </row>
    <row r="235" spans="1:14" x14ac:dyDescent="0.45">
      <c r="A235" t="s">
        <v>1324</v>
      </c>
      <c r="B235" t="s">
        <v>1325</v>
      </c>
      <c r="C235" t="s">
        <v>1320</v>
      </c>
      <c r="D235" t="s">
        <v>1321</v>
      </c>
      <c r="E235" t="s">
        <v>262</v>
      </c>
      <c r="F235" t="s">
        <v>263</v>
      </c>
      <c r="G235" t="s">
        <v>750</v>
      </c>
      <c r="H235" t="s">
        <v>751</v>
      </c>
      <c r="I235" t="s">
        <v>199</v>
      </c>
      <c r="J235" t="s">
        <v>264</v>
      </c>
      <c r="M235">
        <v>1</v>
      </c>
      <c r="N235">
        <v>1</v>
      </c>
    </row>
    <row r="236" spans="1:14" x14ac:dyDescent="0.45">
      <c r="A236" t="s">
        <v>1326</v>
      </c>
      <c r="B236" t="s">
        <v>1327</v>
      </c>
      <c r="C236" t="s">
        <v>1320</v>
      </c>
      <c r="D236" t="s">
        <v>1321</v>
      </c>
      <c r="E236" t="s">
        <v>262</v>
      </c>
      <c r="F236" t="s">
        <v>263</v>
      </c>
      <c r="G236" t="s">
        <v>750</v>
      </c>
      <c r="H236" t="s">
        <v>751</v>
      </c>
      <c r="I236" t="s">
        <v>199</v>
      </c>
      <c r="J236" t="s">
        <v>264</v>
      </c>
      <c r="M236">
        <v>1</v>
      </c>
      <c r="N236">
        <v>1</v>
      </c>
    </row>
    <row r="237" spans="1:14" x14ac:dyDescent="0.45">
      <c r="A237" t="s">
        <v>791</v>
      </c>
      <c r="B237" t="s">
        <v>1328</v>
      </c>
      <c r="C237" t="s">
        <v>1320</v>
      </c>
      <c r="D237" t="s">
        <v>1321</v>
      </c>
      <c r="E237" t="s">
        <v>262</v>
      </c>
      <c r="F237" t="s">
        <v>263</v>
      </c>
      <c r="G237" t="s">
        <v>750</v>
      </c>
      <c r="H237" t="s">
        <v>751</v>
      </c>
      <c r="I237" t="s">
        <v>199</v>
      </c>
      <c r="J237" t="s">
        <v>264</v>
      </c>
      <c r="M237">
        <v>1</v>
      </c>
      <c r="N237">
        <v>1</v>
      </c>
    </row>
    <row r="238" spans="1:14" x14ac:dyDescent="0.45">
      <c r="A238" t="s">
        <v>1329</v>
      </c>
      <c r="B238" t="s">
        <v>1330</v>
      </c>
      <c r="C238" t="s">
        <v>1320</v>
      </c>
      <c r="D238" t="s">
        <v>1321</v>
      </c>
      <c r="E238" t="s">
        <v>262</v>
      </c>
      <c r="F238" t="s">
        <v>263</v>
      </c>
      <c r="G238" t="s">
        <v>750</v>
      </c>
      <c r="H238" t="s">
        <v>751</v>
      </c>
      <c r="I238" t="s">
        <v>199</v>
      </c>
      <c r="J238" t="s">
        <v>264</v>
      </c>
      <c r="M238">
        <v>1</v>
      </c>
      <c r="N238">
        <v>1</v>
      </c>
    </row>
    <row r="239" spans="1:14" x14ac:dyDescent="0.45">
      <c r="A239" t="s">
        <v>1331</v>
      </c>
      <c r="B239" t="s">
        <v>1332</v>
      </c>
      <c r="C239" t="s">
        <v>1320</v>
      </c>
      <c r="D239" t="s">
        <v>1321</v>
      </c>
      <c r="E239" t="s">
        <v>262</v>
      </c>
      <c r="F239" t="s">
        <v>263</v>
      </c>
      <c r="G239" t="s">
        <v>750</v>
      </c>
      <c r="H239" t="s">
        <v>751</v>
      </c>
      <c r="I239" t="s">
        <v>199</v>
      </c>
      <c r="J239" t="s">
        <v>264</v>
      </c>
      <c r="M239">
        <v>1</v>
      </c>
      <c r="N239">
        <v>1</v>
      </c>
    </row>
    <row r="240" spans="1:14" x14ac:dyDescent="0.45">
      <c r="A240" t="s">
        <v>1333</v>
      </c>
      <c r="B240" t="s">
        <v>1334</v>
      </c>
      <c r="C240" t="s">
        <v>1320</v>
      </c>
      <c r="D240" t="s">
        <v>1321</v>
      </c>
      <c r="E240" t="s">
        <v>262</v>
      </c>
      <c r="F240" t="s">
        <v>263</v>
      </c>
      <c r="G240" t="s">
        <v>750</v>
      </c>
      <c r="H240" t="s">
        <v>751</v>
      </c>
      <c r="I240" t="s">
        <v>199</v>
      </c>
      <c r="J240" t="s">
        <v>264</v>
      </c>
      <c r="M240">
        <v>1</v>
      </c>
      <c r="N240">
        <v>1</v>
      </c>
    </row>
    <row r="241" spans="1:14" x14ac:dyDescent="0.45">
      <c r="A241" t="s">
        <v>1335</v>
      </c>
      <c r="B241" t="s">
        <v>1336</v>
      </c>
      <c r="C241" t="s">
        <v>1320</v>
      </c>
      <c r="D241" t="s">
        <v>1321</v>
      </c>
      <c r="E241" t="s">
        <v>262</v>
      </c>
      <c r="F241" t="s">
        <v>263</v>
      </c>
      <c r="G241" t="s">
        <v>750</v>
      </c>
      <c r="H241" t="s">
        <v>751</v>
      </c>
      <c r="I241" t="s">
        <v>199</v>
      </c>
      <c r="J241" t="s">
        <v>264</v>
      </c>
      <c r="M241">
        <v>1</v>
      </c>
      <c r="N241">
        <v>1</v>
      </c>
    </row>
    <row r="242" spans="1:14" x14ac:dyDescent="0.45">
      <c r="A242" t="s">
        <v>1337</v>
      </c>
      <c r="B242" t="s">
        <v>1338</v>
      </c>
      <c r="C242" t="s">
        <v>1320</v>
      </c>
      <c r="D242" t="s">
        <v>1321</v>
      </c>
      <c r="E242" t="s">
        <v>262</v>
      </c>
      <c r="F242" t="s">
        <v>263</v>
      </c>
      <c r="G242" t="s">
        <v>750</v>
      </c>
      <c r="H242" t="s">
        <v>751</v>
      </c>
      <c r="I242" t="s">
        <v>199</v>
      </c>
      <c r="J242" t="s">
        <v>264</v>
      </c>
      <c r="M242">
        <v>1</v>
      </c>
      <c r="N242">
        <v>1</v>
      </c>
    </row>
    <row r="243" spans="1:14" x14ac:dyDescent="0.45">
      <c r="A243" t="s">
        <v>1339</v>
      </c>
      <c r="B243" t="s">
        <v>1340</v>
      </c>
      <c r="C243" t="s">
        <v>1341</v>
      </c>
      <c r="D243" t="s">
        <v>1342</v>
      </c>
      <c r="E243" t="s">
        <v>262</v>
      </c>
      <c r="F243" t="s">
        <v>263</v>
      </c>
      <c r="G243" t="s">
        <v>750</v>
      </c>
      <c r="H243" t="s">
        <v>751</v>
      </c>
      <c r="I243" t="s">
        <v>199</v>
      </c>
      <c r="J243" t="s">
        <v>264</v>
      </c>
      <c r="M243">
        <v>1</v>
      </c>
      <c r="N243">
        <v>1</v>
      </c>
    </row>
    <row r="244" spans="1:14" x14ac:dyDescent="0.45">
      <c r="A244" t="s">
        <v>1343</v>
      </c>
      <c r="B244" t="s">
        <v>1344</v>
      </c>
      <c r="C244" t="s">
        <v>1341</v>
      </c>
      <c r="D244" t="s">
        <v>1342</v>
      </c>
      <c r="E244" t="s">
        <v>262</v>
      </c>
      <c r="F244" t="s">
        <v>263</v>
      </c>
      <c r="G244" t="s">
        <v>750</v>
      </c>
      <c r="H244" t="s">
        <v>751</v>
      </c>
      <c r="I244" t="s">
        <v>199</v>
      </c>
      <c r="J244" t="s">
        <v>264</v>
      </c>
      <c r="M244">
        <v>1</v>
      </c>
      <c r="N244">
        <v>1</v>
      </c>
    </row>
    <row r="245" spans="1:14" x14ac:dyDescent="0.45">
      <c r="A245" t="s">
        <v>1345</v>
      </c>
      <c r="B245" t="s">
        <v>1346</v>
      </c>
      <c r="C245" t="s">
        <v>1341</v>
      </c>
      <c r="D245" t="s">
        <v>1342</v>
      </c>
      <c r="E245" t="s">
        <v>262</v>
      </c>
      <c r="F245" t="s">
        <v>263</v>
      </c>
      <c r="G245" t="s">
        <v>750</v>
      </c>
      <c r="H245" t="s">
        <v>751</v>
      </c>
      <c r="I245" t="s">
        <v>199</v>
      </c>
      <c r="J245" t="s">
        <v>264</v>
      </c>
      <c r="M245">
        <v>1</v>
      </c>
      <c r="N245">
        <v>1</v>
      </c>
    </row>
    <row r="246" spans="1:14" x14ac:dyDescent="0.45">
      <c r="A246" t="s">
        <v>1347</v>
      </c>
      <c r="B246" t="s">
        <v>1348</v>
      </c>
      <c r="C246" t="s">
        <v>1341</v>
      </c>
      <c r="D246" t="s">
        <v>1342</v>
      </c>
      <c r="E246" t="s">
        <v>262</v>
      </c>
      <c r="F246" t="s">
        <v>263</v>
      </c>
      <c r="G246" t="s">
        <v>750</v>
      </c>
      <c r="H246" t="s">
        <v>751</v>
      </c>
      <c r="I246" t="s">
        <v>199</v>
      </c>
      <c r="J246" t="s">
        <v>264</v>
      </c>
      <c r="M246">
        <v>1</v>
      </c>
      <c r="N246">
        <v>1</v>
      </c>
    </row>
    <row r="247" spans="1:14" x14ac:dyDescent="0.45">
      <c r="A247" t="s">
        <v>1349</v>
      </c>
      <c r="B247" t="s">
        <v>1350</v>
      </c>
      <c r="C247" t="s">
        <v>1341</v>
      </c>
      <c r="D247" t="s">
        <v>1342</v>
      </c>
      <c r="E247" t="s">
        <v>262</v>
      </c>
      <c r="F247" t="s">
        <v>263</v>
      </c>
      <c r="G247" t="s">
        <v>750</v>
      </c>
      <c r="H247" t="s">
        <v>751</v>
      </c>
      <c r="I247" t="s">
        <v>199</v>
      </c>
      <c r="J247" t="s">
        <v>264</v>
      </c>
      <c r="M247">
        <v>1</v>
      </c>
      <c r="N247">
        <v>1</v>
      </c>
    </row>
    <row r="248" spans="1:14" x14ac:dyDescent="0.45">
      <c r="A248" t="s">
        <v>1351</v>
      </c>
      <c r="B248" t="s">
        <v>1352</v>
      </c>
      <c r="C248" t="s">
        <v>1341</v>
      </c>
      <c r="D248" t="s">
        <v>1342</v>
      </c>
      <c r="E248" t="s">
        <v>262</v>
      </c>
      <c r="F248" t="s">
        <v>263</v>
      </c>
      <c r="G248" t="s">
        <v>750</v>
      </c>
      <c r="H248" t="s">
        <v>751</v>
      </c>
      <c r="I248" t="s">
        <v>199</v>
      </c>
      <c r="J248" t="s">
        <v>264</v>
      </c>
      <c r="M248">
        <v>1</v>
      </c>
      <c r="N248">
        <v>1</v>
      </c>
    </row>
    <row r="249" spans="1:14" x14ac:dyDescent="0.45">
      <c r="A249" t="s">
        <v>1353</v>
      </c>
      <c r="B249" t="s">
        <v>1354</v>
      </c>
      <c r="C249" t="s">
        <v>1341</v>
      </c>
      <c r="D249" t="s">
        <v>1342</v>
      </c>
      <c r="E249" t="s">
        <v>262</v>
      </c>
      <c r="F249" t="s">
        <v>263</v>
      </c>
      <c r="G249" t="s">
        <v>750</v>
      </c>
      <c r="H249" t="s">
        <v>751</v>
      </c>
      <c r="I249" t="s">
        <v>199</v>
      </c>
      <c r="J249" t="s">
        <v>264</v>
      </c>
      <c r="M249">
        <v>1</v>
      </c>
      <c r="N249">
        <v>1</v>
      </c>
    </row>
    <row r="250" spans="1:14" x14ac:dyDescent="0.45">
      <c r="A250" t="s">
        <v>1355</v>
      </c>
      <c r="B250" t="s">
        <v>1356</v>
      </c>
      <c r="C250" t="s">
        <v>1341</v>
      </c>
      <c r="D250" t="s">
        <v>1342</v>
      </c>
      <c r="E250" t="s">
        <v>262</v>
      </c>
      <c r="F250" t="s">
        <v>263</v>
      </c>
      <c r="G250" t="s">
        <v>750</v>
      </c>
      <c r="H250" t="s">
        <v>751</v>
      </c>
      <c r="I250" t="s">
        <v>199</v>
      </c>
      <c r="J250" t="s">
        <v>264</v>
      </c>
      <c r="M250">
        <v>1</v>
      </c>
      <c r="N250">
        <v>1</v>
      </c>
    </row>
    <row r="251" spans="1:14" x14ac:dyDescent="0.45">
      <c r="A251" t="s">
        <v>1357</v>
      </c>
      <c r="B251" t="s">
        <v>1358</v>
      </c>
      <c r="C251" t="s">
        <v>1341</v>
      </c>
      <c r="D251" t="s">
        <v>1342</v>
      </c>
      <c r="E251" t="s">
        <v>262</v>
      </c>
      <c r="F251" t="s">
        <v>263</v>
      </c>
      <c r="G251" t="s">
        <v>750</v>
      </c>
      <c r="H251" t="s">
        <v>751</v>
      </c>
      <c r="I251" t="s">
        <v>199</v>
      </c>
      <c r="J251" t="s">
        <v>264</v>
      </c>
      <c r="M251">
        <v>1</v>
      </c>
      <c r="N251">
        <v>1</v>
      </c>
    </row>
    <row r="252" spans="1:14" x14ac:dyDescent="0.45">
      <c r="A252" t="s">
        <v>262</v>
      </c>
      <c r="B252" t="s">
        <v>1359</v>
      </c>
      <c r="C252" t="s">
        <v>1341</v>
      </c>
      <c r="D252" t="s">
        <v>1342</v>
      </c>
      <c r="E252" t="s">
        <v>262</v>
      </c>
      <c r="F252" t="s">
        <v>263</v>
      </c>
      <c r="G252" t="s">
        <v>750</v>
      </c>
      <c r="H252" t="s">
        <v>751</v>
      </c>
      <c r="I252" t="s">
        <v>199</v>
      </c>
      <c r="J252" t="s">
        <v>264</v>
      </c>
      <c r="M252">
        <v>1</v>
      </c>
      <c r="N252">
        <v>1</v>
      </c>
    </row>
    <row r="253" spans="1:14" x14ac:dyDescent="0.45">
      <c r="A253" t="s">
        <v>1360</v>
      </c>
      <c r="B253" t="s">
        <v>1361</v>
      </c>
      <c r="C253" t="s">
        <v>1341</v>
      </c>
      <c r="D253" t="s">
        <v>1342</v>
      </c>
      <c r="E253" t="s">
        <v>262</v>
      </c>
      <c r="F253" t="s">
        <v>263</v>
      </c>
      <c r="G253" t="s">
        <v>750</v>
      </c>
      <c r="H253" t="s">
        <v>751</v>
      </c>
      <c r="I253" t="s">
        <v>199</v>
      </c>
      <c r="J253" t="s">
        <v>264</v>
      </c>
      <c r="M253">
        <v>1</v>
      </c>
      <c r="N253">
        <v>1</v>
      </c>
    </row>
    <row r="254" spans="1:14" x14ac:dyDescent="0.45">
      <c r="A254" t="s">
        <v>1362</v>
      </c>
      <c r="B254" t="s">
        <v>1363</v>
      </c>
      <c r="C254" t="s">
        <v>1341</v>
      </c>
      <c r="D254" t="s">
        <v>1342</v>
      </c>
      <c r="E254" t="s">
        <v>262</v>
      </c>
      <c r="F254" t="s">
        <v>263</v>
      </c>
      <c r="G254" t="s">
        <v>750</v>
      </c>
      <c r="H254" t="s">
        <v>751</v>
      </c>
      <c r="I254" t="s">
        <v>199</v>
      </c>
      <c r="J254" t="s">
        <v>264</v>
      </c>
      <c r="M254">
        <v>1</v>
      </c>
      <c r="N254">
        <v>1</v>
      </c>
    </row>
    <row r="255" spans="1:14" x14ac:dyDescent="0.45">
      <c r="A255" t="s">
        <v>1364</v>
      </c>
      <c r="B255" t="s">
        <v>1365</v>
      </c>
      <c r="C255" t="s">
        <v>1341</v>
      </c>
      <c r="D255" t="s">
        <v>1342</v>
      </c>
      <c r="E255" t="s">
        <v>262</v>
      </c>
      <c r="F255" t="s">
        <v>263</v>
      </c>
      <c r="G255" t="s">
        <v>750</v>
      </c>
      <c r="H255" t="s">
        <v>751</v>
      </c>
      <c r="I255" t="s">
        <v>199</v>
      </c>
      <c r="J255" t="s">
        <v>264</v>
      </c>
      <c r="M255">
        <v>1</v>
      </c>
      <c r="N255">
        <v>1</v>
      </c>
    </row>
    <row r="256" spans="1:14" x14ac:dyDescent="0.45">
      <c r="A256" t="s">
        <v>1366</v>
      </c>
      <c r="B256" t="s">
        <v>1367</v>
      </c>
      <c r="C256" t="s">
        <v>1341</v>
      </c>
      <c r="D256" t="s">
        <v>1342</v>
      </c>
      <c r="E256" t="s">
        <v>262</v>
      </c>
      <c r="F256" t="s">
        <v>263</v>
      </c>
      <c r="G256" t="s">
        <v>750</v>
      </c>
      <c r="H256" t="s">
        <v>751</v>
      </c>
      <c r="I256" t="s">
        <v>199</v>
      </c>
      <c r="J256" t="s">
        <v>264</v>
      </c>
      <c r="M256">
        <v>1</v>
      </c>
      <c r="N256">
        <v>1</v>
      </c>
    </row>
    <row r="257" spans="1:14" x14ac:dyDescent="0.45">
      <c r="A257" t="s">
        <v>1368</v>
      </c>
      <c r="B257" t="s">
        <v>1369</v>
      </c>
      <c r="C257" t="s">
        <v>1341</v>
      </c>
      <c r="D257" t="s">
        <v>1342</v>
      </c>
      <c r="E257" t="s">
        <v>262</v>
      </c>
      <c r="F257" t="s">
        <v>263</v>
      </c>
      <c r="G257" t="s">
        <v>750</v>
      </c>
      <c r="H257" t="s">
        <v>751</v>
      </c>
      <c r="I257" t="s">
        <v>199</v>
      </c>
      <c r="J257" t="s">
        <v>264</v>
      </c>
      <c r="M257">
        <v>1</v>
      </c>
      <c r="N257">
        <v>1</v>
      </c>
    </row>
    <row r="258" spans="1:14" x14ac:dyDescent="0.45">
      <c r="A258" t="s">
        <v>1370</v>
      </c>
      <c r="B258" t="s">
        <v>1371</v>
      </c>
      <c r="C258" t="s">
        <v>1341</v>
      </c>
      <c r="D258" t="s">
        <v>1342</v>
      </c>
      <c r="E258" t="s">
        <v>262</v>
      </c>
      <c r="F258" t="s">
        <v>263</v>
      </c>
      <c r="G258" t="s">
        <v>750</v>
      </c>
      <c r="H258" t="s">
        <v>751</v>
      </c>
      <c r="I258" t="s">
        <v>199</v>
      </c>
      <c r="J258" t="s">
        <v>264</v>
      </c>
      <c r="M258">
        <v>1</v>
      </c>
      <c r="N258">
        <v>1</v>
      </c>
    </row>
    <row r="259" spans="1:14" x14ac:dyDescent="0.45">
      <c r="A259" t="s">
        <v>1372</v>
      </c>
      <c r="B259" t="s">
        <v>1373</v>
      </c>
      <c r="C259" t="s">
        <v>1341</v>
      </c>
      <c r="D259" t="s">
        <v>1342</v>
      </c>
      <c r="E259" t="s">
        <v>262</v>
      </c>
      <c r="F259" t="s">
        <v>263</v>
      </c>
      <c r="G259" t="s">
        <v>750</v>
      </c>
      <c r="H259" t="s">
        <v>751</v>
      </c>
      <c r="I259" t="s">
        <v>199</v>
      </c>
      <c r="J259" t="s">
        <v>264</v>
      </c>
      <c r="M259">
        <v>1</v>
      </c>
      <c r="N259">
        <v>1</v>
      </c>
    </row>
    <row r="260" spans="1:14" x14ac:dyDescent="0.45">
      <c r="A260" t="s">
        <v>1374</v>
      </c>
      <c r="B260" t="s">
        <v>1375</v>
      </c>
      <c r="C260" t="s">
        <v>1341</v>
      </c>
      <c r="D260" t="s">
        <v>1342</v>
      </c>
      <c r="E260" t="s">
        <v>262</v>
      </c>
      <c r="F260" t="s">
        <v>263</v>
      </c>
      <c r="G260" t="s">
        <v>750</v>
      </c>
      <c r="H260" t="s">
        <v>751</v>
      </c>
      <c r="I260" t="s">
        <v>199</v>
      </c>
      <c r="J260" t="s">
        <v>264</v>
      </c>
      <c r="M260">
        <v>1</v>
      </c>
      <c r="N260">
        <v>1</v>
      </c>
    </row>
    <row r="261" spans="1:14" x14ac:dyDescent="0.45">
      <c r="A261" t="s">
        <v>1376</v>
      </c>
      <c r="B261" t="s">
        <v>1377</v>
      </c>
      <c r="C261" t="s">
        <v>1341</v>
      </c>
      <c r="D261" t="s">
        <v>1342</v>
      </c>
      <c r="E261" t="s">
        <v>262</v>
      </c>
      <c r="F261" t="s">
        <v>263</v>
      </c>
      <c r="G261" t="s">
        <v>750</v>
      </c>
      <c r="H261" t="s">
        <v>751</v>
      </c>
      <c r="I261" t="s">
        <v>199</v>
      </c>
      <c r="J261" t="s">
        <v>264</v>
      </c>
      <c r="M261">
        <v>1</v>
      </c>
      <c r="N261">
        <v>1</v>
      </c>
    </row>
    <row r="262" spans="1:14" x14ac:dyDescent="0.45">
      <c r="A262" t="s">
        <v>1378</v>
      </c>
      <c r="B262" t="s">
        <v>1379</v>
      </c>
      <c r="C262" t="s">
        <v>1341</v>
      </c>
      <c r="D262" t="s">
        <v>1342</v>
      </c>
      <c r="E262" t="s">
        <v>262</v>
      </c>
      <c r="F262" t="s">
        <v>263</v>
      </c>
      <c r="G262" t="s">
        <v>750</v>
      </c>
      <c r="H262" t="s">
        <v>751</v>
      </c>
      <c r="I262" t="s">
        <v>199</v>
      </c>
      <c r="J262" t="s">
        <v>264</v>
      </c>
      <c r="M262">
        <v>1</v>
      </c>
      <c r="N262">
        <v>1</v>
      </c>
    </row>
    <row r="263" spans="1:14" x14ac:dyDescent="0.45">
      <c r="A263" t="s">
        <v>1380</v>
      </c>
      <c r="B263" t="s">
        <v>1381</v>
      </c>
      <c r="C263" t="s">
        <v>1341</v>
      </c>
      <c r="D263" t="s">
        <v>1342</v>
      </c>
      <c r="E263" t="s">
        <v>262</v>
      </c>
      <c r="F263" t="s">
        <v>263</v>
      </c>
      <c r="G263" t="s">
        <v>750</v>
      </c>
      <c r="H263" t="s">
        <v>751</v>
      </c>
      <c r="I263" t="s">
        <v>199</v>
      </c>
      <c r="J263" t="s">
        <v>264</v>
      </c>
      <c r="M263">
        <v>1</v>
      </c>
      <c r="N263">
        <v>1</v>
      </c>
    </row>
    <row r="264" spans="1:14" x14ac:dyDescent="0.45">
      <c r="A264" t="s">
        <v>1382</v>
      </c>
      <c r="B264" t="s">
        <v>1383</v>
      </c>
      <c r="C264" t="s">
        <v>1341</v>
      </c>
      <c r="D264" t="s">
        <v>1342</v>
      </c>
      <c r="E264" t="s">
        <v>262</v>
      </c>
      <c r="F264" t="s">
        <v>263</v>
      </c>
      <c r="G264" t="s">
        <v>750</v>
      </c>
      <c r="H264" t="s">
        <v>751</v>
      </c>
      <c r="I264" t="s">
        <v>199</v>
      </c>
      <c r="J264" t="s">
        <v>264</v>
      </c>
      <c r="M264">
        <v>1</v>
      </c>
      <c r="N264">
        <v>1</v>
      </c>
    </row>
    <row r="265" spans="1:14" x14ac:dyDescent="0.45">
      <c r="A265" t="s">
        <v>1384</v>
      </c>
      <c r="B265" t="s">
        <v>1385</v>
      </c>
      <c r="C265" t="s">
        <v>1341</v>
      </c>
      <c r="D265" t="s">
        <v>1342</v>
      </c>
      <c r="E265" t="s">
        <v>262</v>
      </c>
      <c r="F265" t="s">
        <v>263</v>
      </c>
      <c r="G265" t="s">
        <v>750</v>
      </c>
      <c r="H265" t="s">
        <v>751</v>
      </c>
      <c r="I265" t="s">
        <v>199</v>
      </c>
      <c r="J265" t="s">
        <v>264</v>
      </c>
      <c r="M265">
        <v>1</v>
      </c>
      <c r="N265">
        <v>1</v>
      </c>
    </row>
    <row r="266" spans="1:14" x14ac:dyDescent="0.45">
      <c r="A266" t="s">
        <v>1386</v>
      </c>
      <c r="B266" t="s">
        <v>1387</v>
      </c>
      <c r="C266" t="s">
        <v>1341</v>
      </c>
      <c r="D266" t="s">
        <v>1342</v>
      </c>
      <c r="E266" t="s">
        <v>262</v>
      </c>
      <c r="F266" t="s">
        <v>263</v>
      </c>
      <c r="G266" t="s">
        <v>750</v>
      </c>
      <c r="H266" t="s">
        <v>751</v>
      </c>
      <c r="I266" t="s">
        <v>199</v>
      </c>
      <c r="J266" t="s">
        <v>264</v>
      </c>
      <c r="M266">
        <v>1</v>
      </c>
      <c r="N266">
        <v>1</v>
      </c>
    </row>
    <row r="267" spans="1:14" x14ac:dyDescent="0.45">
      <c r="A267" t="s">
        <v>1388</v>
      </c>
      <c r="B267" t="s">
        <v>1389</v>
      </c>
      <c r="C267" t="s">
        <v>1341</v>
      </c>
      <c r="D267" t="s">
        <v>1342</v>
      </c>
      <c r="E267" t="s">
        <v>262</v>
      </c>
      <c r="F267" t="s">
        <v>263</v>
      </c>
      <c r="G267" t="s">
        <v>750</v>
      </c>
      <c r="H267" t="s">
        <v>751</v>
      </c>
      <c r="I267" t="s">
        <v>199</v>
      </c>
      <c r="J267" t="s">
        <v>264</v>
      </c>
      <c r="M267">
        <v>1</v>
      </c>
      <c r="N267">
        <v>1</v>
      </c>
    </row>
    <row r="268" spans="1:14" x14ac:dyDescent="0.45">
      <c r="A268" t="s">
        <v>1390</v>
      </c>
      <c r="B268" t="s">
        <v>1391</v>
      </c>
      <c r="C268" t="s">
        <v>1341</v>
      </c>
      <c r="D268" t="s">
        <v>1342</v>
      </c>
      <c r="E268" t="s">
        <v>262</v>
      </c>
      <c r="F268" t="s">
        <v>263</v>
      </c>
      <c r="G268" t="s">
        <v>750</v>
      </c>
      <c r="H268" t="s">
        <v>751</v>
      </c>
      <c r="I268" t="s">
        <v>199</v>
      </c>
      <c r="J268" t="s">
        <v>264</v>
      </c>
      <c r="M268">
        <v>1</v>
      </c>
      <c r="N268">
        <v>1</v>
      </c>
    </row>
    <row r="269" spans="1:14" x14ac:dyDescent="0.45">
      <c r="A269" t="s">
        <v>1392</v>
      </c>
      <c r="B269" t="s">
        <v>1393</v>
      </c>
      <c r="C269" t="s">
        <v>1341</v>
      </c>
      <c r="D269" t="s">
        <v>1342</v>
      </c>
      <c r="E269" t="s">
        <v>262</v>
      </c>
      <c r="F269" t="s">
        <v>263</v>
      </c>
      <c r="G269" t="s">
        <v>750</v>
      </c>
      <c r="H269" t="s">
        <v>751</v>
      </c>
      <c r="I269" t="s">
        <v>199</v>
      </c>
      <c r="J269" t="s">
        <v>264</v>
      </c>
      <c r="M269">
        <v>1</v>
      </c>
      <c r="N269">
        <v>1</v>
      </c>
    </row>
    <row r="270" spans="1:14" x14ac:dyDescent="0.45">
      <c r="A270" t="s">
        <v>1394</v>
      </c>
      <c r="B270" t="s">
        <v>1395</v>
      </c>
      <c r="C270" t="s">
        <v>1341</v>
      </c>
      <c r="D270" t="s">
        <v>1342</v>
      </c>
      <c r="E270" t="s">
        <v>262</v>
      </c>
      <c r="F270" t="s">
        <v>263</v>
      </c>
      <c r="G270" t="s">
        <v>750</v>
      </c>
      <c r="H270" t="s">
        <v>751</v>
      </c>
      <c r="I270" t="s">
        <v>199</v>
      </c>
      <c r="J270" t="s">
        <v>264</v>
      </c>
      <c r="M270">
        <v>1</v>
      </c>
      <c r="N270">
        <v>1</v>
      </c>
    </row>
    <row r="271" spans="1:14" x14ac:dyDescent="0.45">
      <c r="A271" t="s">
        <v>1396</v>
      </c>
      <c r="B271" t="s">
        <v>1397</v>
      </c>
      <c r="C271" t="s">
        <v>1341</v>
      </c>
      <c r="D271" t="s">
        <v>1342</v>
      </c>
      <c r="E271" t="s">
        <v>262</v>
      </c>
      <c r="F271" t="s">
        <v>263</v>
      </c>
      <c r="G271" t="s">
        <v>750</v>
      </c>
      <c r="H271" t="s">
        <v>751</v>
      </c>
      <c r="I271" t="s">
        <v>199</v>
      </c>
      <c r="J271" t="s">
        <v>264</v>
      </c>
      <c r="M271">
        <v>1</v>
      </c>
      <c r="N271">
        <v>1</v>
      </c>
    </row>
    <row r="272" spans="1:14" x14ac:dyDescent="0.45">
      <c r="A272" t="s">
        <v>1398</v>
      </c>
      <c r="B272" t="s">
        <v>1399</v>
      </c>
      <c r="C272" t="s">
        <v>1341</v>
      </c>
      <c r="D272" t="s">
        <v>1342</v>
      </c>
      <c r="E272" t="s">
        <v>262</v>
      </c>
      <c r="F272" t="s">
        <v>263</v>
      </c>
      <c r="G272" t="s">
        <v>750</v>
      </c>
      <c r="H272" t="s">
        <v>751</v>
      </c>
      <c r="I272" t="s">
        <v>199</v>
      </c>
      <c r="J272" t="s">
        <v>264</v>
      </c>
      <c r="M272">
        <v>1</v>
      </c>
      <c r="N272">
        <v>1</v>
      </c>
    </row>
    <row r="273" spans="1:14" x14ac:dyDescent="0.45">
      <c r="A273" t="s">
        <v>1400</v>
      </c>
      <c r="B273" t="s">
        <v>1401</v>
      </c>
      <c r="C273" t="s">
        <v>1341</v>
      </c>
      <c r="D273" t="s">
        <v>1342</v>
      </c>
      <c r="E273" t="s">
        <v>262</v>
      </c>
      <c r="F273" t="s">
        <v>263</v>
      </c>
      <c r="G273" t="s">
        <v>750</v>
      </c>
      <c r="H273" t="s">
        <v>751</v>
      </c>
      <c r="I273" t="s">
        <v>199</v>
      </c>
      <c r="J273" t="s">
        <v>264</v>
      </c>
      <c r="M273">
        <v>1</v>
      </c>
      <c r="N273">
        <v>1</v>
      </c>
    </row>
    <row r="274" spans="1:14" x14ac:dyDescent="0.45">
      <c r="A274" t="s">
        <v>1402</v>
      </c>
      <c r="B274" t="s">
        <v>1403</v>
      </c>
      <c r="C274" t="s">
        <v>1404</v>
      </c>
      <c r="D274" t="s">
        <v>1405</v>
      </c>
      <c r="E274" t="s">
        <v>262</v>
      </c>
      <c r="F274" t="s">
        <v>263</v>
      </c>
      <c r="G274" t="s">
        <v>750</v>
      </c>
      <c r="H274" t="s">
        <v>751</v>
      </c>
      <c r="I274" t="s">
        <v>199</v>
      </c>
      <c r="J274" t="s">
        <v>264</v>
      </c>
      <c r="M274">
        <v>1</v>
      </c>
      <c r="N274">
        <v>1</v>
      </c>
    </row>
    <row r="275" spans="1:14" x14ac:dyDescent="0.45">
      <c r="A275" t="s">
        <v>1406</v>
      </c>
      <c r="B275" t="s">
        <v>1407</v>
      </c>
      <c r="C275" t="s">
        <v>1404</v>
      </c>
      <c r="D275" t="s">
        <v>1405</v>
      </c>
      <c r="E275" t="s">
        <v>262</v>
      </c>
      <c r="F275" t="s">
        <v>263</v>
      </c>
      <c r="G275" t="s">
        <v>750</v>
      </c>
      <c r="H275" t="s">
        <v>751</v>
      </c>
      <c r="I275" t="s">
        <v>199</v>
      </c>
      <c r="J275" t="s">
        <v>264</v>
      </c>
      <c r="M275">
        <v>1</v>
      </c>
      <c r="N275">
        <v>1</v>
      </c>
    </row>
    <row r="276" spans="1:14" x14ac:dyDescent="0.45">
      <c r="A276" t="s">
        <v>1408</v>
      </c>
      <c r="B276" t="s">
        <v>1409</v>
      </c>
      <c r="C276" t="s">
        <v>1404</v>
      </c>
      <c r="D276" t="s">
        <v>1405</v>
      </c>
      <c r="E276" t="s">
        <v>262</v>
      </c>
      <c r="F276" t="s">
        <v>263</v>
      </c>
      <c r="G276" t="s">
        <v>750</v>
      </c>
      <c r="H276" t="s">
        <v>751</v>
      </c>
      <c r="I276" t="s">
        <v>199</v>
      </c>
      <c r="J276" t="s">
        <v>264</v>
      </c>
      <c r="M276">
        <v>1</v>
      </c>
      <c r="N276">
        <v>1</v>
      </c>
    </row>
    <row r="277" spans="1:14" x14ac:dyDescent="0.45">
      <c r="A277" t="s">
        <v>1410</v>
      </c>
      <c r="B277" t="s">
        <v>1411</v>
      </c>
      <c r="C277" t="s">
        <v>1404</v>
      </c>
      <c r="D277" t="s">
        <v>1405</v>
      </c>
      <c r="E277" t="s">
        <v>262</v>
      </c>
      <c r="F277" t="s">
        <v>263</v>
      </c>
      <c r="G277" t="s">
        <v>750</v>
      </c>
      <c r="H277" t="s">
        <v>751</v>
      </c>
      <c r="I277" t="s">
        <v>199</v>
      </c>
      <c r="J277" t="s">
        <v>264</v>
      </c>
      <c r="M277">
        <v>1</v>
      </c>
      <c r="N277">
        <v>1</v>
      </c>
    </row>
    <row r="278" spans="1:14" x14ac:dyDescent="0.45">
      <c r="A278" t="s">
        <v>1412</v>
      </c>
      <c r="B278" t="s">
        <v>1413</v>
      </c>
      <c r="C278" t="s">
        <v>1404</v>
      </c>
      <c r="D278" t="s">
        <v>1405</v>
      </c>
      <c r="E278" t="s">
        <v>262</v>
      </c>
      <c r="F278" t="s">
        <v>263</v>
      </c>
      <c r="G278" t="s">
        <v>750</v>
      </c>
      <c r="H278" t="s">
        <v>751</v>
      </c>
      <c r="I278" t="s">
        <v>199</v>
      </c>
      <c r="J278" t="s">
        <v>264</v>
      </c>
      <c r="M278">
        <v>1</v>
      </c>
      <c r="N278">
        <v>1</v>
      </c>
    </row>
    <row r="279" spans="1:14" x14ac:dyDescent="0.45">
      <c r="A279" t="s">
        <v>1414</v>
      </c>
      <c r="B279" t="s">
        <v>1415</v>
      </c>
      <c r="C279" t="s">
        <v>1404</v>
      </c>
      <c r="D279" t="s">
        <v>1405</v>
      </c>
      <c r="E279" t="s">
        <v>262</v>
      </c>
      <c r="F279" t="s">
        <v>263</v>
      </c>
      <c r="G279" t="s">
        <v>750</v>
      </c>
      <c r="H279" t="s">
        <v>751</v>
      </c>
      <c r="I279" t="s">
        <v>199</v>
      </c>
      <c r="J279" t="s">
        <v>264</v>
      </c>
      <c r="M279">
        <v>1</v>
      </c>
      <c r="N279">
        <v>1</v>
      </c>
    </row>
    <row r="280" spans="1:14" x14ac:dyDescent="0.45">
      <c r="A280" t="s">
        <v>1416</v>
      </c>
      <c r="B280" t="s">
        <v>1417</v>
      </c>
      <c r="C280" t="s">
        <v>1404</v>
      </c>
      <c r="D280" t="s">
        <v>1405</v>
      </c>
      <c r="E280" t="s">
        <v>262</v>
      </c>
      <c r="F280" t="s">
        <v>263</v>
      </c>
      <c r="G280" t="s">
        <v>750</v>
      </c>
      <c r="H280" t="s">
        <v>751</v>
      </c>
      <c r="I280" t="s">
        <v>199</v>
      </c>
      <c r="J280" t="s">
        <v>264</v>
      </c>
      <c r="M280">
        <v>1</v>
      </c>
      <c r="N280">
        <v>1</v>
      </c>
    </row>
    <row r="281" spans="1:14" x14ac:dyDescent="0.45">
      <c r="A281" t="s">
        <v>1418</v>
      </c>
      <c r="B281" t="s">
        <v>1419</v>
      </c>
      <c r="C281" t="s">
        <v>1404</v>
      </c>
      <c r="D281" t="s">
        <v>1405</v>
      </c>
      <c r="E281" t="s">
        <v>262</v>
      </c>
      <c r="F281" t="s">
        <v>263</v>
      </c>
      <c r="G281" t="s">
        <v>750</v>
      </c>
      <c r="H281" t="s">
        <v>751</v>
      </c>
      <c r="I281" t="s">
        <v>199</v>
      </c>
      <c r="J281" t="s">
        <v>264</v>
      </c>
      <c r="M281">
        <v>1</v>
      </c>
      <c r="N281">
        <v>1</v>
      </c>
    </row>
    <row r="282" spans="1:14" x14ac:dyDescent="0.45">
      <c r="A282" t="s">
        <v>1420</v>
      </c>
      <c r="B282" t="s">
        <v>1421</v>
      </c>
      <c r="C282" t="s">
        <v>1404</v>
      </c>
      <c r="D282" t="s">
        <v>1405</v>
      </c>
      <c r="E282" t="s">
        <v>262</v>
      </c>
      <c r="F282" t="s">
        <v>263</v>
      </c>
      <c r="G282" t="s">
        <v>750</v>
      </c>
      <c r="H282" t="s">
        <v>751</v>
      </c>
      <c r="I282" t="s">
        <v>199</v>
      </c>
      <c r="J282" t="s">
        <v>264</v>
      </c>
      <c r="M282">
        <v>1</v>
      </c>
      <c r="N282">
        <v>1</v>
      </c>
    </row>
    <row r="283" spans="1:14" x14ac:dyDescent="0.45">
      <c r="A283" t="s">
        <v>1422</v>
      </c>
      <c r="B283" t="s">
        <v>1423</v>
      </c>
      <c r="C283" t="s">
        <v>1404</v>
      </c>
      <c r="D283" t="s">
        <v>1405</v>
      </c>
      <c r="E283" t="s">
        <v>262</v>
      </c>
      <c r="F283" t="s">
        <v>263</v>
      </c>
      <c r="G283" t="s">
        <v>750</v>
      </c>
      <c r="H283" t="s">
        <v>751</v>
      </c>
      <c r="I283" t="s">
        <v>199</v>
      </c>
      <c r="J283" t="s">
        <v>264</v>
      </c>
      <c r="M283">
        <v>1</v>
      </c>
      <c r="N283">
        <v>1</v>
      </c>
    </row>
    <row r="284" spans="1:14" x14ac:dyDescent="0.45">
      <c r="A284" t="s">
        <v>1424</v>
      </c>
      <c r="B284" t="s">
        <v>1425</v>
      </c>
      <c r="C284" t="s">
        <v>1404</v>
      </c>
      <c r="D284" t="s">
        <v>1405</v>
      </c>
      <c r="E284" t="s">
        <v>262</v>
      </c>
      <c r="F284" t="s">
        <v>263</v>
      </c>
      <c r="G284" t="s">
        <v>750</v>
      </c>
      <c r="H284" t="s">
        <v>751</v>
      </c>
      <c r="I284" t="s">
        <v>199</v>
      </c>
      <c r="J284" t="s">
        <v>264</v>
      </c>
      <c r="M284">
        <v>1</v>
      </c>
      <c r="N284">
        <v>1</v>
      </c>
    </row>
    <row r="285" spans="1:14" x14ac:dyDescent="0.45">
      <c r="A285" t="s">
        <v>1426</v>
      </c>
      <c r="B285" t="s">
        <v>1427</v>
      </c>
      <c r="C285" t="s">
        <v>1404</v>
      </c>
      <c r="D285" t="s">
        <v>1405</v>
      </c>
      <c r="E285" t="s">
        <v>262</v>
      </c>
      <c r="F285" t="s">
        <v>263</v>
      </c>
      <c r="G285" t="s">
        <v>750</v>
      </c>
      <c r="H285" t="s">
        <v>751</v>
      </c>
      <c r="I285" t="s">
        <v>199</v>
      </c>
      <c r="J285" t="s">
        <v>264</v>
      </c>
      <c r="M285">
        <v>1</v>
      </c>
      <c r="N285">
        <v>1</v>
      </c>
    </row>
    <row r="286" spans="1:14" x14ac:dyDescent="0.45">
      <c r="A286" t="s">
        <v>1428</v>
      </c>
      <c r="B286" t="s">
        <v>1429</v>
      </c>
      <c r="C286" t="s">
        <v>1404</v>
      </c>
      <c r="D286" t="s">
        <v>1405</v>
      </c>
      <c r="E286" t="s">
        <v>262</v>
      </c>
      <c r="F286" t="s">
        <v>263</v>
      </c>
      <c r="G286" t="s">
        <v>750</v>
      </c>
      <c r="H286" t="s">
        <v>751</v>
      </c>
      <c r="I286" t="s">
        <v>199</v>
      </c>
      <c r="J286" t="s">
        <v>264</v>
      </c>
      <c r="M286">
        <v>1</v>
      </c>
      <c r="N286">
        <v>1</v>
      </c>
    </row>
    <row r="287" spans="1:14" x14ac:dyDescent="0.45">
      <c r="A287" t="s">
        <v>1430</v>
      </c>
      <c r="B287" t="s">
        <v>1431</v>
      </c>
      <c r="C287" t="s">
        <v>1432</v>
      </c>
      <c r="D287" t="s">
        <v>1433</v>
      </c>
      <c r="E287" t="s">
        <v>262</v>
      </c>
      <c r="F287" t="s">
        <v>263</v>
      </c>
      <c r="G287" t="s">
        <v>750</v>
      </c>
      <c r="H287" t="s">
        <v>751</v>
      </c>
      <c r="I287" t="s">
        <v>199</v>
      </c>
      <c r="J287" t="s">
        <v>264</v>
      </c>
      <c r="M287">
        <v>1</v>
      </c>
      <c r="N287">
        <v>1</v>
      </c>
    </row>
    <row r="288" spans="1:14" x14ac:dyDescent="0.45">
      <c r="A288" t="s">
        <v>1434</v>
      </c>
      <c r="B288" t="s">
        <v>1435</v>
      </c>
      <c r="C288" t="s">
        <v>1432</v>
      </c>
      <c r="D288" t="s">
        <v>1433</v>
      </c>
      <c r="E288" t="s">
        <v>262</v>
      </c>
      <c r="F288" t="s">
        <v>263</v>
      </c>
      <c r="G288" t="s">
        <v>750</v>
      </c>
      <c r="H288" t="s">
        <v>751</v>
      </c>
      <c r="I288" t="s">
        <v>199</v>
      </c>
      <c r="J288" t="s">
        <v>264</v>
      </c>
      <c r="M288">
        <v>1</v>
      </c>
      <c r="N288">
        <v>1</v>
      </c>
    </row>
    <row r="289" spans="1:14" x14ac:dyDescent="0.45">
      <c r="A289" t="s">
        <v>1436</v>
      </c>
      <c r="B289" t="s">
        <v>1437</v>
      </c>
      <c r="C289" t="s">
        <v>1432</v>
      </c>
      <c r="D289" t="s">
        <v>1433</v>
      </c>
      <c r="E289" t="s">
        <v>262</v>
      </c>
      <c r="F289" t="s">
        <v>263</v>
      </c>
      <c r="G289" t="s">
        <v>750</v>
      </c>
      <c r="H289" t="s">
        <v>751</v>
      </c>
      <c r="I289" t="s">
        <v>199</v>
      </c>
      <c r="J289" t="s">
        <v>264</v>
      </c>
      <c r="M289">
        <v>1</v>
      </c>
      <c r="N289">
        <v>1</v>
      </c>
    </row>
    <row r="290" spans="1:14" x14ac:dyDescent="0.45">
      <c r="A290" t="s">
        <v>1438</v>
      </c>
      <c r="B290" t="s">
        <v>1439</v>
      </c>
      <c r="C290" t="s">
        <v>1432</v>
      </c>
      <c r="D290" t="s">
        <v>1433</v>
      </c>
      <c r="E290" t="s">
        <v>262</v>
      </c>
      <c r="F290" t="s">
        <v>263</v>
      </c>
      <c r="G290" t="s">
        <v>750</v>
      </c>
      <c r="H290" t="s">
        <v>751</v>
      </c>
      <c r="I290" t="s">
        <v>199</v>
      </c>
      <c r="J290" t="s">
        <v>264</v>
      </c>
      <c r="M290">
        <v>1</v>
      </c>
      <c r="N290">
        <v>1</v>
      </c>
    </row>
    <row r="291" spans="1:14" x14ac:dyDescent="0.45">
      <c r="A291" t="s">
        <v>1440</v>
      </c>
      <c r="B291" t="s">
        <v>1441</v>
      </c>
      <c r="C291" t="s">
        <v>1432</v>
      </c>
      <c r="D291" t="s">
        <v>1433</v>
      </c>
      <c r="E291" t="s">
        <v>262</v>
      </c>
      <c r="F291" t="s">
        <v>263</v>
      </c>
      <c r="G291" t="s">
        <v>750</v>
      </c>
      <c r="H291" t="s">
        <v>751</v>
      </c>
      <c r="I291" t="s">
        <v>199</v>
      </c>
      <c r="J291" t="s">
        <v>264</v>
      </c>
      <c r="M291">
        <v>1</v>
      </c>
      <c r="N291">
        <v>1</v>
      </c>
    </row>
    <row r="292" spans="1:14" x14ac:dyDescent="0.45">
      <c r="A292" t="s">
        <v>1442</v>
      </c>
      <c r="B292" t="s">
        <v>1443</v>
      </c>
      <c r="C292" t="s">
        <v>1432</v>
      </c>
      <c r="D292" t="s">
        <v>1433</v>
      </c>
      <c r="E292" t="s">
        <v>262</v>
      </c>
      <c r="F292" t="s">
        <v>263</v>
      </c>
      <c r="G292" t="s">
        <v>750</v>
      </c>
      <c r="H292" t="s">
        <v>751</v>
      </c>
      <c r="I292" t="s">
        <v>199</v>
      </c>
      <c r="J292" t="s">
        <v>264</v>
      </c>
      <c r="M292">
        <v>1</v>
      </c>
      <c r="N292">
        <v>1</v>
      </c>
    </row>
    <row r="293" spans="1:14" x14ac:dyDescent="0.45">
      <c r="A293" t="s">
        <v>1444</v>
      </c>
      <c r="B293" t="s">
        <v>1445</v>
      </c>
      <c r="C293" t="s">
        <v>1432</v>
      </c>
      <c r="D293" t="s">
        <v>1433</v>
      </c>
      <c r="E293" t="s">
        <v>262</v>
      </c>
      <c r="F293" t="s">
        <v>263</v>
      </c>
      <c r="G293" t="s">
        <v>750</v>
      </c>
      <c r="H293" t="s">
        <v>751</v>
      </c>
      <c r="I293" t="s">
        <v>199</v>
      </c>
      <c r="J293" t="s">
        <v>264</v>
      </c>
      <c r="M293">
        <v>1</v>
      </c>
      <c r="N293">
        <v>1</v>
      </c>
    </row>
    <row r="294" spans="1:14" x14ac:dyDescent="0.45">
      <c r="A294" t="s">
        <v>1446</v>
      </c>
      <c r="B294" t="s">
        <v>1447</v>
      </c>
      <c r="C294" t="s">
        <v>1432</v>
      </c>
      <c r="D294" t="s">
        <v>1433</v>
      </c>
      <c r="E294" t="s">
        <v>262</v>
      </c>
      <c r="F294" t="s">
        <v>263</v>
      </c>
      <c r="G294" t="s">
        <v>750</v>
      </c>
      <c r="H294" t="s">
        <v>751</v>
      </c>
      <c r="I294" t="s">
        <v>199</v>
      </c>
      <c r="J294" t="s">
        <v>264</v>
      </c>
      <c r="M294">
        <v>1</v>
      </c>
      <c r="N294">
        <v>1</v>
      </c>
    </row>
    <row r="295" spans="1:14" x14ac:dyDescent="0.45">
      <c r="A295" t="s">
        <v>1448</v>
      </c>
      <c r="B295" t="s">
        <v>1449</v>
      </c>
      <c r="C295" t="s">
        <v>1432</v>
      </c>
      <c r="D295" t="s">
        <v>1433</v>
      </c>
      <c r="E295" t="s">
        <v>262</v>
      </c>
      <c r="F295" t="s">
        <v>263</v>
      </c>
      <c r="G295" t="s">
        <v>750</v>
      </c>
      <c r="H295" t="s">
        <v>751</v>
      </c>
      <c r="I295" t="s">
        <v>199</v>
      </c>
      <c r="J295" t="s">
        <v>264</v>
      </c>
      <c r="M295">
        <v>1</v>
      </c>
      <c r="N295">
        <v>1</v>
      </c>
    </row>
    <row r="296" spans="1:14" x14ac:dyDescent="0.45">
      <c r="A296" t="s">
        <v>1450</v>
      </c>
      <c r="B296" t="s">
        <v>1451</v>
      </c>
      <c r="C296" t="s">
        <v>1432</v>
      </c>
      <c r="D296" t="s">
        <v>1433</v>
      </c>
      <c r="E296" t="s">
        <v>262</v>
      </c>
      <c r="F296" t="s">
        <v>263</v>
      </c>
      <c r="G296" t="s">
        <v>750</v>
      </c>
      <c r="H296" t="s">
        <v>751</v>
      </c>
      <c r="I296" t="s">
        <v>199</v>
      </c>
      <c r="J296" t="s">
        <v>264</v>
      </c>
      <c r="M296">
        <v>1</v>
      </c>
      <c r="N296">
        <v>1</v>
      </c>
    </row>
    <row r="297" spans="1:14" x14ac:dyDescent="0.45">
      <c r="A297" t="s">
        <v>1452</v>
      </c>
      <c r="B297" t="s">
        <v>1453</v>
      </c>
      <c r="C297" t="s">
        <v>1432</v>
      </c>
      <c r="D297" t="s">
        <v>1433</v>
      </c>
      <c r="E297" t="s">
        <v>262</v>
      </c>
      <c r="F297" t="s">
        <v>263</v>
      </c>
      <c r="G297" t="s">
        <v>750</v>
      </c>
      <c r="H297" t="s">
        <v>751</v>
      </c>
      <c r="I297" t="s">
        <v>199</v>
      </c>
      <c r="J297" t="s">
        <v>264</v>
      </c>
      <c r="M297">
        <v>1</v>
      </c>
      <c r="N297">
        <v>1</v>
      </c>
    </row>
    <row r="298" spans="1:14" x14ac:dyDescent="0.45">
      <c r="A298" t="s">
        <v>1454</v>
      </c>
      <c r="B298" t="s">
        <v>1455</v>
      </c>
      <c r="C298" t="s">
        <v>1432</v>
      </c>
      <c r="D298" t="s">
        <v>1433</v>
      </c>
      <c r="E298" t="s">
        <v>262</v>
      </c>
      <c r="F298" t="s">
        <v>263</v>
      </c>
      <c r="G298" t="s">
        <v>750</v>
      </c>
      <c r="H298" t="s">
        <v>751</v>
      </c>
      <c r="I298" t="s">
        <v>199</v>
      </c>
      <c r="J298" t="s">
        <v>264</v>
      </c>
      <c r="M298">
        <v>1</v>
      </c>
      <c r="N298">
        <v>1</v>
      </c>
    </row>
    <row r="299" spans="1:14" x14ac:dyDescent="0.45">
      <c r="A299" t="s">
        <v>1456</v>
      </c>
      <c r="B299" t="s">
        <v>1457</v>
      </c>
      <c r="C299" t="s">
        <v>1458</v>
      </c>
      <c r="D299" t="s">
        <v>1459</v>
      </c>
      <c r="E299" t="s">
        <v>265</v>
      </c>
      <c r="F299" t="s">
        <v>266</v>
      </c>
      <c r="G299" t="s">
        <v>750</v>
      </c>
      <c r="H299" t="s">
        <v>751</v>
      </c>
      <c r="I299" t="s">
        <v>199</v>
      </c>
      <c r="J299" t="s">
        <v>267</v>
      </c>
      <c r="M299">
        <v>1</v>
      </c>
      <c r="N299">
        <v>1</v>
      </c>
    </row>
    <row r="300" spans="1:14" x14ac:dyDescent="0.45">
      <c r="A300" t="s">
        <v>1460</v>
      </c>
      <c r="B300" t="s">
        <v>1461</v>
      </c>
      <c r="C300" t="s">
        <v>1458</v>
      </c>
      <c r="D300" t="s">
        <v>1459</v>
      </c>
      <c r="E300" t="s">
        <v>265</v>
      </c>
      <c r="F300" t="s">
        <v>266</v>
      </c>
      <c r="G300" t="s">
        <v>750</v>
      </c>
      <c r="H300" t="s">
        <v>751</v>
      </c>
      <c r="I300" t="s">
        <v>199</v>
      </c>
      <c r="J300" t="s">
        <v>267</v>
      </c>
      <c r="M300">
        <v>1</v>
      </c>
      <c r="N300">
        <v>1</v>
      </c>
    </row>
    <row r="301" spans="1:14" x14ac:dyDescent="0.45">
      <c r="A301" t="s">
        <v>1462</v>
      </c>
      <c r="B301" t="s">
        <v>1463</v>
      </c>
      <c r="C301" t="s">
        <v>1458</v>
      </c>
      <c r="D301" t="s">
        <v>1459</v>
      </c>
      <c r="E301" t="s">
        <v>265</v>
      </c>
      <c r="F301" t="s">
        <v>266</v>
      </c>
      <c r="G301" t="s">
        <v>750</v>
      </c>
      <c r="H301" t="s">
        <v>751</v>
      </c>
      <c r="I301" t="s">
        <v>199</v>
      </c>
      <c r="J301" t="s">
        <v>267</v>
      </c>
      <c r="M301">
        <v>1</v>
      </c>
      <c r="N301">
        <v>1</v>
      </c>
    </row>
    <row r="302" spans="1:14" x14ac:dyDescent="0.45">
      <c r="A302" t="s">
        <v>1464</v>
      </c>
      <c r="B302" t="s">
        <v>1465</v>
      </c>
      <c r="C302" t="s">
        <v>1458</v>
      </c>
      <c r="D302" t="s">
        <v>1459</v>
      </c>
      <c r="E302" t="s">
        <v>265</v>
      </c>
      <c r="F302" t="s">
        <v>266</v>
      </c>
      <c r="G302" t="s">
        <v>750</v>
      </c>
      <c r="H302" t="s">
        <v>751</v>
      </c>
      <c r="I302" t="s">
        <v>199</v>
      </c>
      <c r="J302" t="s">
        <v>267</v>
      </c>
      <c r="M302">
        <v>1</v>
      </c>
      <c r="N302">
        <v>1</v>
      </c>
    </row>
    <row r="303" spans="1:14" x14ac:dyDescent="0.45">
      <c r="A303" t="s">
        <v>1466</v>
      </c>
      <c r="B303" t="s">
        <v>1467</v>
      </c>
      <c r="C303" t="s">
        <v>1458</v>
      </c>
      <c r="D303" t="s">
        <v>1459</v>
      </c>
      <c r="E303" t="s">
        <v>265</v>
      </c>
      <c r="F303" t="s">
        <v>266</v>
      </c>
      <c r="G303" t="s">
        <v>750</v>
      </c>
      <c r="H303" t="s">
        <v>751</v>
      </c>
      <c r="I303" t="s">
        <v>199</v>
      </c>
      <c r="J303" t="s">
        <v>267</v>
      </c>
      <c r="M303">
        <v>1</v>
      </c>
      <c r="N303">
        <v>1</v>
      </c>
    </row>
    <row r="304" spans="1:14" x14ac:dyDescent="0.45">
      <c r="A304" t="s">
        <v>1468</v>
      </c>
      <c r="B304" t="s">
        <v>1469</v>
      </c>
      <c r="C304" t="s">
        <v>1458</v>
      </c>
      <c r="D304" t="s">
        <v>1459</v>
      </c>
      <c r="E304" t="s">
        <v>265</v>
      </c>
      <c r="F304" t="s">
        <v>266</v>
      </c>
      <c r="G304" t="s">
        <v>750</v>
      </c>
      <c r="H304" t="s">
        <v>751</v>
      </c>
      <c r="I304" t="s">
        <v>199</v>
      </c>
      <c r="J304" t="s">
        <v>267</v>
      </c>
      <c r="M304">
        <v>1</v>
      </c>
      <c r="N304">
        <v>1</v>
      </c>
    </row>
    <row r="305" spans="1:14" x14ac:dyDescent="0.45">
      <c r="A305" t="s">
        <v>1050</v>
      </c>
      <c r="B305" t="s">
        <v>1470</v>
      </c>
      <c r="C305" t="s">
        <v>1458</v>
      </c>
      <c r="D305" t="s">
        <v>1459</v>
      </c>
      <c r="E305" t="s">
        <v>265</v>
      </c>
      <c r="F305" t="s">
        <v>266</v>
      </c>
      <c r="G305" t="s">
        <v>750</v>
      </c>
      <c r="H305" t="s">
        <v>751</v>
      </c>
      <c r="I305" t="s">
        <v>199</v>
      </c>
      <c r="J305" t="s">
        <v>267</v>
      </c>
      <c r="M305">
        <v>1</v>
      </c>
      <c r="N305">
        <v>1</v>
      </c>
    </row>
    <row r="306" spans="1:14" x14ac:dyDescent="0.45">
      <c r="A306" t="s">
        <v>1471</v>
      </c>
      <c r="B306" t="s">
        <v>1472</v>
      </c>
      <c r="C306" t="s">
        <v>1458</v>
      </c>
      <c r="D306" t="s">
        <v>1459</v>
      </c>
      <c r="E306" t="s">
        <v>265</v>
      </c>
      <c r="F306" t="s">
        <v>266</v>
      </c>
      <c r="G306" t="s">
        <v>750</v>
      </c>
      <c r="H306" t="s">
        <v>751</v>
      </c>
      <c r="I306" t="s">
        <v>199</v>
      </c>
      <c r="J306" t="s">
        <v>267</v>
      </c>
      <c r="M306">
        <v>1</v>
      </c>
      <c r="N306">
        <v>1</v>
      </c>
    </row>
    <row r="307" spans="1:14" x14ac:dyDescent="0.45">
      <c r="A307" t="s">
        <v>1473</v>
      </c>
      <c r="B307" t="s">
        <v>1474</v>
      </c>
      <c r="C307" t="s">
        <v>1458</v>
      </c>
      <c r="D307" t="s">
        <v>1459</v>
      </c>
      <c r="E307" t="s">
        <v>265</v>
      </c>
      <c r="F307" t="s">
        <v>266</v>
      </c>
      <c r="G307" t="s">
        <v>750</v>
      </c>
      <c r="H307" t="s">
        <v>751</v>
      </c>
      <c r="I307" t="s">
        <v>199</v>
      </c>
      <c r="J307" t="s">
        <v>267</v>
      </c>
      <c r="M307">
        <v>1</v>
      </c>
      <c r="N307">
        <v>1</v>
      </c>
    </row>
    <row r="308" spans="1:14" x14ac:dyDescent="0.45">
      <c r="A308" t="s">
        <v>1475</v>
      </c>
      <c r="B308" t="s">
        <v>1476</v>
      </c>
      <c r="C308" t="s">
        <v>1458</v>
      </c>
      <c r="D308" t="s">
        <v>1459</v>
      </c>
      <c r="E308" t="s">
        <v>265</v>
      </c>
      <c r="F308" t="s">
        <v>266</v>
      </c>
      <c r="G308" t="s">
        <v>750</v>
      </c>
      <c r="H308" t="s">
        <v>751</v>
      </c>
      <c r="I308" t="s">
        <v>199</v>
      </c>
      <c r="J308" t="s">
        <v>267</v>
      </c>
      <c r="M308">
        <v>1</v>
      </c>
      <c r="N308">
        <v>1</v>
      </c>
    </row>
    <row r="309" spans="1:14" x14ac:dyDescent="0.45">
      <c r="A309" t="s">
        <v>1477</v>
      </c>
      <c r="B309" t="s">
        <v>1478</v>
      </c>
      <c r="C309" t="s">
        <v>1479</v>
      </c>
      <c r="D309" t="s">
        <v>1480</v>
      </c>
      <c r="E309" t="s">
        <v>265</v>
      </c>
      <c r="F309" t="s">
        <v>266</v>
      </c>
      <c r="G309" t="s">
        <v>750</v>
      </c>
      <c r="H309" t="s">
        <v>751</v>
      </c>
      <c r="I309" t="s">
        <v>199</v>
      </c>
      <c r="J309" t="s">
        <v>267</v>
      </c>
      <c r="M309">
        <v>1</v>
      </c>
      <c r="N309">
        <v>1</v>
      </c>
    </row>
    <row r="310" spans="1:14" x14ac:dyDescent="0.45">
      <c r="A310" t="s">
        <v>1481</v>
      </c>
      <c r="B310" t="s">
        <v>1482</v>
      </c>
      <c r="C310" t="s">
        <v>1479</v>
      </c>
      <c r="D310" t="s">
        <v>1480</v>
      </c>
      <c r="E310" t="s">
        <v>265</v>
      </c>
      <c r="F310" t="s">
        <v>266</v>
      </c>
      <c r="G310" t="s">
        <v>750</v>
      </c>
      <c r="H310" t="s">
        <v>751</v>
      </c>
      <c r="I310" t="s">
        <v>199</v>
      </c>
      <c r="J310" t="s">
        <v>267</v>
      </c>
      <c r="M310">
        <v>1</v>
      </c>
      <c r="N310">
        <v>1</v>
      </c>
    </row>
    <row r="311" spans="1:14" x14ac:dyDescent="0.45">
      <c r="A311" t="s">
        <v>1483</v>
      </c>
      <c r="B311" t="s">
        <v>1484</v>
      </c>
      <c r="C311" t="s">
        <v>1479</v>
      </c>
      <c r="D311" t="s">
        <v>1480</v>
      </c>
      <c r="E311" t="s">
        <v>265</v>
      </c>
      <c r="F311" t="s">
        <v>266</v>
      </c>
      <c r="G311" t="s">
        <v>750</v>
      </c>
      <c r="H311" t="s">
        <v>751</v>
      </c>
      <c r="I311" t="s">
        <v>199</v>
      </c>
      <c r="J311" t="s">
        <v>267</v>
      </c>
      <c r="M311">
        <v>1</v>
      </c>
      <c r="N311">
        <v>1</v>
      </c>
    </row>
    <row r="312" spans="1:14" x14ac:dyDescent="0.45">
      <c r="A312" t="s">
        <v>1485</v>
      </c>
      <c r="B312" t="s">
        <v>1486</v>
      </c>
      <c r="C312" t="s">
        <v>1479</v>
      </c>
      <c r="D312" t="s">
        <v>1480</v>
      </c>
      <c r="E312" t="s">
        <v>265</v>
      </c>
      <c r="F312" t="s">
        <v>266</v>
      </c>
      <c r="G312" t="s">
        <v>750</v>
      </c>
      <c r="H312" t="s">
        <v>751</v>
      </c>
      <c r="I312" t="s">
        <v>199</v>
      </c>
      <c r="J312" t="s">
        <v>267</v>
      </c>
      <c r="M312">
        <v>1</v>
      </c>
      <c r="N312">
        <v>1</v>
      </c>
    </row>
    <row r="313" spans="1:14" x14ac:dyDescent="0.45">
      <c r="A313" t="s">
        <v>1487</v>
      </c>
      <c r="B313" t="s">
        <v>1488</v>
      </c>
      <c r="C313" t="s">
        <v>1479</v>
      </c>
      <c r="D313" t="s">
        <v>1480</v>
      </c>
      <c r="E313" t="s">
        <v>265</v>
      </c>
      <c r="F313" t="s">
        <v>266</v>
      </c>
      <c r="G313" t="s">
        <v>750</v>
      </c>
      <c r="H313" t="s">
        <v>751</v>
      </c>
      <c r="I313" t="s">
        <v>199</v>
      </c>
      <c r="J313" t="s">
        <v>267</v>
      </c>
      <c r="M313">
        <v>1</v>
      </c>
      <c r="N313">
        <v>1</v>
      </c>
    </row>
    <row r="314" spans="1:14" x14ac:dyDescent="0.45">
      <c r="A314" t="s">
        <v>1489</v>
      </c>
      <c r="B314" t="s">
        <v>1490</v>
      </c>
      <c r="C314" t="s">
        <v>1479</v>
      </c>
      <c r="D314" t="s">
        <v>1480</v>
      </c>
      <c r="E314" t="s">
        <v>265</v>
      </c>
      <c r="F314" t="s">
        <v>266</v>
      </c>
      <c r="G314" t="s">
        <v>750</v>
      </c>
      <c r="H314" t="s">
        <v>751</v>
      </c>
      <c r="I314" t="s">
        <v>199</v>
      </c>
      <c r="J314" t="s">
        <v>267</v>
      </c>
      <c r="M314">
        <v>1</v>
      </c>
      <c r="N314">
        <v>1</v>
      </c>
    </row>
    <row r="315" spans="1:14" x14ac:dyDescent="0.45">
      <c r="A315" t="s">
        <v>1491</v>
      </c>
      <c r="B315" t="s">
        <v>1492</v>
      </c>
      <c r="C315" t="s">
        <v>1479</v>
      </c>
      <c r="D315" t="s">
        <v>1480</v>
      </c>
      <c r="E315" t="s">
        <v>265</v>
      </c>
      <c r="F315" t="s">
        <v>266</v>
      </c>
      <c r="G315" t="s">
        <v>750</v>
      </c>
      <c r="H315" t="s">
        <v>751</v>
      </c>
      <c r="I315" t="s">
        <v>199</v>
      </c>
      <c r="J315" t="s">
        <v>267</v>
      </c>
      <c r="M315">
        <v>1</v>
      </c>
      <c r="N315">
        <v>1</v>
      </c>
    </row>
    <row r="316" spans="1:14" x14ac:dyDescent="0.45">
      <c r="A316" t="s">
        <v>1493</v>
      </c>
      <c r="B316" t="s">
        <v>1494</v>
      </c>
      <c r="C316" t="s">
        <v>1479</v>
      </c>
      <c r="D316" t="s">
        <v>1480</v>
      </c>
      <c r="E316" t="s">
        <v>265</v>
      </c>
      <c r="F316" t="s">
        <v>266</v>
      </c>
      <c r="G316" t="s">
        <v>750</v>
      </c>
      <c r="H316" t="s">
        <v>751</v>
      </c>
      <c r="I316" t="s">
        <v>199</v>
      </c>
      <c r="J316" t="s">
        <v>267</v>
      </c>
      <c r="M316">
        <v>1</v>
      </c>
      <c r="N316">
        <v>1</v>
      </c>
    </row>
    <row r="317" spans="1:14" x14ac:dyDescent="0.45">
      <c r="A317" t="s">
        <v>1495</v>
      </c>
      <c r="B317" t="s">
        <v>1496</v>
      </c>
      <c r="C317" t="s">
        <v>1479</v>
      </c>
      <c r="D317" t="s">
        <v>1480</v>
      </c>
      <c r="E317" t="s">
        <v>265</v>
      </c>
      <c r="F317" t="s">
        <v>266</v>
      </c>
      <c r="G317" t="s">
        <v>750</v>
      </c>
      <c r="H317" t="s">
        <v>751</v>
      </c>
      <c r="I317" t="s">
        <v>199</v>
      </c>
      <c r="J317" t="s">
        <v>267</v>
      </c>
      <c r="M317">
        <v>1</v>
      </c>
      <c r="N317">
        <v>1</v>
      </c>
    </row>
    <row r="318" spans="1:14" x14ac:dyDescent="0.45">
      <c r="A318" t="s">
        <v>1497</v>
      </c>
      <c r="B318" t="s">
        <v>1498</v>
      </c>
      <c r="C318" t="s">
        <v>1479</v>
      </c>
      <c r="D318" t="s">
        <v>1480</v>
      </c>
      <c r="E318" t="s">
        <v>265</v>
      </c>
      <c r="F318" t="s">
        <v>266</v>
      </c>
      <c r="G318" t="s">
        <v>750</v>
      </c>
      <c r="H318" t="s">
        <v>751</v>
      </c>
      <c r="I318" t="s">
        <v>199</v>
      </c>
      <c r="J318" t="s">
        <v>267</v>
      </c>
      <c r="M318">
        <v>1</v>
      </c>
      <c r="N318">
        <v>1</v>
      </c>
    </row>
    <row r="319" spans="1:14" x14ac:dyDescent="0.45">
      <c r="A319" t="s">
        <v>1499</v>
      </c>
      <c r="B319" t="s">
        <v>1500</v>
      </c>
      <c r="C319" t="s">
        <v>1479</v>
      </c>
      <c r="D319" t="s">
        <v>1480</v>
      </c>
      <c r="E319" t="s">
        <v>265</v>
      </c>
      <c r="F319" t="s">
        <v>266</v>
      </c>
      <c r="G319" t="s">
        <v>750</v>
      </c>
      <c r="H319" t="s">
        <v>751</v>
      </c>
      <c r="I319" t="s">
        <v>199</v>
      </c>
      <c r="J319" t="s">
        <v>267</v>
      </c>
      <c r="M319">
        <v>1</v>
      </c>
      <c r="N319">
        <v>1</v>
      </c>
    </row>
    <row r="320" spans="1:14" x14ac:dyDescent="0.45">
      <c r="A320" t="s">
        <v>1501</v>
      </c>
      <c r="B320" t="s">
        <v>1502</v>
      </c>
      <c r="C320" t="s">
        <v>1479</v>
      </c>
      <c r="D320" t="s">
        <v>1480</v>
      </c>
      <c r="E320" t="s">
        <v>265</v>
      </c>
      <c r="F320" t="s">
        <v>266</v>
      </c>
      <c r="G320" t="s">
        <v>750</v>
      </c>
      <c r="H320" t="s">
        <v>751</v>
      </c>
      <c r="I320" t="s">
        <v>199</v>
      </c>
      <c r="J320" t="s">
        <v>267</v>
      </c>
      <c r="M320">
        <v>1</v>
      </c>
      <c r="N320">
        <v>1</v>
      </c>
    </row>
    <row r="321" spans="1:14" x14ac:dyDescent="0.45">
      <c r="A321" t="s">
        <v>1503</v>
      </c>
      <c r="B321" t="s">
        <v>1504</v>
      </c>
      <c r="C321" t="s">
        <v>1479</v>
      </c>
      <c r="D321" t="s">
        <v>1480</v>
      </c>
      <c r="E321" t="s">
        <v>265</v>
      </c>
      <c r="F321" t="s">
        <v>266</v>
      </c>
      <c r="G321" t="s">
        <v>750</v>
      </c>
      <c r="H321" t="s">
        <v>751</v>
      </c>
      <c r="I321" t="s">
        <v>199</v>
      </c>
      <c r="J321" t="s">
        <v>267</v>
      </c>
      <c r="M321">
        <v>1</v>
      </c>
      <c r="N321">
        <v>1</v>
      </c>
    </row>
    <row r="322" spans="1:14" x14ac:dyDescent="0.45">
      <c r="A322" t="s">
        <v>1505</v>
      </c>
      <c r="B322" t="s">
        <v>1506</v>
      </c>
      <c r="C322" t="s">
        <v>1507</v>
      </c>
      <c r="D322" t="s">
        <v>1508</v>
      </c>
      <c r="E322" t="s">
        <v>265</v>
      </c>
      <c r="F322" t="s">
        <v>266</v>
      </c>
      <c r="G322" t="s">
        <v>750</v>
      </c>
      <c r="H322" t="s">
        <v>751</v>
      </c>
      <c r="I322" t="s">
        <v>199</v>
      </c>
      <c r="J322" t="s">
        <v>267</v>
      </c>
      <c r="M322">
        <v>1</v>
      </c>
      <c r="N322">
        <v>1</v>
      </c>
    </row>
    <row r="323" spans="1:14" x14ac:dyDescent="0.45">
      <c r="A323" t="s">
        <v>1509</v>
      </c>
      <c r="B323" t="s">
        <v>1510</v>
      </c>
      <c r="C323" t="s">
        <v>1507</v>
      </c>
      <c r="D323" t="s">
        <v>1508</v>
      </c>
      <c r="E323" t="s">
        <v>265</v>
      </c>
      <c r="F323" t="s">
        <v>266</v>
      </c>
      <c r="G323" t="s">
        <v>750</v>
      </c>
      <c r="H323" t="s">
        <v>751</v>
      </c>
      <c r="I323" t="s">
        <v>199</v>
      </c>
      <c r="J323" t="s">
        <v>267</v>
      </c>
      <c r="M323">
        <v>1</v>
      </c>
      <c r="N323">
        <v>1</v>
      </c>
    </row>
    <row r="324" spans="1:14" x14ac:dyDescent="0.45">
      <c r="A324" t="s">
        <v>1511</v>
      </c>
      <c r="B324" t="s">
        <v>1512</v>
      </c>
      <c r="C324" t="s">
        <v>1507</v>
      </c>
      <c r="D324" t="s">
        <v>1508</v>
      </c>
      <c r="E324" t="s">
        <v>265</v>
      </c>
      <c r="F324" t="s">
        <v>266</v>
      </c>
      <c r="G324" t="s">
        <v>750</v>
      </c>
      <c r="H324" t="s">
        <v>751</v>
      </c>
      <c r="I324" t="s">
        <v>199</v>
      </c>
      <c r="J324" t="s">
        <v>267</v>
      </c>
      <c r="M324">
        <v>1</v>
      </c>
      <c r="N324">
        <v>1</v>
      </c>
    </row>
    <row r="325" spans="1:14" x14ac:dyDescent="0.45">
      <c r="A325" t="s">
        <v>1513</v>
      </c>
      <c r="B325" t="s">
        <v>1514</v>
      </c>
      <c r="C325" t="s">
        <v>1507</v>
      </c>
      <c r="D325" t="s">
        <v>1508</v>
      </c>
      <c r="E325" t="s">
        <v>265</v>
      </c>
      <c r="F325" t="s">
        <v>266</v>
      </c>
      <c r="G325" t="s">
        <v>750</v>
      </c>
      <c r="H325" t="s">
        <v>751</v>
      </c>
      <c r="I325" t="s">
        <v>199</v>
      </c>
      <c r="J325" t="s">
        <v>267</v>
      </c>
      <c r="M325">
        <v>1</v>
      </c>
      <c r="N325">
        <v>1</v>
      </c>
    </row>
    <row r="326" spans="1:14" x14ac:dyDescent="0.45">
      <c r="A326" t="s">
        <v>1515</v>
      </c>
      <c r="B326" t="s">
        <v>1516</v>
      </c>
      <c r="C326" t="s">
        <v>1517</v>
      </c>
      <c r="D326" t="s">
        <v>1518</v>
      </c>
      <c r="E326" t="s">
        <v>265</v>
      </c>
      <c r="F326" t="s">
        <v>266</v>
      </c>
      <c r="G326" t="s">
        <v>750</v>
      </c>
      <c r="H326" t="s">
        <v>751</v>
      </c>
      <c r="I326" t="s">
        <v>199</v>
      </c>
      <c r="J326" t="s">
        <v>267</v>
      </c>
      <c r="M326">
        <v>1</v>
      </c>
      <c r="N326">
        <v>1</v>
      </c>
    </row>
    <row r="327" spans="1:14" x14ac:dyDescent="0.45">
      <c r="A327" t="s">
        <v>1519</v>
      </c>
      <c r="B327" t="s">
        <v>1520</v>
      </c>
      <c r="C327" t="s">
        <v>1517</v>
      </c>
      <c r="D327" t="s">
        <v>1518</v>
      </c>
      <c r="E327" t="s">
        <v>265</v>
      </c>
      <c r="F327" t="s">
        <v>266</v>
      </c>
      <c r="G327" t="s">
        <v>750</v>
      </c>
      <c r="H327" t="s">
        <v>751</v>
      </c>
      <c r="I327" t="s">
        <v>199</v>
      </c>
      <c r="J327" t="s">
        <v>267</v>
      </c>
      <c r="M327">
        <v>1</v>
      </c>
      <c r="N327">
        <v>1</v>
      </c>
    </row>
    <row r="328" spans="1:14" x14ac:dyDescent="0.45">
      <c r="A328" t="s">
        <v>1521</v>
      </c>
      <c r="B328" t="s">
        <v>1522</v>
      </c>
      <c r="C328" t="s">
        <v>1517</v>
      </c>
      <c r="D328" t="s">
        <v>1518</v>
      </c>
      <c r="E328" t="s">
        <v>265</v>
      </c>
      <c r="F328" t="s">
        <v>266</v>
      </c>
      <c r="G328" t="s">
        <v>750</v>
      </c>
      <c r="H328" t="s">
        <v>751</v>
      </c>
      <c r="I328" t="s">
        <v>199</v>
      </c>
      <c r="J328" t="s">
        <v>267</v>
      </c>
      <c r="M328">
        <v>1</v>
      </c>
      <c r="N328">
        <v>1</v>
      </c>
    </row>
    <row r="329" spans="1:14" x14ac:dyDescent="0.45">
      <c r="A329" t="s">
        <v>934</v>
      </c>
      <c r="B329" t="s">
        <v>1523</v>
      </c>
      <c r="C329" t="s">
        <v>1517</v>
      </c>
      <c r="D329" t="s">
        <v>1518</v>
      </c>
      <c r="E329" t="s">
        <v>265</v>
      </c>
      <c r="F329" t="s">
        <v>266</v>
      </c>
      <c r="G329" t="s">
        <v>750</v>
      </c>
      <c r="H329" t="s">
        <v>751</v>
      </c>
      <c r="I329" t="s">
        <v>199</v>
      </c>
      <c r="J329" t="s">
        <v>267</v>
      </c>
      <c r="M329">
        <v>1</v>
      </c>
      <c r="N329">
        <v>1</v>
      </c>
    </row>
    <row r="330" spans="1:14" x14ac:dyDescent="0.45">
      <c r="A330" t="s">
        <v>1524</v>
      </c>
      <c r="B330" t="s">
        <v>1525</v>
      </c>
      <c r="C330" t="s">
        <v>1517</v>
      </c>
      <c r="D330" t="s">
        <v>1518</v>
      </c>
      <c r="E330" t="s">
        <v>265</v>
      </c>
      <c r="F330" t="s">
        <v>266</v>
      </c>
      <c r="G330" t="s">
        <v>750</v>
      </c>
      <c r="H330" t="s">
        <v>751</v>
      </c>
      <c r="I330" t="s">
        <v>199</v>
      </c>
      <c r="J330" t="s">
        <v>267</v>
      </c>
      <c r="M330">
        <v>1</v>
      </c>
      <c r="N330">
        <v>1</v>
      </c>
    </row>
    <row r="331" spans="1:14" x14ac:dyDescent="0.45">
      <c r="A331" t="s">
        <v>1526</v>
      </c>
      <c r="B331" t="s">
        <v>1527</v>
      </c>
      <c r="C331" t="s">
        <v>1517</v>
      </c>
      <c r="D331" t="s">
        <v>1518</v>
      </c>
      <c r="E331" t="s">
        <v>265</v>
      </c>
      <c r="F331" t="s">
        <v>266</v>
      </c>
      <c r="G331" t="s">
        <v>750</v>
      </c>
      <c r="H331" t="s">
        <v>751</v>
      </c>
      <c r="I331" t="s">
        <v>199</v>
      </c>
      <c r="J331" t="s">
        <v>267</v>
      </c>
      <c r="M331">
        <v>1</v>
      </c>
      <c r="N331">
        <v>1</v>
      </c>
    </row>
    <row r="332" spans="1:14" x14ac:dyDescent="0.45">
      <c r="A332" t="s">
        <v>1528</v>
      </c>
      <c r="B332" t="s">
        <v>1529</v>
      </c>
      <c r="C332" t="s">
        <v>1517</v>
      </c>
      <c r="D332" t="s">
        <v>1518</v>
      </c>
      <c r="E332" t="s">
        <v>265</v>
      </c>
      <c r="F332" t="s">
        <v>266</v>
      </c>
      <c r="G332" t="s">
        <v>750</v>
      </c>
      <c r="H332" t="s">
        <v>751</v>
      </c>
      <c r="I332" t="s">
        <v>199</v>
      </c>
      <c r="J332" t="s">
        <v>267</v>
      </c>
      <c r="M332">
        <v>1</v>
      </c>
      <c r="N332">
        <v>1</v>
      </c>
    </row>
    <row r="333" spans="1:14" x14ac:dyDescent="0.45">
      <c r="A333" t="s">
        <v>1530</v>
      </c>
      <c r="B333" t="s">
        <v>1531</v>
      </c>
      <c r="C333" t="s">
        <v>1517</v>
      </c>
      <c r="D333" t="s">
        <v>1518</v>
      </c>
      <c r="E333" t="s">
        <v>265</v>
      </c>
      <c r="F333" t="s">
        <v>266</v>
      </c>
      <c r="G333" t="s">
        <v>750</v>
      </c>
      <c r="H333" t="s">
        <v>751</v>
      </c>
      <c r="I333" t="s">
        <v>199</v>
      </c>
      <c r="J333" t="s">
        <v>267</v>
      </c>
      <c r="M333">
        <v>1</v>
      </c>
      <c r="N333">
        <v>1</v>
      </c>
    </row>
    <row r="334" spans="1:14" x14ac:dyDescent="0.45">
      <c r="A334" t="s">
        <v>1532</v>
      </c>
      <c r="B334" t="s">
        <v>1533</v>
      </c>
      <c r="C334" t="s">
        <v>1517</v>
      </c>
      <c r="D334" t="s">
        <v>1518</v>
      </c>
      <c r="E334" t="s">
        <v>265</v>
      </c>
      <c r="F334" t="s">
        <v>266</v>
      </c>
      <c r="G334" t="s">
        <v>750</v>
      </c>
      <c r="H334" t="s">
        <v>751</v>
      </c>
      <c r="I334" t="s">
        <v>199</v>
      </c>
      <c r="J334" t="s">
        <v>267</v>
      </c>
      <c r="M334">
        <v>1</v>
      </c>
      <c r="N334">
        <v>1</v>
      </c>
    </row>
    <row r="335" spans="1:14" x14ac:dyDescent="0.45">
      <c r="A335" t="s">
        <v>1534</v>
      </c>
      <c r="B335" t="s">
        <v>1535</v>
      </c>
      <c r="C335" t="s">
        <v>1517</v>
      </c>
      <c r="D335" t="s">
        <v>1518</v>
      </c>
      <c r="E335" t="s">
        <v>265</v>
      </c>
      <c r="F335" t="s">
        <v>266</v>
      </c>
      <c r="G335" t="s">
        <v>750</v>
      </c>
      <c r="H335" t="s">
        <v>751</v>
      </c>
      <c r="I335" t="s">
        <v>199</v>
      </c>
      <c r="J335" t="s">
        <v>267</v>
      </c>
      <c r="M335">
        <v>1</v>
      </c>
      <c r="N335">
        <v>1</v>
      </c>
    </row>
    <row r="336" spans="1:14" x14ac:dyDescent="0.45">
      <c r="A336" t="s">
        <v>1536</v>
      </c>
      <c r="B336" t="s">
        <v>1537</v>
      </c>
      <c r="C336" t="s">
        <v>1538</v>
      </c>
      <c r="D336" t="s">
        <v>1539</v>
      </c>
      <c r="E336" t="s">
        <v>265</v>
      </c>
      <c r="F336" t="s">
        <v>266</v>
      </c>
      <c r="G336" t="s">
        <v>750</v>
      </c>
      <c r="H336" t="s">
        <v>751</v>
      </c>
      <c r="I336" t="s">
        <v>199</v>
      </c>
      <c r="J336" t="s">
        <v>267</v>
      </c>
      <c r="M336">
        <v>1</v>
      </c>
      <c r="N336">
        <v>1</v>
      </c>
    </row>
    <row r="337" spans="1:14" x14ac:dyDescent="0.45">
      <c r="A337" t="s">
        <v>1540</v>
      </c>
      <c r="B337" t="s">
        <v>1541</v>
      </c>
      <c r="C337" t="s">
        <v>1538</v>
      </c>
      <c r="D337" t="s">
        <v>1539</v>
      </c>
      <c r="E337" t="s">
        <v>265</v>
      </c>
      <c r="F337" t="s">
        <v>266</v>
      </c>
      <c r="G337" t="s">
        <v>750</v>
      </c>
      <c r="H337" t="s">
        <v>751</v>
      </c>
      <c r="I337" t="s">
        <v>199</v>
      </c>
      <c r="J337" t="s">
        <v>267</v>
      </c>
      <c r="M337">
        <v>1</v>
      </c>
      <c r="N337">
        <v>1</v>
      </c>
    </row>
    <row r="338" spans="1:14" x14ac:dyDescent="0.45">
      <c r="A338" t="s">
        <v>1542</v>
      </c>
      <c r="B338" t="s">
        <v>1543</v>
      </c>
      <c r="C338" t="s">
        <v>1538</v>
      </c>
      <c r="D338" t="s">
        <v>1539</v>
      </c>
      <c r="E338" t="s">
        <v>265</v>
      </c>
      <c r="F338" t="s">
        <v>266</v>
      </c>
      <c r="G338" t="s">
        <v>750</v>
      </c>
      <c r="H338" t="s">
        <v>751</v>
      </c>
      <c r="I338" t="s">
        <v>199</v>
      </c>
      <c r="J338" t="s">
        <v>267</v>
      </c>
      <c r="M338">
        <v>1</v>
      </c>
      <c r="N338">
        <v>1</v>
      </c>
    </row>
    <row r="339" spans="1:14" x14ac:dyDescent="0.45">
      <c r="A339" t="s">
        <v>1544</v>
      </c>
      <c r="B339" t="s">
        <v>1545</v>
      </c>
      <c r="C339" t="s">
        <v>1538</v>
      </c>
      <c r="D339" t="s">
        <v>1539</v>
      </c>
      <c r="E339" t="s">
        <v>265</v>
      </c>
      <c r="F339" t="s">
        <v>266</v>
      </c>
      <c r="G339" t="s">
        <v>750</v>
      </c>
      <c r="H339" t="s">
        <v>751</v>
      </c>
      <c r="I339" t="s">
        <v>199</v>
      </c>
      <c r="J339" t="s">
        <v>267</v>
      </c>
      <c r="M339">
        <v>1</v>
      </c>
      <c r="N339">
        <v>1</v>
      </c>
    </row>
    <row r="340" spans="1:14" x14ac:dyDescent="0.45">
      <c r="A340" t="s">
        <v>1546</v>
      </c>
      <c r="B340" t="s">
        <v>1547</v>
      </c>
      <c r="C340" t="s">
        <v>1538</v>
      </c>
      <c r="D340" t="s">
        <v>1539</v>
      </c>
      <c r="E340" t="s">
        <v>265</v>
      </c>
      <c r="F340" t="s">
        <v>266</v>
      </c>
      <c r="G340" t="s">
        <v>750</v>
      </c>
      <c r="H340" t="s">
        <v>751</v>
      </c>
      <c r="I340" t="s">
        <v>199</v>
      </c>
      <c r="J340" t="s">
        <v>267</v>
      </c>
      <c r="M340">
        <v>1</v>
      </c>
      <c r="N340">
        <v>1</v>
      </c>
    </row>
    <row r="341" spans="1:14" x14ac:dyDescent="0.45">
      <c r="A341" t="s">
        <v>1548</v>
      </c>
      <c r="B341" t="s">
        <v>1549</v>
      </c>
      <c r="C341" t="s">
        <v>1538</v>
      </c>
      <c r="D341" t="s">
        <v>1539</v>
      </c>
      <c r="E341" t="s">
        <v>265</v>
      </c>
      <c r="F341" t="s">
        <v>266</v>
      </c>
      <c r="G341" t="s">
        <v>750</v>
      </c>
      <c r="H341" t="s">
        <v>751</v>
      </c>
      <c r="I341" t="s">
        <v>199</v>
      </c>
      <c r="J341" t="s">
        <v>267</v>
      </c>
      <c r="M341">
        <v>1</v>
      </c>
      <c r="N341">
        <v>1</v>
      </c>
    </row>
    <row r="342" spans="1:14" x14ac:dyDescent="0.45">
      <c r="A342" t="s">
        <v>1550</v>
      </c>
      <c r="B342" t="s">
        <v>1551</v>
      </c>
      <c r="C342" t="s">
        <v>1538</v>
      </c>
      <c r="D342" t="s">
        <v>1539</v>
      </c>
      <c r="E342" t="s">
        <v>265</v>
      </c>
      <c r="F342" t="s">
        <v>266</v>
      </c>
      <c r="G342" t="s">
        <v>750</v>
      </c>
      <c r="H342" t="s">
        <v>751</v>
      </c>
      <c r="I342" t="s">
        <v>199</v>
      </c>
      <c r="J342" t="s">
        <v>267</v>
      </c>
      <c r="M342">
        <v>1</v>
      </c>
      <c r="N342">
        <v>1</v>
      </c>
    </row>
    <row r="343" spans="1:14" x14ac:dyDescent="0.45">
      <c r="A343" t="s">
        <v>1552</v>
      </c>
      <c r="B343" t="s">
        <v>1553</v>
      </c>
      <c r="C343" t="s">
        <v>1538</v>
      </c>
      <c r="D343" t="s">
        <v>1539</v>
      </c>
      <c r="E343" t="s">
        <v>265</v>
      </c>
      <c r="F343" t="s">
        <v>266</v>
      </c>
      <c r="G343" t="s">
        <v>750</v>
      </c>
      <c r="H343" t="s">
        <v>751</v>
      </c>
      <c r="I343" t="s">
        <v>199</v>
      </c>
      <c r="J343" t="s">
        <v>267</v>
      </c>
      <c r="M343">
        <v>1</v>
      </c>
      <c r="N343">
        <v>1</v>
      </c>
    </row>
    <row r="344" spans="1:14" x14ac:dyDescent="0.45">
      <c r="A344" t="s">
        <v>1554</v>
      </c>
      <c r="B344" t="s">
        <v>1555</v>
      </c>
      <c r="C344" t="s">
        <v>1538</v>
      </c>
      <c r="D344" t="s">
        <v>1539</v>
      </c>
      <c r="E344" t="s">
        <v>265</v>
      </c>
      <c r="F344" t="s">
        <v>266</v>
      </c>
      <c r="G344" t="s">
        <v>750</v>
      </c>
      <c r="H344" t="s">
        <v>751</v>
      </c>
      <c r="I344" t="s">
        <v>199</v>
      </c>
      <c r="J344" t="s">
        <v>267</v>
      </c>
      <c r="M344">
        <v>1</v>
      </c>
      <c r="N344">
        <v>1</v>
      </c>
    </row>
    <row r="345" spans="1:14" x14ac:dyDescent="0.45">
      <c r="A345" t="s">
        <v>1556</v>
      </c>
      <c r="B345" t="s">
        <v>1557</v>
      </c>
      <c r="C345" t="s">
        <v>1538</v>
      </c>
      <c r="D345" t="s">
        <v>1539</v>
      </c>
      <c r="E345" t="s">
        <v>265</v>
      </c>
      <c r="F345" t="s">
        <v>266</v>
      </c>
      <c r="G345" t="s">
        <v>750</v>
      </c>
      <c r="H345" t="s">
        <v>751</v>
      </c>
      <c r="I345" t="s">
        <v>199</v>
      </c>
      <c r="J345" t="s">
        <v>267</v>
      </c>
      <c r="M345">
        <v>1</v>
      </c>
      <c r="N345">
        <v>1</v>
      </c>
    </row>
    <row r="346" spans="1:14" x14ac:dyDescent="0.45">
      <c r="A346" t="s">
        <v>1558</v>
      </c>
      <c r="B346" t="s">
        <v>1559</v>
      </c>
      <c r="C346" t="s">
        <v>1538</v>
      </c>
      <c r="D346" t="s">
        <v>1539</v>
      </c>
      <c r="E346" t="s">
        <v>265</v>
      </c>
      <c r="F346" t="s">
        <v>266</v>
      </c>
      <c r="G346" t="s">
        <v>750</v>
      </c>
      <c r="H346" t="s">
        <v>751</v>
      </c>
      <c r="I346" t="s">
        <v>199</v>
      </c>
      <c r="J346" t="s">
        <v>267</v>
      </c>
      <c r="M346">
        <v>1</v>
      </c>
      <c r="N346">
        <v>1</v>
      </c>
    </row>
    <row r="347" spans="1:14" x14ac:dyDescent="0.45">
      <c r="A347" t="s">
        <v>1560</v>
      </c>
      <c r="B347" t="s">
        <v>1561</v>
      </c>
      <c r="C347" t="s">
        <v>1538</v>
      </c>
      <c r="D347" t="s">
        <v>1539</v>
      </c>
      <c r="E347" t="s">
        <v>265</v>
      </c>
      <c r="F347" t="s">
        <v>266</v>
      </c>
      <c r="G347" t="s">
        <v>750</v>
      </c>
      <c r="H347" t="s">
        <v>751</v>
      </c>
      <c r="I347" t="s">
        <v>199</v>
      </c>
      <c r="J347" t="s">
        <v>267</v>
      </c>
      <c r="M347">
        <v>1</v>
      </c>
      <c r="N347">
        <v>1</v>
      </c>
    </row>
    <row r="348" spans="1:14" x14ac:dyDescent="0.45">
      <c r="A348" t="s">
        <v>1562</v>
      </c>
      <c r="B348" t="s">
        <v>1563</v>
      </c>
      <c r="C348" t="s">
        <v>1538</v>
      </c>
      <c r="D348" t="s">
        <v>1539</v>
      </c>
      <c r="E348" t="s">
        <v>265</v>
      </c>
      <c r="F348" t="s">
        <v>266</v>
      </c>
      <c r="G348" t="s">
        <v>750</v>
      </c>
      <c r="H348" t="s">
        <v>751</v>
      </c>
      <c r="I348" t="s">
        <v>199</v>
      </c>
      <c r="J348" t="s">
        <v>267</v>
      </c>
      <c r="M348">
        <v>1</v>
      </c>
      <c r="N348">
        <v>1</v>
      </c>
    </row>
    <row r="349" spans="1:14" x14ac:dyDescent="0.45">
      <c r="A349" t="s">
        <v>1564</v>
      </c>
      <c r="B349" t="s">
        <v>1565</v>
      </c>
      <c r="C349" t="s">
        <v>1538</v>
      </c>
      <c r="D349" t="s">
        <v>1539</v>
      </c>
      <c r="E349" t="s">
        <v>265</v>
      </c>
      <c r="F349" t="s">
        <v>266</v>
      </c>
      <c r="G349" t="s">
        <v>750</v>
      </c>
      <c r="H349" t="s">
        <v>751</v>
      </c>
      <c r="I349" t="s">
        <v>199</v>
      </c>
      <c r="J349" t="s">
        <v>267</v>
      </c>
      <c r="M349">
        <v>1</v>
      </c>
      <c r="N349">
        <v>1</v>
      </c>
    </row>
    <row r="350" spans="1:14" x14ac:dyDescent="0.45">
      <c r="A350" t="s">
        <v>1566</v>
      </c>
      <c r="B350" t="s">
        <v>1567</v>
      </c>
      <c r="C350" t="s">
        <v>1568</v>
      </c>
      <c r="D350" t="s">
        <v>1569</v>
      </c>
      <c r="E350" t="s">
        <v>265</v>
      </c>
      <c r="F350" t="s">
        <v>266</v>
      </c>
      <c r="G350" t="s">
        <v>750</v>
      </c>
      <c r="H350" t="s">
        <v>751</v>
      </c>
      <c r="I350" t="s">
        <v>199</v>
      </c>
      <c r="J350" t="s">
        <v>267</v>
      </c>
      <c r="M350">
        <v>1</v>
      </c>
      <c r="N350">
        <v>1</v>
      </c>
    </row>
    <row r="351" spans="1:14" x14ac:dyDescent="0.45">
      <c r="A351" t="s">
        <v>1570</v>
      </c>
      <c r="B351" t="s">
        <v>1571</v>
      </c>
      <c r="C351" t="s">
        <v>1568</v>
      </c>
      <c r="D351" t="s">
        <v>1569</v>
      </c>
      <c r="E351" t="s">
        <v>265</v>
      </c>
      <c r="F351" t="s">
        <v>266</v>
      </c>
      <c r="G351" t="s">
        <v>750</v>
      </c>
      <c r="H351" t="s">
        <v>751</v>
      </c>
      <c r="I351" t="s">
        <v>199</v>
      </c>
      <c r="J351" t="s">
        <v>267</v>
      </c>
      <c r="M351">
        <v>1</v>
      </c>
      <c r="N351">
        <v>1</v>
      </c>
    </row>
    <row r="352" spans="1:14" x14ac:dyDescent="0.45">
      <c r="A352" t="s">
        <v>1572</v>
      </c>
      <c r="B352" t="s">
        <v>1573</v>
      </c>
      <c r="C352" t="s">
        <v>1568</v>
      </c>
      <c r="D352" t="s">
        <v>1569</v>
      </c>
      <c r="E352" t="s">
        <v>265</v>
      </c>
      <c r="F352" t="s">
        <v>266</v>
      </c>
      <c r="G352" t="s">
        <v>750</v>
      </c>
      <c r="H352" t="s">
        <v>751</v>
      </c>
      <c r="I352" t="s">
        <v>199</v>
      </c>
      <c r="J352" t="s">
        <v>267</v>
      </c>
      <c r="M352">
        <v>1</v>
      </c>
      <c r="N352">
        <v>1</v>
      </c>
    </row>
    <row r="353" spans="1:14" x14ac:dyDescent="0.45">
      <c r="A353" t="s">
        <v>1574</v>
      </c>
      <c r="B353" t="s">
        <v>1575</v>
      </c>
      <c r="C353" t="s">
        <v>1568</v>
      </c>
      <c r="D353" t="s">
        <v>1569</v>
      </c>
      <c r="E353" t="s">
        <v>265</v>
      </c>
      <c r="F353" t="s">
        <v>266</v>
      </c>
      <c r="G353" t="s">
        <v>750</v>
      </c>
      <c r="H353" t="s">
        <v>751</v>
      </c>
      <c r="I353" t="s">
        <v>199</v>
      </c>
      <c r="J353" t="s">
        <v>267</v>
      </c>
      <c r="M353">
        <v>1</v>
      </c>
      <c r="N353">
        <v>1</v>
      </c>
    </row>
    <row r="354" spans="1:14" x14ac:dyDescent="0.45">
      <c r="A354" t="s">
        <v>1576</v>
      </c>
      <c r="B354" t="s">
        <v>1577</v>
      </c>
      <c r="C354" t="s">
        <v>1568</v>
      </c>
      <c r="D354" t="s">
        <v>1569</v>
      </c>
      <c r="E354" t="s">
        <v>265</v>
      </c>
      <c r="F354" t="s">
        <v>266</v>
      </c>
      <c r="G354" t="s">
        <v>750</v>
      </c>
      <c r="H354" t="s">
        <v>751</v>
      </c>
      <c r="I354" t="s">
        <v>199</v>
      </c>
      <c r="J354" t="s">
        <v>267</v>
      </c>
      <c r="M354">
        <v>1</v>
      </c>
      <c r="N354">
        <v>1</v>
      </c>
    </row>
    <row r="355" spans="1:14" x14ac:dyDescent="0.45">
      <c r="A355" t="s">
        <v>1578</v>
      </c>
      <c r="B355" t="s">
        <v>1579</v>
      </c>
      <c r="C355" t="s">
        <v>1568</v>
      </c>
      <c r="D355" t="s">
        <v>1569</v>
      </c>
      <c r="E355" t="s">
        <v>265</v>
      </c>
      <c r="F355" t="s">
        <v>266</v>
      </c>
      <c r="G355" t="s">
        <v>750</v>
      </c>
      <c r="H355" t="s">
        <v>751</v>
      </c>
      <c r="I355" t="s">
        <v>199</v>
      </c>
      <c r="J355" t="s">
        <v>267</v>
      </c>
      <c r="M355">
        <v>1</v>
      </c>
      <c r="N355">
        <v>1</v>
      </c>
    </row>
    <row r="356" spans="1:14" x14ac:dyDescent="0.45">
      <c r="A356" t="s">
        <v>1580</v>
      </c>
      <c r="B356" t="s">
        <v>1581</v>
      </c>
      <c r="C356" t="s">
        <v>1568</v>
      </c>
      <c r="D356" t="s">
        <v>1569</v>
      </c>
      <c r="E356" t="s">
        <v>265</v>
      </c>
      <c r="F356" t="s">
        <v>266</v>
      </c>
      <c r="G356" t="s">
        <v>750</v>
      </c>
      <c r="H356" t="s">
        <v>751</v>
      </c>
      <c r="I356" t="s">
        <v>199</v>
      </c>
      <c r="J356" t="s">
        <v>267</v>
      </c>
      <c r="M356">
        <v>1</v>
      </c>
      <c r="N356">
        <v>1</v>
      </c>
    </row>
    <row r="357" spans="1:14" x14ac:dyDescent="0.45">
      <c r="A357" t="s">
        <v>1582</v>
      </c>
      <c r="B357" t="s">
        <v>1583</v>
      </c>
      <c r="C357" t="s">
        <v>1568</v>
      </c>
      <c r="D357" t="s">
        <v>1569</v>
      </c>
      <c r="E357" t="s">
        <v>265</v>
      </c>
      <c r="F357" t="s">
        <v>266</v>
      </c>
      <c r="G357" t="s">
        <v>750</v>
      </c>
      <c r="H357" t="s">
        <v>751</v>
      </c>
      <c r="I357" t="s">
        <v>199</v>
      </c>
      <c r="J357" t="s">
        <v>267</v>
      </c>
      <c r="M357">
        <v>1</v>
      </c>
      <c r="N357">
        <v>1</v>
      </c>
    </row>
    <row r="358" spans="1:14" x14ac:dyDescent="0.45">
      <c r="A358" t="s">
        <v>1584</v>
      </c>
      <c r="B358" t="s">
        <v>1585</v>
      </c>
      <c r="C358" t="s">
        <v>1568</v>
      </c>
      <c r="D358" t="s">
        <v>1569</v>
      </c>
      <c r="E358" t="s">
        <v>265</v>
      </c>
      <c r="F358" t="s">
        <v>266</v>
      </c>
      <c r="G358" t="s">
        <v>750</v>
      </c>
      <c r="H358" t="s">
        <v>751</v>
      </c>
      <c r="I358" t="s">
        <v>199</v>
      </c>
      <c r="J358" t="s">
        <v>267</v>
      </c>
      <c r="M358">
        <v>1</v>
      </c>
      <c r="N358">
        <v>1</v>
      </c>
    </row>
    <row r="359" spans="1:14" x14ac:dyDescent="0.45">
      <c r="A359" t="s">
        <v>1586</v>
      </c>
      <c r="B359" t="s">
        <v>1587</v>
      </c>
      <c r="C359" t="s">
        <v>1568</v>
      </c>
      <c r="D359" t="s">
        <v>1569</v>
      </c>
      <c r="E359" t="s">
        <v>265</v>
      </c>
      <c r="F359" t="s">
        <v>266</v>
      </c>
      <c r="G359" t="s">
        <v>750</v>
      </c>
      <c r="H359" t="s">
        <v>751</v>
      </c>
      <c r="I359" t="s">
        <v>199</v>
      </c>
      <c r="J359" t="s">
        <v>267</v>
      </c>
      <c r="M359">
        <v>1</v>
      </c>
      <c r="N359">
        <v>1</v>
      </c>
    </row>
    <row r="360" spans="1:14" x14ac:dyDescent="0.45">
      <c r="A360" t="s">
        <v>1588</v>
      </c>
      <c r="B360" t="s">
        <v>1589</v>
      </c>
      <c r="C360" t="s">
        <v>1568</v>
      </c>
      <c r="D360" t="s">
        <v>1569</v>
      </c>
      <c r="E360" t="s">
        <v>265</v>
      </c>
      <c r="F360" t="s">
        <v>266</v>
      </c>
      <c r="G360" t="s">
        <v>750</v>
      </c>
      <c r="H360" t="s">
        <v>751</v>
      </c>
      <c r="I360" t="s">
        <v>199</v>
      </c>
      <c r="J360" t="s">
        <v>267</v>
      </c>
      <c r="M360">
        <v>1</v>
      </c>
      <c r="N360">
        <v>1</v>
      </c>
    </row>
    <row r="361" spans="1:14" x14ac:dyDescent="0.45">
      <c r="A361" t="s">
        <v>1590</v>
      </c>
      <c r="B361" t="s">
        <v>1591</v>
      </c>
      <c r="C361" t="s">
        <v>1568</v>
      </c>
      <c r="D361" t="s">
        <v>1569</v>
      </c>
      <c r="E361" t="s">
        <v>265</v>
      </c>
      <c r="F361" t="s">
        <v>266</v>
      </c>
      <c r="G361" t="s">
        <v>750</v>
      </c>
      <c r="H361" t="s">
        <v>751</v>
      </c>
      <c r="I361" t="s">
        <v>199</v>
      </c>
      <c r="J361" t="s">
        <v>267</v>
      </c>
      <c r="M361">
        <v>1</v>
      </c>
      <c r="N361">
        <v>1</v>
      </c>
    </row>
    <row r="362" spans="1:14" x14ac:dyDescent="0.45">
      <c r="A362" t="s">
        <v>1592</v>
      </c>
      <c r="B362" t="s">
        <v>1593</v>
      </c>
      <c r="C362" t="s">
        <v>1568</v>
      </c>
      <c r="D362" t="s">
        <v>1569</v>
      </c>
      <c r="E362" t="s">
        <v>265</v>
      </c>
      <c r="F362" t="s">
        <v>266</v>
      </c>
      <c r="G362" t="s">
        <v>750</v>
      </c>
      <c r="H362" t="s">
        <v>751</v>
      </c>
      <c r="I362" t="s">
        <v>199</v>
      </c>
      <c r="J362" t="s">
        <v>267</v>
      </c>
      <c r="M362">
        <v>1</v>
      </c>
      <c r="N362">
        <v>1</v>
      </c>
    </row>
    <row r="363" spans="1:14" x14ac:dyDescent="0.45">
      <c r="A363" t="s">
        <v>1632</v>
      </c>
      <c r="B363" t="s">
        <v>1633</v>
      </c>
      <c r="C363" t="s">
        <v>1612</v>
      </c>
      <c r="D363" t="s">
        <v>1613</v>
      </c>
      <c r="E363" t="s">
        <v>268</v>
      </c>
      <c r="F363" t="s">
        <v>269</v>
      </c>
      <c r="G363" t="s">
        <v>750</v>
      </c>
      <c r="H363" t="s">
        <v>252</v>
      </c>
      <c r="I363" t="s">
        <v>193</v>
      </c>
      <c r="J363" t="s">
        <v>270</v>
      </c>
      <c r="K363">
        <v>1</v>
      </c>
      <c r="L363">
        <v>1</v>
      </c>
      <c r="M363">
        <v>1</v>
      </c>
      <c r="N363">
        <v>1</v>
      </c>
    </row>
    <row r="364" spans="1:14" x14ac:dyDescent="0.45">
      <c r="A364" t="s">
        <v>1634</v>
      </c>
      <c r="B364" t="s">
        <v>1635</v>
      </c>
      <c r="C364" t="s">
        <v>1636</v>
      </c>
      <c r="D364" t="s">
        <v>1637</v>
      </c>
      <c r="E364" t="s">
        <v>268</v>
      </c>
      <c r="F364" t="s">
        <v>269</v>
      </c>
      <c r="G364" t="s">
        <v>750</v>
      </c>
      <c r="H364" t="s">
        <v>252</v>
      </c>
      <c r="I364" t="s">
        <v>193</v>
      </c>
      <c r="J364" t="s">
        <v>270</v>
      </c>
      <c r="K364">
        <v>1</v>
      </c>
      <c r="L364">
        <v>1</v>
      </c>
      <c r="M364">
        <v>1</v>
      </c>
      <c r="N364">
        <v>1</v>
      </c>
    </row>
    <row r="365" spans="1:14" x14ac:dyDescent="0.45">
      <c r="A365" t="s">
        <v>1645</v>
      </c>
      <c r="B365" t="s">
        <v>1646</v>
      </c>
      <c r="C365" t="s">
        <v>1636</v>
      </c>
      <c r="D365" t="s">
        <v>1637</v>
      </c>
      <c r="E365" t="s">
        <v>268</v>
      </c>
      <c r="F365" t="s">
        <v>269</v>
      </c>
      <c r="G365" t="s">
        <v>750</v>
      </c>
      <c r="H365" t="s">
        <v>252</v>
      </c>
      <c r="I365" t="s">
        <v>193</v>
      </c>
      <c r="J365" t="s">
        <v>270</v>
      </c>
      <c r="K365">
        <v>1</v>
      </c>
      <c r="L365">
        <v>1</v>
      </c>
      <c r="M365">
        <v>1</v>
      </c>
      <c r="N365">
        <v>1</v>
      </c>
    </row>
    <row r="366" spans="1:14" x14ac:dyDescent="0.45">
      <c r="A366" t="s">
        <v>1647</v>
      </c>
      <c r="B366" t="s">
        <v>1648</v>
      </c>
      <c r="C366" t="s">
        <v>1636</v>
      </c>
      <c r="D366" t="s">
        <v>1637</v>
      </c>
      <c r="E366" t="s">
        <v>268</v>
      </c>
      <c r="F366" t="s">
        <v>269</v>
      </c>
      <c r="G366" t="s">
        <v>750</v>
      </c>
      <c r="H366" t="s">
        <v>252</v>
      </c>
      <c r="I366" t="s">
        <v>193</v>
      </c>
      <c r="J366" t="s">
        <v>270</v>
      </c>
      <c r="K366">
        <v>1</v>
      </c>
      <c r="L366">
        <v>1</v>
      </c>
      <c r="M366">
        <v>1</v>
      </c>
      <c r="N366">
        <v>1</v>
      </c>
    </row>
    <row r="367" spans="1:14" x14ac:dyDescent="0.45">
      <c r="A367" t="s">
        <v>1013</v>
      </c>
      <c r="B367" t="s">
        <v>1656</v>
      </c>
      <c r="C367" t="s">
        <v>1636</v>
      </c>
      <c r="D367" t="s">
        <v>1637</v>
      </c>
      <c r="E367" t="s">
        <v>268</v>
      </c>
      <c r="F367" t="s">
        <v>269</v>
      </c>
      <c r="G367" t="s">
        <v>750</v>
      </c>
      <c r="H367" t="s">
        <v>252</v>
      </c>
      <c r="I367" t="s">
        <v>193</v>
      </c>
      <c r="J367" t="s">
        <v>270</v>
      </c>
      <c r="K367">
        <v>1</v>
      </c>
      <c r="L367">
        <v>1</v>
      </c>
      <c r="M367">
        <v>1</v>
      </c>
      <c r="N367">
        <v>1</v>
      </c>
    </row>
    <row r="368" spans="1:14" x14ac:dyDescent="0.45">
      <c r="A368" t="s">
        <v>1662</v>
      </c>
      <c r="B368" t="s">
        <v>1663</v>
      </c>
      <c r="C368" t="s">
        <v>1636</v>
      </c>
      <c r="D368" t="s">
        <v>1637</v>
      </c>
      <c r="E368" t="s">
        <v>268</v>
      </c>
      <c r="F368" t="s">
        <v>269</v>
      </c>
      <c r="G368" t="s">
        <v>750</v>
      </c>
      <c r="H368" t="s">
        <v>252</v>
      </c>
      <c r="I368" t="s">
        <v>193</v>
      </c>
      <c r="J368" t="s">
        <v>270</v>
      </c>
      <c r="K368">
        <v>1</v>
      </c>
      <c r="L368">
        <v>1</v>
      </c>
      <c r="M368">
        <v>1</v>
      </c>
      <c r="N368">
        <v>1</v>
      </c>
    </row>
    <row r="369" spans="1:14" x14ac:dyDescent="0.45">
      <c r="A369" t="s">
        <v>1701</v>
      </c>
      <c r="B369" t="s">
        <v>1702</v>
      </c>
      <c r="C369" t="s">
        <v>1699</v>
      </c>
      <c r="D369" t="s">
        <v>1700</v>
      </c>
      <c r="E369" t="s">
        <v>268</v>
      </c>
      <c r="F369" t="s">
        <v>269</v>
      </c>
      <c r="G369" t="s">
        <v>750</v>
      </c>
      <c r="H369" t="s">
        <v>252</v>
      </c>
      <c r="I369" t="s">
        <v>193</v>
      </c>
      <c r="J369" t="s">
        <v>270</v>
      </c>
      <c r="K369">
        <v>1</v>
      </c>
      <c r="L369">
        <v>1</v>
      </c>
      <c r="M369">
        <v>1</v>
      </c>
      <c r="N369">
        <v>1</v>
      </c>
    </row>
    <row r="370" spans="1:14" x14ac:dyDescent="0.45">
      <c r="A370" t="s">
        <v>1705</v>
      </c>
      <c r="B370" t="s">
        <v>1706</v>
      </c>
      <c r="C370" t="s">
        <v>1699</v>
      </c>
      <c r="D370" t="s">
        <v>1700</v>
      </c>
      <c r="E370" t="s">
        <v>268</v>
      </c>
      <c r="F370" t="s">
        <v>269</v>
      </c>
      <c r="G370" t="s">
        <v>750</v>
      </c>
      <c r="H370" t="s">
        <v>252</v>
      </c>
      <c r="I370" t="s">
        <v>193</v>
      </c>
      <c r="J370" t="s">
        <v>270</v>
      </c>
      <c r="K370">
        <v>1</v>
      </c>
      <c r="L370">
        <v>1</v>
      </c>
      <c r="M370">
        <v>1</v>
      </c>
      <c r="N370">
        <v>1</v>
      </c>
    </row>
    <row r="371" spans="1:14" x14ac:dyDescent="0.45">
      <c r="A371" t="s">
        <v>1709</v>
      </c>
      <c r="B371" t="s">
        <v>1710</v>
      </c>
      <c r="C371" t="s">
        <v>1699</v>
      </c>
      <c r="D371" t="s">
        <v>1700</v>
      </c>
      <c r="E371" t="s">
        <v>268</v>
      </c>
      <c r="F371" t="s">
        <v>269</v>
      </c>
      <c r="G371" t="s">
        <v>750</v>
      </c>
      <c r="H371" t="s">
        <v>252</v>
      </c>
      <c r="I371" t="s">
        <v>193</v>
      </c>
      <c r="J371" t="s">
        <v>270</v>
      </c>
      <c r="K371">
        <v>1</v>
      </c>
      <c r="L371">
        <v>1</v>
      </c>
      <c r="M371">
        <v>1</v>
      </c>
      <c r="N371">
        <v>1</v>
      </c>
    </row>
    <row r="372" spans="1:14" x14ac:dyDescent="0.45">
      <c r="A372" t="s">
        <v>1711</v>
      </c>
      <c r="B372" t="s">
        <v>1712</v>
      </c>
      <c r="C372" t="s">
        <v>1699</v>
      </c>
      <c r="D372" t="s">
        <v>1700</v>
      </c>
      <c r="E372" t="s">
        <v>268</v>
      </c>
      <c r="F372" t="s">
        <v>269</v>
      </c>
      <c r="G372" t="s">
        <v>750</v>
      </c>
      <c r="H372" t="s">
        <v>252</v>
      </c>
      <c r="I372" t="s">
        <v>193</v>
      </c>
      <c r="J372" t="s">
        <v>270</v>
      </c>
      <c r="K372">
        <v>1</v>
      </c>
      <c r="L372">
        <v>1</v>
      </c>
      <c r="M372">
        <v>1</v>
      </c>
      <c r="N372">
        <v>1</v>
      </c>
    </row>
    <row r="373" spans="1:14" x14ac:dyDescent="0.45">
      <c r="A373" t="s">
        <v>1715</v>
      </c>
      <c r="B373" t="s">
        <v>1716</v>
      </c>
      <c r="C373" t="s">
        <v>1699</v>
      </c>
      <c r="D373" t="s">
        <v>1700</v>
      </c>
      <c r="E373" t="s">
        <v>268</v>
      </c>
      <c r="F373" t="s">
        <v>269</v>
      </c>
      <c r="G373" t="s">
        <v>750</v>
      </c>
      <c r="H373" t="s">
        <v>252</v>
      </c>
      <c r="I373" t="s">
        <v>193</v>
      </c>
      <c r="J373" t="s">
        <v>270</v>
      </c>
      <c r="K373">
        <v>1</v>
      </c>
      <c r="L373">
        <v>1</v>
      </c>
      <c r="M373">
        <v>1</v>
      </c>
      <c r="N373">
        <v>1</v>
      </c>
    </row>
    <row r="374" spans="1:14" x14ac:dyDescent="0.45">
      <c r="A374" t="s">
        <v>1719</v>
      </c>
      <c r="B374" t="s">
        <v>1720</v>
      </c>
      <c r="C374" t="s">
        <v>1699</v>
      </c>
      <c r="D374" t="s">
        <v>1700</v>
      </c>
      <c r="E374" t="s">
        <v>268</v>
      </c>
      <c r="F374" t="s">
        <v>269</v>
      </c>
      <c r="G374" t="s">
        <v>750</v>
      </c>
      <c r="H374" t="s">
        <v>252</v>
      </c>
      <c r="I374" t="s">
        <v>193</v>
      </c>
      <c r="J374" t="s">
        <v>270</v>
      </c>
      <c r="K374">
        <v>1</v>
      </c>
      <c r="L374">
        <v>1</v>
      </c>
      <c r="M374">
        <v>1</v>
      </c>
      <c r="N374">
        <v>1</v>
      </c>
    </row>
    <row r="375" spans="1:14" x14ac:dyDescent="0.45">
      <c r="A375" t="s">
        <v>1638</v>
      </c>
      <c r="B375" t="s">
        <v>1639</v>
      </c>
      <c r="C375" t="s">
        <v>1636</v>
      </c>
      <c r="D375" t="s">
        <v>1637</v>
      </c>
      <c r="E375" t="s">
        <v>268</v>
      </c>
      <c r="F375" t="s">
        <v>269</v>
      </c>
      <c r="G375" t="s">
        <v>750</v>
      </c>
      <c r="H375" t="s">
        <v>1640</v>
      </c>
      <c r="I375" t="s">
        <v>196</v>
      </c>
      <c r="J375" t="s">
        <v>272</v>
      </c>
      <c r="K375">
        <v>1</v>
      </c>
      <c r="M375">
        <v>1</v>
      </c>
      <c r="N375">
        <v>1</v>
      </c>
    </row>
    <row r="376" spans="1:14" x14ac:dyDescent="0.45">
      <c r="A376" t="s">
        <v>1641</v>
      </c>
      <c r="B376" t="s">
        <v>1642</v>
      </c>
      <c r="C376" t="s">
        <v>1636</v>
      </c>
      <c r="D376" t="s">
        <v>1637</v>
      </c>
      <c r="E376" t="s">
        <v>268</v>
      </c>
      <c r="F376" t="s">
        <v>269</v>
      </c>
      <c r="G376" t="s">
        <v>750</v>
      </c>
      <c r="H376" t="s">
        <v>1640</v>
      </c>
      <c r="I376" t="s">
        <v>196</v>
      </c>
      <c r="J376" t="s">
        <v>272</v>
      </c>
      <c r="K376">
        <v>1</v>
      </c>
      <c r="M376">
        <v>1</v>
      </c>
      <c r="N376">
        <v>1</v>
      </c>
    </row>
    <row r="377" spans="1:14" x14ac:dyDescent="0.45">
      <c r="A377" t="s">
        <v>1649</v>
      </c>
      <c r="B377" t="s">
        <v>1650</v>
      </c>
      <c r="C377" t="s">
        <v>1636</v>
      </c>
      <c r="D377" t="s">
        <v>1637</v>
      </c>
      <c r="E377" t="s">
        <v>268</v>
      </c>
      <c r="F377" t="s">
        <v>269</v>
      </c>
      <c r="G377" t="s">
        <v>750</v>
      </c>
      <c r="H377" t="s">
        <v>1640</v>
      </c>
      <c r="I377" t="s">
        <v>196</v>
      </c>
      <c r="J377" t="s">
        <v>272</v>
      </c>
      <c r="K377">
        <v>1</v>
      </c>
      <c r="M377">
        <v>1</v>
      </c>
      <c r="N377">
        <v>1</v>
      </c>
    </row>
    <row r="378" spans="1:14" x14ac:dyDescent="0.45">
      <c r="A378" t="s">
        <v>1628</v>
      </c>
      <c r="B378" t="s">
        <v>1651</v>
      </c>
      <c r="C378" t="s">
        <v>1636</v>
      </c>
      <c r="D378" t="s">
        <v>1637</v>
      </c>
      <c r="E378" t="s">
        <v>268</v>
      </c>
      <c r="F378" t="s">
        <v>269</v>
      </c>
      <c r="G378" t="s">
        <v>750</v>
      </c>
      <c r="H378" t="s">
        <v>1640</v>
      </c>
      <c r="I378" t="s">
        <v>196</v>
      </c>
      <c r="J378" t="s">
        <v>272</v>
      </c>
      <c r="K378">
        <v>1</v>
      </c>
      <c r="M378">
        <v>1</v>
      </c>
      <c r="N378">
        <v>1</v>
      </c>
    </row>
    <row r="379" spans="1:14" x14ac:dyDescent="0.45">
      <c r="A379" t="s">
        <v>1652</v>
      </c>
      <c r="B379" t="s">
        <v>1653</v>
      </c>
      <c r="C379" t="s">
        <v>1636</v>
      </c>
      <c r="D379" t="s">
        <v>1637</v>
      </c>
      <c r="E379" t="s">
        <v>268</v>
      </c>
      <c r="F379" t="s">
        <v>269</v>
      </c>
      <c r="G379" t="s">
        <v>750</v>
      </c>
      <c r="H379" t="s">
        <v>1640</v>
      </c>
      <c r="I379" t="s">
        <v>196</v>
      </c>
      <c r="J379" t="s">
        <v>272</v>
      </c>
      <c r="K379">
        <v>1</v>
      </c>
      <c r="M379">
        <v>1</v>
      </c>
      <c r="N379">
        <v>1</v>
      </c>
    </row>
    <row r="380" spans="1:14" x14ac:dyDescent="0.45">
      <c r="A380" t="s">
        <v>1654</v>
      </c>
      <c r="B380" t="s">
        <v>1655</v>
      </c>
      <c r="C380" t="s">
        <v>1636</v>
      </c>
      <c r="D380" t="s">
        <v>1637</v>
      </c>
      <c r="E380" t="s">
        <v>268</v>
      </c>
      <c r="F380" t="s">
        <v>269</v>
      </c>
      <c r="G380" t="s">
        <v>750</v>
      </c>
      <c r="H380" t="s">
        <v>1640</v>
      </c>
      <c r="I380" t="s">
        <v>196</v>
      </c>
      <c r="J380" t="s">
        <v>272</v>
      </c>
      <c r="K380">
        <v>1</v>
      </c>
      <c r="M380">
        <v>1</v>
      </c>
      <c r="N380">
        <v>1</v>
      </c>
    </row>
    <row r="381" spans="1:14" x14ac:dyDescent="0.45">
      <c r="A381" t="s">
        <v>902</v>
      </c>
      <c r="B381" t="s">
        <v>1657</v>
      </c>
      <c r="C381" t="s">
        <v>1636</v>
      </c>
      <c r="D381" t="s">
        <v>1637</v>
      </c>
      <c r="E381" t="s">
        <v>268</v>
      </c>
      <c r="F381" t="s">
        <v>269</v>
      </c>
      <c r="G381" t="s">
        <v>750</v>
      </c>
      <c r="H381" t="s">
        <v>1640</v>
      </c>
      <c r="I381" t="s">
        <v>196</v>
      </c>
      <c r="J381" t="s">
        <v>272</v>
      </c>
      <c r="K381">
        <v>1</v>
      </c>
      <c r="M381">
        <v>1</v>
      </c>
      <c r="N381">
        <v>1</v>
      </c>
    </row>
    <row r="382" spans="1:14" x14ac:dyDescent="0.45">
      <c r="A382" t="s">
        <v>1660</v>
      </c>
      <c r="B382" t="s">
        <v>1661</v>
      </c>
      <c r="C382" t="s">
        <v>1636</v>
      </c>
      <c r="D382" t="s">
        <v>1637</v>
      </c>
      <c r="E382" t="s">
        <v>268</v>
      </c>
      <c r="F382" t="s">
        <v>269</v>
      </c>
      <c r="G382" t="s">
        <v>750</v>
      </c>
      <c r="H382" t="s">
        <v>1640</v>
      </c>
      <c r="I382" t="s">
        <v>196</v>
      </c>
      <c r="J382" t="s">
        <v>272</v>
      </c>
      <c r="K382">
        <v>1</v>
      </c>
      <c r="M382">
        <v>1</v>
      </c>
      <c r="N382">
        <v>1</v>
      </c>
    </row>
    <row r="383" spans="1:14" x14ac:dyDescent="0.45">
      <c r="A383" t="s">
        <v>1664</v>
      </c>
      <c r="B383" t="s">
        <v>1665</v>
      </c>
      <c r="C383" t="s">
        <v>1636</v>
      </c>
      <c r="D383" t="s">
        <v>1637</v>
      </c>
      <c r="E383" t="s">
        <v>268</v>
      </c>
      <c r="F383" t="s">
        <v>269</v>
      </c>
      <c r="G383" t="s">
        <v>750</v>
      </c>
      <c r="H383" t="s">
        <v>1640</v>
      </c>
      <c r="I383" t="s">
        <v>196</v>
      </c>
      <c r="J383" t="s">
        <v>272</v>
      </c>
      <c r="K383">
        <v>1</v>
      </c>
      <c r="M383">
        <v>1</v>
      </c>
      <c r="N383">
        <v>1</v>
      </c>
    </row>
    <row r="384" spans="1:14" x14ac:dyDescent="0.45">
      <c r="A384" t="s">
        <v>1090</v>
      </c>
      <c r="B384" t="s">
        <v>1666</v>
      </c>
      <c r="C384" t="s">
        <v>1636</v>
      </c>
      <c r="D384" t="s">
        <v>1637</v>
      </c>
      <c r="E384" t="s">
        <v>268</v>
      </c>
      <c r="F384" t="s">
        <v>269</v>
      </c>
      <c r="G384" t="s">
        <v>750</v>
      </c>
      <c r="H384" t="s">
        <v>1640</v>
      </c>
      <c r="I384" t="s">
        <v>196</v>
      </c>
      <c r="J384" t="s">
        <v>272</v>
      </c>
      <c r="K384">
        <v>1</v>
      </c>
      <c r="M384">
        <v>1</v>
      </c>
      <c r="N384">
        <v>1</v>
      </c>
    </row>
    <row r="385" spans="1:14" x14ac:dyDescent="0.45">
      <c r="A385" t="s">
        <v>1658</v>
      </c>
      <c r="B385" t="s">
        <v>1659</v>
      </c>
      <c r="C385" t="s">
        <v>1636</v>
      </c>
      <c r="D385" t="s">
        <v>1637</v>
      </c>
      <c r="E385" t="s">
        <v>268</v>
      </c>
      <c r="F385" t="s">
        <v>269</v>
      </c>
      <c r="G385" t="s">
        <v>750</v>
      </c>
      <c r="H385" t="s">
        <v>1003</v>
      </c>
      <c r="I385" t="s">
        <v>199</v>
      </c>
      <c r="J385" t="s">
        <v>273</v>
      </c>
      <c r="M385">
        <v>1</v>
      </c>
      <c r="N385">
        <v>1</v>
      </c>
    </row>
    <row r="386" spans="1:14" x14ac:dyDescent="0.45">
      <c r="A386" t="s">
        <v>268</v>
      </c>
      <c r="B386" t="s">
        <v>1643</v>
      </c>
      <c r="C386" t="s">
        <v>1636</v>
      </c>
      <c r="D386" t="s">
        <v>1637</v>
      </c>
      <c r="E386" t="s">
        <v>268</v>
      </c>
      <c r="F386" t="s">
        <v>269</v>
      </c>
      <c r="G386" t="s">
        <v>750</v>
      </c>
      <c r="H386" t="s">
        <v>1644</v>
      </c>
      <c r="I386" t="s">
        <v>196</v>
      </c>
      <c r="J386" t="s">
        <v>275</v>
      </c>
      <c r="K386">
        <v>1</v>
      </c>
      <c r="M386">
        <v>1</v>
      </c>
      <c r="N386">
        <v>1</v>
      </c>
    </row>
    <row r="387" spans="1:14" x14ac:dyDescent="0.45">
      <c r="A387" t="s">
        <v>1729</v>
      </c>
      <c r="B387" t="s">
        <v>1730</v>
      </c>
      <c r="C387" t="s">
        <v>1731</v>
      </c>
      <c r="D387" t="s">
        <v>1732</v>
      </c>
      <c r="E387" t="s">
        <v>276</v>
      </c>
      <c r="F387" t="s">
        <v>277</v>
      </c>
      <c r="G387" t="s">
        <v>750</v>
      </c>
      <c r="H387" t="s">
        <v>751</v>
      </c>
      <c r="I387" t="s">
        <v>199</v>
      </c>
      <c r="J387" t="s">
        <v>278</v>
      </c>
      <c r="M387">
        <v>1</v>
      </c>
      <c r="N387">
        <v>1</v>
      </c>
    </row>
    <row r="388" spans="1:14" x14ac:dyDescent="0.45">
      <c r="A388" t="s">
        <v>1733</v>
      </c>
      <c r="B388" t="s">
        <v>1734</v>
      </c>
      <c r="C388" t="s">
        <v>1731</v>
      </c>
      <c r="D388" t="s">
        <v>1732</v>
      </c>
      <c r="E388" t="s">
        <v>276</v>
      </c>
      <c r="F388" t="s">
        <v>277</v>
      </c>
      <c r="G388" t="s">
        <v>750</v>
      </c>
      <c r="H388" t="s">
        <v>751</v>
      </c>
      <c r="I388" t="s">
        <v>199</v>
      </c>
      <c r="J388" t="s">
        <v>278</v>
      </c>
      <c r="M388">
        <v>1</v>
      </c>
      <c r="N388">
        <v>1</v>
      </c>
    </row>
    <row r="389" spans="1:14" x14ac:dyDescent="0.45">
      <c r="A389" t="s">
        <v>1735</v>
      </c>
      <c r="B389" t="s">
        <v>1736</v>
      </c>
      <c r="C389" t="s">
        <v>1731</v>
      </c>
      <c r="D389" t="s">
        <v>1732</v>
      </c>
      <c r="E389" t="s">
        <v>276</v>
      </c>
      <c r="F389" t="s">
        <v>277</v>
      </c>
      <c r="G389" t="s">
        <v>750</v>
      </c>
      <c r="H389" t="s">
        <v>751</v>
      </c>
      <c r="I389" t="s">
        <v>199</v>
      </c>
      <c r="J389" t="s">
        <v>278</v>
      </c>
      <c r="M389">
        <v>1</v>
      </c>
      <c r="N389">
        <v>1</v>
      </c>
    </row>
    <row r="390" spans="1:14" x14ac:dyDescent="0.45">
      <c r="A390" t="s">
        <v>1737</v>
      </c>
      <c r="B390" t="s">
        <v>1738</v>
      </c>
      <c r="C390" t="s">
        <v>1739</v>
      </c>
      <c r="D390" t="s">
        <v>1740</v>
      </c>
      <c r="E390" t="s">
        <v>276</v>
      </c>
      <c r="F390" t="s">
        <v>277</v>
      </c>
      <c r="G390" t="s">
        <v>750</v>
      </c>
      <c r="H390" t="s">
        <v>751</v>
      </c>
      <c r="I390" t="s">
        <v>199</v>
      </c>
      <c r="J390" t="s">
        <v>278</v>
      </c>
      <c r="M390">
        <v>1</v>
      </c>
      <c r="N390">
        <v>1</v>
      </c>
    </row>
    <row r="391" spans="1:14" x14ac:dyDescent="0.45">
      <c r="A391" t="s">
        <v>1741</v>
      </c>
      <c r="B391" t="s">
        <v>1742</v>
      </c>
      <c r="C391" t="s">
        <v>1739</v>
      </c>
      <c r="D391" t="s">
        <v>1740</v>
      </c>
      <c r="E391" t="s">
        <v>276</v>
      </c>
      <c r="F391" t="s">
        <v>277</v>
      </c>
      <c r="G391" t="s">
        <v>750</v>
      </c>
      <c r="H391" t="s">
        <v>751</v>
      </c>
      <c r="I391" t="s">
        <v>199</v>
      </c>
      <c r="J391" t="s">
        <v>278</v>
      </c>
      <c r="M391">
        <v>1</v>
      </c>
      <c r="N391">
        <v>1</v>
      </c>
    </row>
    <row r="392" spans="1:14" x14ac:dyDescent="0.45">
      <c r="A392" t="s">
        <v>1743</v>
      </c>
      <c r="B392" t="s">
        <v>1744</v>
      </c>
      <c r="C392" t="s">
        <v>1739</v>
      </c>
      <c r="D392" t="s">
        <v>1740</v>
      </c>
      <c r="E392" t="s">
        <v>276</v>
      </c>
      <c r="F392" t="s">
        <v>277</v>
      </c>
      <c r="G392" t="s">
        <v>750</v>
      </c>
      <c r="H392" t="s">
        <v>751</v>
      </c>
      <c r="I392" t="s">
        <v>199</v>
      </c>
      <c r="J392" t="s">
        <v>278</v>
      </c>
      <c r="M392">
        <v>1</v>
      </c>
      <c r="N392">
        <v>1</v>
      </c>
    </row>
    <row r="393" spans="1:14" x14ac:dyDescent="0.45">
      <c r="A393" t="s">
        <v>1745</v>
      </c>
      <c r="B393" t="s">
        <v>1746</v>
      </c>
      <c r="C393" t="s">
        <v>1739</v>
      </c>
      <c r="D393" t="s">
        <v>1740</v>
      </c>
      <c r="E393" t="s">
        <v>276</v>
      </c>
      <c r="F393" t="s">
        <v>277</v>
      </c>
      <c r="G393" t="s">
        <v>750</v>
      </c>
      <c r="H393" t="s">
        <v>751</v>
      </c>
      <c r="I393" t="s">
        <v>199</v>
      </c>
      <c r="J393" t="s">
        <v>278</v>
      </c>
      <c r="M393">
        <v>1</v>
      </c>
      <c r="N393">
        <v>1</v>
      </c>
    </row>
    <row r="394" spans="1:14" x14ac:dyDescent="0.45">
      <c r="A394" t="s">
        <v>1747</v>
      </c>
      <c r="B394" t="s">
        <v>1748</v>
      </c>
      <c r="C394" t="s">
        <v>1739</v>
      </c>
      <c r="D394" t="s">
        <v>1740</v>
      </c>
      <c r="E394" t="s">
        <v>276</v>
      </c>
      <c r="F394" t="s">
        <v>277</v>
      </c>
      <c r="G394" t="s">
        <v>750</v>
      </c>
      <c r="H394" t="s">
        <v>751</v>
      </c>
      <c r="I394" t="s">
        <v>199</v>
      </c>
      <c r="J394" t="s">
        <v>278</v>
      </c>
      <c r="M394">
        <v>1</v>
      </c>
      <c r="N394">
        <v>1</v>
      </c>
    </row>
    <row r="395" spans="1:14" x14ac:dyDescent="0.45">
      <c r="A395" t="s">
        <v>1749</v>
      </c>
      <c r="B395" t="s">
        <v>1750</v>
      </c>
      <c r="C395" t="s">
        <v>1739</v>
      </c>
      <c r="D395" t="s">
        <v>1740</v>
      </c>
      <c r="E395" t="s">
        <v>276</v>
      </c>
      <c r="F395" t="s">
        <v>277</v>
      </c>
      <c r="G395" t="s">
        <v>750</v>
      </c>
      <c r="H395" t="s">
        <v>751</v>
      </c>
      <c r="I395" t="s">
        <v>199</v>
      </c>
      <c r="J395" t="s">
        <v>278</v>
      </c>
      <c r="M395">
        <v>1</v>
      </c>
      <c r="N395">
        <v>1</v>
      </c>
    </row>
    <row r="396" spans="1:14" x14ac:dyDescent="0.45">
      <c r="A396" t="s">
        <v>1751</v>
      </c>
      <c r="B396" t="s">
        <v>1752</v>
      </c>
      <c r="C396" t="s">
        <v>1739</v>
      </c>
      <c r="D396" t="s">
        <v>1740</v>
      </c>
      <c r="E396" t="s">
        <v>276</v>
      </c>
      <c r="F396" t="s">
        <v>277</v>
      </c>
      <c r="G396" t="s">
        <v>750</v>
      </c>
      <c r="H396" t="s">
        <v>751</v>
      </c>
      <c r="I396" t="s">
        <v>199</v>
      </c>
      <c r="J396" t="s">
        <v>278</v>
      </c>
      <c r="M396">
        <v>1</v>
      </c>
      <c r="N396">
        <v>1</v>
      </c>
    </row>
    <row r="397" spans="1:14" x14ac:dyDescent="0.45">
      <c r="A397" t="s">
        <v>1753</v>
      </c>
      <c r="B397" t="s">
        <v>1754</v>
      </c>
      <c r="C397" t="s">
        <v>1739</v>
      </c>
      <c r="D397" t="s">
        <v>1740</v>
      </c>
      <c r="E397" t="s">
        <v>276</v>
      </c>
      <c r="F397" t="s">
        <v>277</v>
      </c>
      <c r="G397" t="s">
        <v>750</v>
      </c>
      <c r="H397" t="s">
        <v>751</v>
      </c>
      <c r="I397" t="s">
        <v>199</v>
      </c>
      <c r="J397" t="s">
        <v>278</v>
      </c>
      <c r="M397">
        <v>1</v>
      </c>
      <c r="N397">
        <v>1</v>
      </c>
    </row>
    <row r="398" spans="1:14" x14ac:dyDescent="0.45">
      <c r="A398" t="s">
        <v>1755</v>
      </c>
      <c r="B398" t="s">
        <v>1756</v>
      </c>
      <c r="C398" t="s">
        <v>1739</v>
      </c>
      <c r="D398" t="s">
        <v>1740</v>
      </c>
      <c r="E398" t="s">
        <v>276</v>
      </c>
      <c r="F398" t="s">
        <v>277</v>
      </c>
      <c r="G398" t="s">
        <v>750</v>
      </c>
      <c r="H398" t="s">
        <v>751</v>
      </c>
      <c r="I398" t="s">
        <v>199</v>
      </c>
      <c r="J398" t="s">
        <v>278</v>
      </c>
      <c r="M398">
        <v>1</v>
      </c>
      <c r="N398">
        <v>1</v>
      </c>
    </row>
    <row r="399" spans="1:14" x14ac:dyDescent="0.45">
      <c r="A399" t="s">
        <v>276</v>
      </c>
      <c r="B399" t="s">
        <v>1757</v>
      </c>
      <c r="C399" t="s">
        <v>1739</v>
      </c>
      <c r="D399" t="s">
        <v>1740</v>
      </c>
      <c r="E399" t="s">
        <v>276</v>
      </c>
      <c r="F399" t="s">
        <v>277</v>
      </c>
      <c r="G399" t="s">
        <v>750</v>
      </c>
      <c r="H399" t="s">
        <v>751</v>
      </c>
      <c r="I399" t="s">
        <v>199</v>
      </c>
      <c r="J399" t="s">
        <v>278</v>
      </c>
      <c r="M399">
        <v>1</v>
      </c>
      <c r="N399">
        <v>1</v>
      </c>
    </row>
    <row r="400" spans="1:14" x14ac:dyDescent="0.45">
      <c r="A400" t="s">
        <v>1758</v>
      </c>
      <c r="B400" t="s">
        <v>1759</v>
      </c>
      <c r="C400" t="s">
        <v>1739</v>
      </c>
      <c r="D400" t="s">
        <v>1740</v>
      </c>
      <c r="E400" t="s">
        <v>276</v>
      </c>
      <c r="F400" t="s">
        <v>277</v>
      </c>
      <c r="G400" t="s">
        <v>750</v>
      </c>
      <c r="H400" t="s">
        <v>751</v>
      </c>
      <c r="I400" t="s">
        <v>199</v>
      </c>
      <c r="J400" t="s">
        <v>278</v>
      </c>
      <c r="M400">
        <v>1</v>
      </c>
      <c r="N400">
        <v>1</v>
      </c>
    </row>
    <row r="401" spans="1:14" x14ac:dyDescent="0.45">
      <c r="A401" t="s">
        <v>1760</v>
      </c>
      <c r="B401" t="s">
        <v>1761</v>
      </c>
      <c r="C401" t="s">
        <v>1739</v>
      </c>
      <c r="D401" t="s">
        <v>1740</v>
      </c>
      <c r="E401" t="s">
        <v>276</v>
      </c>
      <c r="F401" t="s">
        <v>277</v>
      </c>
      <c r="G401" t="s">
        <v>750</v>
      </c>
      <c r="H401" t="s">
        <v>751</v>
      </c>
      <c r="I401" t="s">
        <v>199</v>
      </c>
      <c r="J401" t="s">
        <v>278</v>
      </c>
      <c r="M401">
        <v>1</v>
      </c>
      <c r="N401">
        <v>1</v>
      </c>
    </row>
    <row r="402" spans="1:14" x14ac:dyDescent="0.45">
      <c r="A402" t="s">
        <v>1762</v>
      </c>
      <c r="B402" t="s">
        <v>1763</v>
      </c>
      <c r="C402" t="s">
        <v>1739</v>
      </c>
      <c r="D402" t="s">
        <v>1740</v>
      </c>
      <c r="E402" t="s">
        <v>276</v>
      </c>
      <c r="F402" t="s">
        <v>277</v>
      </c>
      <c r="G402" t="s">
        <v>750</v>
      </c>
      <c r="H402" t="s">
        <v>751</v>
      </c>
      <c r="I402" t="s">
        <v>199</v>
      </c>
      <c r="J402" t="s">
        <v>278</v>
      </c>
      <c r="M402">
        <v>1</v>
      </c>
      <c r="N402">
        <v>1</v>
      </c>
    </row>
    <row r="403" spans="1:14" x14ac:dyDescent="0.45">
      <c r="A403" t="s">
        <v>1764</v>
      </c>
      <c r="B403" t="s">
        <v>1765</v>
      </c>
      <c r="C403" t="s">
        <v>1739</v>
      </c>
      <c r="D403" t="s">
        <v>1740</v>
      </c>
      <c r="E403" t="s">
        <v>276</v>
      </c>
      <c r="F403" t="s">
        <v>277</v>
      </c>
      <c r="G403" t="s">
        <v>750</v>
      </c>
      <c r="H403" t="s">
        <v>751</v>
      </c>
      <c r="I403" t="s">
        <v>199</v>
      </c>
      <c r="J403" t="s">
        <v>278</v>
      </c>
      <c r="M403">
        <v>1</v>
      </c>
      <c r="N403">
        <v>1</v>
      </c>
    </row>
    <row r="404" spans="1:14" x14ac:dyDescent="0.45">
      <c r="A404" t="s">
        <v>1526</v>
      </c>
      <c r="B404" t="s">
        <v>1766</v>
      </c>
      <c r="C404" t="s">
        <v>1739</v>
      </c>
      <c r="D404" t="s">
        <v>1740</v>
      </c>
      <c r="E404" t="s">
        <v>276</v>
      </c>
      <c r="F404" t="s">
        <v>277</v>
      </c>
      <c r="G404" t="s">
        <v>750</v>
      </c>
      <c r="H404" t="s">
        <v>751</v>
      </c>
      <c r="I404" t="s">
        <v>199</v>
      </c>
      <c r="J404" t="s">
        <v>278</v>
      </c>
      <c r="M404">
        <v>1</v>
      </c>
      <c r="N404">
        <v>1</v>
      </c>
    </row>
    <row r="405" spans="1:14" x14ac:dyDescent="0.45">
      <c r="A405" t="s">
        <v>1767</v>
      </c>
      <c r="B405" t="s">
        <v>1768</v>
      </c>
      <c r="C405" t="s">
        <v>1739</v>
      </c>
      <c r="D405" t="s">
        <v>1740</v>
      </c>
      <c r="E405" t="s">
        <v>276</v>
      </c>
      <c r="F405" t="s">
        <v>277</v>
      </c>
      <c r="G405" t="s">
        <v>750</v>
      </c>
      <c r="H405" t="s">
        <v>751</v>
      </c>
      <c r="I405" t="s">
        <v>199</v>
      </c>
      <c r="J405" t="s">
        <v>278</v>
      </c>
      <c r="M405">
        <v>1</v>
      </c>
      <c r="N405">
        <v>1</v>
      </c>
    </row>
    <row r="406" spans="1:14" x14ac:dyDescent="0.45">
      <c r="A406" t="s">
        <v>1769</v>
      </c>
      <c r="B406" t="s">
        <v>1770</v>
      </c>
      <c r="C406" t="s">
        <v>1739</v>
      </c>
      <c r="D406" t="s">
        <v>1740</v>
      </c>
      <c r="E406" t="s">
        <v>276</v>
      </c>
      <c r="F406" t="s">
        <v>277</v>
      </c>
      <c r="G406" t="s">
        <v>750</v>
      </c>
      <c r="H406" t="s">
        <v>751</v>
      </c>
      <c r="I406" t="s">
        <v>199</v>
      </c>
      <c r="J406" t="s">
        <v>278</v>
      </c>
      <c r="M406">
        <v>1</v>
      </c>
      <c r="N406">
        <v>1</v>
      </c>
    </row>
    <row r="407" spans="1:14" x14ac:dyDescent="0.45">
      <c r="A407" t="s">
        <v>1771</v>
      </c>
      <c r="B407" t="s">
        <v>1772</v>
      </c>
      <c r="C407" t="s">
        <v>1739</v>
      </c>
      <c r="D407" t="s">
        <v>1740</v>
      </c>
      <c r="E407" t="s">
        <v>276</v>
      </c>
      <c r="F407" t="s">
        <v>277</v>
      </c>
      <c r="G407" t="s">
        <v>750</v>
      </c>
      <c r="H407" t="s">
        <v>751</v>
      </c>
      <c r="I407" t="s">
        <v>199</v>
      </c>
      <c r="J407" t="s">
        <v>278</v>
      </c>
      <c r="M407">
        <v>1</v>
      </c>
      <c r="N407">
        <v>1</v>
      </c>
    </row>
    <row r="408" spans="1:14" x14ac:dyDescent="0.45">
      <c r="A408" t="s">
        <v>1773</v>
      </c>
      <c r="B408" t="s">
        <v>1774</v>
      </c>
      <c r="C408" t="s">
        <v>1739</v>
      </c>
      <c r="D408" t="s">
        <v>1740</v>
      </c>
      <c r="E408" t="s">
        <v>276</v>
      </c>
      <c r="F408" t="s">
        <v>277</v>
      </c>
      <c r="G408" t="s">
        <v>750</v>
      </c>
      <c r="H408" t="s">
        <v>751</v>
      </c>
      <c r="I408" t="s">
        <v>199</v>
      </c>
      <c r="J408" t="s">
        <v>278</v>
      </c>
      <c r="M408">
        <v>1</v>
      </c>
      <c r="N408">
        <v>1</v>
      </c>
    </row>
    <row r="409" spans="1:14" x14ac:dyDescent="0.45">
      <c r="A409" t="s">
        <v>1775</v>
      </c>
      <c r="B409" t="s">
        <v>1776</v>
      </c>
      <c r="C409" t="s">
        <v>1739</v>
      </c>
      <c r="D409" t="s">
        <v>1740</v>
      </c>
      <c r="E409" t="s">
        <v>276</v>
      </c>
      <c r="F409" t="s">
        <v>277</v>
      </c>
      <c r="G409" t="s">
        <v>750</v>
      </c>
      <c r="H409" t="s">
        <v>751</v>
      </c>
      <c r="I409" t="s">
        <v>199</v>
      </c>
      <c r="J409" t="s">
        <v>278</v>
      </c>
      <c r="M409">
        <v>1</v>
      </c>
      <c r="N409">
        <v>1</v>
      </c>
    </row>
    <row r="410" spans="1:14" x14ac:dyDescent="0.45">
      <c r="A410" t="s">
        <v>1777</v>
      </c>
      <c r="B410" t="s">
        <v>1778</v>
      </c>
      <c r="C410" t="s">
        <v>1779</v>
      </c>
      <c r="D410" t="s">
        <v>1780</v>
      </c>
      <c r="E410" t="s">
        <v>276</v>
      </c>
      <c r="F410" t="s">
        <v>277</v>
      </c>
      <c r="G410" t="s">
        <v>750</v>
      </c>
      <c r="H410" t="s">
        <v>751</v>
      </c>
      <c r="I410" t="s">
        <v>199</v>
      </c>
      <c r="J410" t="s">
        <v>278</v>
      </c>
      <c r="M410">
        <v>1</v>
      </c>
      <c r="N410">
        <v>1</v>
      </c>
    </row>
    <row r="411" spans="1:14" x14ac:dyDescent="0.45">
      <c r="A411" t="s">
        <v>1781</v>
      </c>
      <c r="B411" t="s">
        <v>1782</v>
      </c>
      <c r="C411" t="s">
        <v>1779</v>
      </c>
      <c r="D411" t="s">
        <v>1780</v>
      </c>
      <c r="E411" t="s">
        <v>276</v>
      </c>
      <c r="F411" t="s">
        <v>277</v>
      </c>
      <c r="G411" t="s">
        <v>750</v>
      </c>
      <c r="H411" t="s">
        <v>751</v>
      </c>
      <c r="I411" t="s">
        <v>199</v>
      </c>
      <c r="J411" t="s">
        <v>278</v>
      </c>
      <c r="M411">
        <v>1</v>
      </c>
      <c r="N411">
        <v>1</v>
      </c>
    </row>
    <row r="412" spans="1:14" x14ac:dyDescent="0.45">
      <c r="A412" t="s">
        <v>1783</v>
      </c>
      <c r="B412" t="s">
        <v>1784</v>
      </c>
      <c r="C412" t="s">
        <v>1779</v>
      </c>
      <c r="D412" t="s">
        <v>1780</v>
      </c>
      <c r="E412" t="s">
        <v>276</v>
      </c>
      <c r="F412" t="s">
        <v>277</v>
      </c>
      <c r="G412" t="s">
        <v>750</v>
      </c>
      <c r="H412" t="s">
        <v>751</v>
      </c>
      <c r="I412" t="s">
        <v>199</v>
      </c>
      <c r="J412" t="s">
        <v>278</v>
      </c>
      <c r="M412">
        <v>1</v>
      </c>
      <c r="N412">
        <v>1</v>
      </c>
    </row>
    <row r="413" spans="1:14" x14ac:dyDescent="0.45">
      <c r="A413" t="s">
        <v>1785</v>
      </c>
      <c r="B413" t="s">
        <v>1786</v>
      </c>
      <c r="C413" t="s">
        <v>1779</v>
      </c>
      <c r="D413" t="s">
        <v>1780</v>
      </c>
      <c r="E413" t="s">
        <v>276</v>
      </c>
      <c r="F413" t="s">
        <v>277</v>
      </c>
      <c r="G413" t="s">
        <v>750</v>
      </c>
      <c r="H413" t="s">
        <v>751</v>
      </c>
      <c r="I413" t="s">
        <v>199</v>
      </c>
      <c r="J413" t="s">
        <v>278</v>
      </c>
      <c r="M413">
        <v>1</v>
      </c>
      <c r="N413">
        <v>1</v>
      </c>
    </row>
    <row r="414" spans="1:14" x14ac:dyDescent="0.45">
      <c r="A414" t="s">
        <v>1787</v>
      </c>
      <c r="B414" t="s">
        <v>1788</v>
      </c>
      <c r="C414" t="s">
        <v>1779</v>
      </c>
      <c r="D414" t="s">
        <v>1780</v>
      </c>
      <c r="E414" t="s">
        <v>276</v>
      </c>
      <c r="F414" t="s">
        <v>277</v>
      </c>
      <c r="G414" t="s">
        <v>750</v>
      </c>
      <c r="H414" t="s">
        <v>751</v>
      </c>
      <c r="I414" t="s">
        <v>199</v>
      </c>
      <c r="J414" t="s">
        <v>278</v>
      </c>
      <c r="M414">
        <v>1</v>
      </c>
      <c r="N414">
        <v>1</v>
      </c>
    </row>
    <row r="415" spans="1:14" x14ac:dyDescent="0.45">
      <c r="A415" t="s">
        <v>1789</v>
      </c>
      <c r="B415" t="s">
        <v>1790</v>
      </c>
      <c r="C415" t="s">
        <v>1779</v>
      </c>
      <c r="D415" t="s">
        <v>1780</v>
      </c>
      <c r="E415" t="s">
        <v>276</v>
      </c>
      <c r="F415" t="s">
        <v>277</v>
      </c>
      <c r="G415" t="s">
        <v>750</v>
      </c>
      <c r="H415" t="s">
        <v>751</v>
      </c>
      <c r="I415" t="s">
        <v>199</v>
      </c>
      <c r="J415" t="s">
        <v>278</v>
      </c>
      <c r="M415">
        <v>1</v>
      </c>
      <c r="N415">
        <v>1</v>
      </c>
    </row>
    <row r="416" spans="1:14" x14ac:dyDescent="0.45">
      <c r="A416" t="s">
        <v>1641</v>
      </c>
      <c r="B416" t="s">
        <v>1791</v>
      </c>
      <c r="C416" t="s">
        <v>1779</v>
      </c>
      <c r="D416" t="s">
        <v>1780</v>
      </c>
      <c r="E416" t="s">
        <v>276</v>
      </c>
      <c r="F416" t="s">
        <v>277</v>
      </c>
      <c r="G416" t="s">
        <v>750</v>
      </c>
      <c r="H416" t="s">
        <v>751</v>
      </c>
      <c r="I416" t="s">
        <v>199</v>
      </c>
      <c r="J416" t="s">
        <v>278</v>
      </c>
      <c r="M416">
        <v>1</v>
      </c>
      <c r="N416">
        <v>1</v>
      </c>
    </row>
    <row r="417" spans="1:14" x14ac:dyDescent="0.45">
      <c r="A417" t="s">
        <v>934</v>
      </c>
      <c r="B417" t="s">
        <v>1792</v>
      </c>
      <c r="C417" t="s">
        <v>1779</v>
      </c>
      <c r="D417" t="s">
        <v>1780</v>
      </c>
      <c r="E417" t="s">
        <v>276</v>
      </c>
      <c r="F417" t="s">
        <v>277</v>
      </c>
      <c r="G417" t="s">
        <v>750</v>
      </c>
      <c r="H417" t="s">
        <v>751</v>
      </c>
      <c r="I417" t="s">
        <v>199</v>
      </c>
      <c r="J417" t="s">
        <v>278</v>
      </c>
      <c r="M417">
        <v>1</v>
      </c>
      <c r="N417">
        <v>1</v>
      </c>
    </row>
    <row r="418" spans="1:14" x14ac:dyDescent="0.45">
      <c r="A418" t="s">
        <v>1793</v>
      </c>
      <c r="B418" t="s">
        <v>1794</v>
      </c>
      <c r="C418" t="s">
        <v>1779</v>
      </c>
      <c r="D418" t="s">
        <v>1780</v>
      </c>
      <c r="E418" t="s">
        <v>276</v>
      </c>
      <c r="F418" t="s">
        <v>277</v>
      </c>
      <c r="G418" t="s">
        <v>750</v>
      </c>
      <c r="H418" t="s">
        <v>751</v>
      </c>
      <c r="I418" t="s">
        <v>199</v>
      </c>
      <c r="J418" t="s">
        <v>278</v>
      </c>
      <c r="M418">
        <v>1</v>
      </c>
      <c r="N418">
        <v>1</v>
      </c>
    </row>
    <row r="419" spans="1:14" x14ac:dyDescent="0.45">
      <c r="A419" t="s">
        <v>1795</v>
      </c>
      <c r="B419" t="s">
        <v>1796</v>
      </c>
      <c r="C419" t="s">
        <v>1779</v>
      </c>
      <c r="D419" t="s">
        <v>1780</v>
      </c>
      <c r="E419" t="s">
        <v>276</v>
      </c>
      <c r="F419" t="s">
        <v>277</v>
      </c>
      <c r="G419" t="s">
        <v>750</v>
      </c>
      <c r="H419" t="s">
        <v>751</v>
      </c>
      <c r="I419" t="s">
        <v>199</v>
      </c>
      <c r="J419" t="s">
        <v>278</v>
      </c>
      <c r="M419">
        <v>1</v>
      </c>
      <c r="N419">
        <v>1</v>
      </c>
    </row>
    <row r="420" spans="1:14" x14ac:dyDescent="0.45">
      <c r="A420" t="s">
        <v>1797</v>
      </c>
      <c r="B420" t="s">
        <v>1798</v>
      </c>
      <c r="C420" t="s">
        <v>1779</v>
      </c>
      <c r="D420" t="s">
        <v>1780</v>
      </c>
      <c r="E420" t="s">
        <v>276</v>
      </c>
      <c r="F420" t="s">
        <v>277</v>
      </c>
      <c r="G420" t="s">
        <v>750</v>
      </c>
      <c r="H420" t="s">
        <v>751</v>
      </c>
      <c r="I420" t="s">
        <v>199</v>
      </c>
      <c r="J420" t="s">
        <v>278</v>
      </c>
      <c r="M420">
        <v>1</v>
      </c>
      <c r="N420">
        <v>1</v>
      </c>
    </row>
    <row r="421" spans="1:14" x14ac:dyDescent="0.45">
      <c r="A421" t="s">
        <v>1799</v>
      </c>
      <c r="B421" t="s">
        <v>1800</v>
      </c>
      <c r="C421" t="s">
        <v>1779</v>
      </c>
      <c r="D421" t="s">
        <v>1780</v>
      </c>
      <c r="E421" t="s">
        <v>276</v>
      </c>
      <c r="F421" t="s">
        <v>277</v>
      </c>
      <c r="G421" t="s">
        <v>750</v>
      </c>
      <c r="H421" t="s">
        <v>751</v>
      </c>
      <c r="I421" t="s">
        <v>199</v>
      </c>
      <c r="J421" t="s">
        <v>278</v>
      </c>
      <c r="M421">
        <v>1</v>
      </c>
      <c r="N421">
        <v>1</v>
      </c>
    </row>
    <row r="422" spans="1:14" x14ac:dyDescent="0.45">
      <c r="A422" t="s">
        <v>1801</v>
      </c>
      <c r="B422" t="s">
        <v>1802</v>
      </c>
      <c r="C422" t="s">
        <v>1779</v>
      </c>
      <c r="D422" t="s">
        <v>1780</v>
      </c>
      <c r="E422" t="s">
        <v>276</v>
      </c>
      <c r="F422" t="s">
        <v>277</v>
      </c>
      <c r="G422" t="s">
        <v>750</v>
      </c>
      <c r="H422" t="s">
        <v>751</v>
      </c>
      <c r="I422" t="s">
        <v>199</v>
      </c>
      <c r="J422" t="s">
        <v>278</v>
      </c>
      <c r="M422">
        <v>1</v>
      </c>
      <c r="N422">
        <v>1</v>
      </c>
    </row>
    <row r="423" spans="1:14" x14ac:dyDescent="0.45">
      <c r="A423" t="s">
        <v>1803</v>
      </c>
      <c r="B423" t="s">
        <v>1804</v>
      </c>
      <c r="C423" t="s">
        <v>1805</v>
      </c>
      <c r="D423" t="s">
        <v>1806</v>
      </c>
      <c r="E423" t="s">
        <v>276</v>
      </c>
      <c r="F423" t="s">
        <v>277</v>
      </c>
      <c r="G423" t="s">
        <v>750</v>
      </c>
      <c r="H423" t="s">
        <v>751</v>
      </c>
      <c r="I423" t="s">
        <v>199</v>
      </c>
      <c r="J423" t="s">
        <v>278</v>
      </c>
      <c r="M423">
        <v>1</v>
      </c>
      <c r="N423">
        <v>1</v>
      </c>
    </row>
    <row r="424" spans="1:14" x14ac:dyDescent="0.45">
      <c r="A424" t="s">
        <v>1807</v>
      </c>
      <c r="B424" t="s">
        <v>1808</v>
      </c>
      <c r="C424" t="s">
        <v>1805</v>
      </c>
      <c r="D424" t="s">
        <v>1806</v>
      </c>
      <c r="E424" t="s">
        <v>276</v>
      </c>
      <c r="F424" t="s">
        <v>277</v>
      </c>
      <c r="G424" t="s">
        <v>750</v>
      </c>
      <c r="H424" t="s">
        <v>751</v>
      </c>
      <c r="I424" t="s">
        <v>199</v>
      </c>
      <c r="J424" t="s">
        <v>278</v>
      </c>
      <c r="M424">
        <v>1</v>
      </c>
      <c r="N424">
        <v>1</v>
      </c>
    </row>
    <row r="425" spans="1:14" x14ac:dyDescent="0.45">
      <c r="A425" t="s">
        <v>1809</v>
      </c>
      <c r="B425" t="s">
        <v>1810</v>
      </c>
      <c r="C425" t="s">
        <v>1805</v>
      </c>
      <c r="D425" t="s">
        <v>1806</v>
      </c>
      <c r="E425" t="s">
        <v>276</v>
      </c>
      <c r="F425" t="s">
        <v>277</v>
      </c>
      <c r="G425" t="s">
        <v>750</v>
      </c>
      <c r="H425" t="s">
        <v>751</v>
      </c>
      <c r="I425" t="s">
        <v>199</v>
      </c>
      <c r="J425" t="s">
        <v>278</v>
      </c>
      <c r="M425">
        <v>1</v>
      </c>
      <c r="N425">
        <v>1</v>
      </c>
    </row>
    <row r="426" spans="1:14" x14ac:dyDescent="0.45">
      <c r="A426" t="s">
        <v>1811</v>
      </c>
      <c r="B426" t="s">
        <v>1812</v>
      </c>
      <c r="C426" t="s">
        <v>1805</v>
      </c>
      <c r="D426" t="s">
        <v>1806</v>
      </c>
      <c r="E426" t="s">
        <v>276</v>
      </c>
      <c r="F426" t="s">
        <v>277</v>
      </c>
      <c r="G426" t="s">
        <v>750</v>
      </c>
      <c r="H426" t="s">
        <v>751</v>
      </c>
      <c r="I426" t="s">
        <v>199</v>
      </c>
      <c r="J426" t="s">
        <v>278</v>
      </c>
      <c r="M426">
        <v>1</v>
      </c>
      <c r="N426">
        <v>1</v>
      </c>
    </row>
    <row r="427" spans="1:14" x14ac:dyDescent="0.45">
      <c r="A427" t="s">
        <v>1813</v>
      </c>
      <c r="B427" t="s">
        <v>1814</v>
      </c>
      <c r="C427" t="s">
        <v>1805</v>
      </c>
      <c r="D427" t="s">
        <v>1806</v>
      </c>
      <c r="E427" t="s">
        <v>276</v>
      </c>
      <c r="F427" t="s">
        <v>277</v>
      </c>
      <c r="G427" t="s">
        <v>750</v>
      </c>
      <c r="H427" t="s">
        <v>751</v>
      </c>
      <c r="I427" t="s">
        <v>199</v>
      </c>
      <c r="J427" t="s">
        <v>278</v>
      </c>
      <c r="M427">
        <v>1</v>
      </c>
      <c r="N427">
        <v>1</v>
      </c>
    </row>
    <row r="428" spans="1:14" x14ac:dyDescent="0.45">
      <c r="A428" t="s">
        <v>1815</v>
      </c>
      <c r="B428" t="s">
        <v>1816</v>
      </c>
      <c r="C428" t="s">
        <v>1805</v>
      </c>
      <c r="D428" t="s">
        <v>1806</v>
      </c>
      <c r="E428" t="s">
        <v>276</v>
      </c>
      <c r="F428" t="s">
        <v>277</v>
      </c>
      <c r="G428" t="s">
        <v>750</v>
      </c>
      <c r="H428" t="s">
        <v>751</v>
      </c>
      <c r="I428" t="s">
        <v>199</v>
      </c>
      <c r="J428" t="s">
        <v>278</v>
      </c>
      <c r="M428">
        <v>1</v>
      </c>
      <c r="N428">
        <v>1</v>
      </c>
    </row>
    <row r="429" spans="1:14" x14ac:dyDescent="0.45">
      <c r="A429" t="s">
        <v>1817</v>
      </c>
      <c r="B429" t="s">
        <v>1818</v>
      </c>
      <c r="C429" t="s">
        <v>1805</v>
      </c>
      <c r="D429" t="s">
        <v>1806</v>
      </c>
      <c r="E429" t="s">
        <v>276</v>
      </c>
      <c r="F429" t="s">
        <v>277</v>
      </c>
      <c r="G429" t="s">
        <v>750</v>
      </c>
      <c r="H429" t="s">
        <v>751</v>
      </c>
      <c r="I429" t="s">
        <v>199</v>
      </c>
      <c r="J429" t="s">
        <v>278</v>
      </c>
      <c r="M429">
        <v>1</v>
      </c>
      <c r="N429">
        <v>1</v>
      </c>
    </row>
    <row r="430" spans="1:14" x14ac:dyDescent="0.45">
      <c r="A430" t="s">
        <v>1819</v>
      </c>
      <c r="B430" t="s">
        <v>1820</v>
      </c>
      <c r="C430" t="s">
        <v>1805</v>
      </c>
      <c r="D430" t="s">
        <v>1806</v>
      </c>
      <c r="E430" t="s">
        <v>276</v>
      </c>
      <c r="F430" t="s">
        <v>277</v>
      </c>
      <c r="G430" t="s">
        <v>750</v>
      </c>
      <c r="H430" t="s">
        <v>751</v>
      </c>
      <c r="I430" t="s">
        <v>199</v>
      </c>
      <c r="J430" t="s">
        <v>278</v>
      </c>
      <c r="M430">
        <v>1</v>
      </c>
      <c r="N430">
        <v>1</v>
      </c>
    </row>
    <row r="431" spans="1:14" x14ac:dyDescent="0.45">
      <c r="A431" t="s">
        <v>1821</v>
      </c>
      <c r="B431" t="s">
        <v>1822</v>
      </c>
      <c r="C431" t="s">
        <v>1805</v>
      </c>
      <c r="D431" t="s">
        <v>1806</v>
      </c>
      <c r="E431" t="s">
        <v>276</v>
      </c>
      <c r="F431" t="s">
        <v>277</v>
      </c>
      <c r="G431" t="s">
        <v>750</v>
      </c>
      <c r="H431" t="s">
        <v>751</v>
      </c>
      <c r="I431" t="s">
        <v>199</v>
      </c>
      <c r="J431" t="s">
        <v>278</v>
      </c>
      <c r="M431">
        <v>1</v>
      </c>
      <c r="N431">
        <v>1</v>
      </c>
    </row>
    <row r="432" spans="1:14" x14ac:dyDescent="0.45">
      <c r="A432" t="s">
        <v>1823</v>
      </c>
      <c r="B432" t="s">
        <v>1824</v>
      </c>
      <c r="C432" t="s">
        <v>1805</v>
      </c>
      <c r="D432" t="s">
        <v>1806</v>
      </c>
      <c r="E432" t="s">
        <v>276</v>
      </c>
      <c r="F432" t="s">
        <v>277</v>
      </c>
      <c r="G432" t="s">
        <v>750</v>
      </c>
      <c r="H432" t="s">
        <v>751</v>
      </c>
      <c r="I432" t="s">
        <v>199</v>
      </c>
      <c r="J432" t="s">
        <v>278</v>
      </c>
      <c r="M432">
        <v>1</v>
      </c>
      <c r="N432">
        <v>1</v>
      </c>
    </row>
    <row r="433" spans="1:14" x14ac:dyDescent="0.45">
      <c r="A433" t="s">
        <v>1825</v>
      </c>
      <c r="B433" t="s">
        <v>1826</v>
      </c>
      <c r="C433" t="s">
        <v>1805</v>
      </c>
      <c r="D433" t="s">
        <v>1806</v>
      </c>
      <c r="E433" t="s">
        <v>276</v>
      </c>
      <c r="F433" t="s">
        <v>277</v>
      </c>
      <c r="G433" t="s">
        <v>750</v>
      </c>
      <c r="H433" t="s">
        <v>751</v>
      </c>
      <c r="I433" t="s">
        <v>199</v>
      </c>
      <c r="J433" t="s">
        <v>278</v>
      </c>
      <c r="M433">
        <v>1</v>
      </c>
      <c r="N433">
        <v>1</v>
      </c>
    </row>
    <row r="434" spans="1:14" x14ac:dyDescent="0.45">
      <c r="A434" t="s">
        <v>1827</v>
      </c>
      <c r="B434" t="s">
        <v>1828</v>
      </c>
      <c r="C434" t="s">
        <v>1805</v>
      </c>
      <c r="D434" t="s">
        <v>1806</v>
      </c>
      <c r="E434" t="s">
        <v>276</v>
      </c>
      <c r="F434" t="s">
        <v>277</v>
      </c>
      <c r="G434" t="s">
        <v>750</v>
      </c>
      <c r="H434" t="s">
        <v>751</v>
      </c>
      <c r="I434" t="s">
        <v>199</v>
      </c>
      <c r="J434" t="s">
        <v>278</v>
      </c>
      <c r="M434">
        <v>1</v>
      </c>
      <c r="N434">
        <v>1</v>
      </c>
    </row>
    <row r="435" spans="1:14" x14ac:dyDescent="0.45">
      <c r="A435" t="s">
        <v>1829</v>
      </c>
      <c r="B435" t="s">
        <v>1830</v>
      </c>
      <c r="C435" t="s">
        <v>1805</v>
      </c>
      <c r="D435" t="s">
        <v>1806</v>
      </c>
      <c r="E435" t="s">
        <v>276</v>
      </c>
      <c r="F435" t="s">
        <v>277</v>
      </c>
      <c r="G435" t="s">
        <v>750</v>
      </c>
      <c r="H435" t="s">
        <v>751</v>
      </c>
      <c r="I435" t="s">
        <v>199</v>
      </c>
      <c r="J435" t="s">
        <v>278</v>
      </c>
      <c r="M435">
        <v>1</v>
      </c>
      <c r="N435">
        <v>1</v>
      </c>
    </row>
    <row r="436" spans="1:14" x14ac:dyDescent="0.45">
      <c r="A436" t="s">
        <v>1831</v>
      </c>
      <c r="B436" t="s">
        <v>1832</v>
      </c>
      <c r="C436" t="s">
        <v>1833</v>
      </c>
      <c r="D436" t="s">
        <v>1834</v>
      </c>
      <c r="E436" t="s">
        <v>276</v>
      </c>
      <c r="F436" t="s">
        <v>277</v>
      </c>
      <c r="G436" t="s">
        <v>750</v>
      </c>
      <c r="H436" t="s">
        <v>751</v>
      </c>
      <c r="I436" t="s">
        <v>199</v>
      </c>
      <c r="J436" t="s">
        <v>278</v>
      </c>
      <c r="M436">
        <v>1</v>
      </c>
      <c r="N436">
        <v>1</v>
      </c>
    </row>
    <row r="437" spans="1:14" x14ac:dyDescent="0.45">
      <c r="A437" t="s">
        <v>1835</v>
      </c>
      <c r="B437" t="s">
        <v>1836</v>
      </c>
      <c r="C437" t="s">
        <v>1833</v>
      </c>
      <c r="D437" t="s">
        <v>1834</v>
      </c>
      <c r="E437" t="s">
        <v>276</v>
      </c>
      <c r="F437" t="s">
        <v>277</v>
      </c>
      <c r="G437" t="s">
        <v>750</v>
      </c>
      <c r="H437" t="s">
        <v>751</v>
      </c>
      <c r="I437" t="s">
        <v>199</v>
      </c>
      <c r="J437" t="s">
        <v>278</v>
      </c>
      <c r="M437">
        <v>1</v>
      </c>
      <c r="N437">
        <v>1</v>
      </c>
    </row>
    <row r="438" spans="1:14" x14ac:dyDescent="0.45">
      <c r="A438" t="s">
        <v>1837</v>
      </c>
      <c r="B438" t="s">
        <v>1838</v>
      </c>
      <c r="C438" t="s">
        <v>1833</v>
      </c>
      <c r="D438" t="s">
        <v>1834</v>
      </c>
      <c r="E438" t="s">
        <v>276</v>
      </c>
      <c r="F438" t="s">
        <v>277</v>
      </c>
      <c r="G438" t="s">
        <v>750</v>
      </c>
      <c r="H438" t="s">
        <v>751</v>
      </c>
      <c r="I438" t="s">
        <v>199</v>
      </c>
      <c r="J438" t="s">
        <v>278</v>
      </c>
      <c r="M438">
        <v>1</v>
      </c>
      <c r="N438">
        <v>1</v>
      </c>
    </row>
    <row r="439" spans="1:14" x14ac:dyDescent="0.45">
      <c r="A439" t="s">
        <v>1839</v>
      </c>
      <c r="B439" t="s">
        <v>1840</v>
      </c>
      <c r="C439" t="s">
        <v>1833</v>
      </c>
      <c r="D439" t="s">
        <v>1834</v>
      </c>
      <c r="E439" t="s">
        <v>276</v>
      </c>
      <c r="F439" t="s">
        <v>277</v>
      </c>
      <c r="G439" t="s">
        <v>750</v>
      </c>
      <c r="H439" t="s">
        <v>751</v>
      </c>
      <c r="I439" t="s">
        <v>199</v>
      </c>
      <c r="J439" t="s">
        <v>278</v>
      </c>
      <c r="M439">
        <v>1</v>
      </c>
      <c r="N439">
        <v>1</v>
      </c>
    </row>
    <row r="440" spans="1:14" x14ac:dyDescent="0.45">
      <c r="A440" t="s">
        <v>1841</v>
      </c>
      <c r="B440" t="s">
        <v>1842</v>
      </c>
      <c r="C440" t="s">
        <v>1833</v>
      </c>
      <c r="D440" t="s">
        <v>1834</v>
      </c>
      <c r="E440" t="s">
        <v>276</v>
      </c>
      <c r="F440" t="s">
        <v>277</v>
      </c>
      <c r="G440" t="s">
        <v>750</v>
      </c>
      <c r="H440" t="s">
        <v>751</v>
      </c>
      <c r="I440" t="s">
        <v>199</v>
      </c>
      <c r="J440" t="s">
        <v>278</v>
      </c>
      <c r="M440">
        <v>1</v>
      </c>
      <c r="N440">
        <v>1</v>
      </c>
    </row>
    <row r="441" spans="1:14" x14ac:dyDescent="0.45">
      <c r="A441" t="s">
        <v>1843</v>
      </c>
      <c r="B441" t="s">
        <v>1844</v>
      </c>
      <c r="C441" t="s">
        <v>1845</v>
      </c>
      <c r="D441" t="s">
        <v>1846</v>
      </c>
      <c r="E441" t="s">
        <v>276</v>
      </c>
      <c r="F441" t="s">
        <v>277</v>
      </c>
      <c r="G441" t="s">
        <v>750</v>
      </c>
      <c r="H441" t="s">
        <v>751</v>
      </c>
      <c r="I441" t="s">
        <v>199</v>
      </c>
      <c r="J441" t="s">
        <v>278</v>
      </c>
      <c r="M441">
        <v>1</v>
      </c>
      <c r="N441">
        <v>1</v>
      </c>
    </row>
    <row r="442" spans="1:14" x14ac:dyDescent="0.45">
      <c r="A442" t="s">
        <v>1847</v>
      </c>
      <c r="B442" t="s">
        <v>1848</v>
      </c>
      <c r="C442" t="s">
        <v>1845</v>
      </c>
      <c r="D442" t="s">
        <v>1846</v>
      </c>
      <c r="E442" t="s">
        <v>276</v>
      </c>
      <c r="F442" t="s">
        <v>277</v>
      </c>
      <c r="G442" t="s">
        <v>750</v>
      </c>
      <c r="H442" t="s">
        <v>751</v>
      </c>
      <c r="I442" t="s">
        <v>199</v>
      </c>
      <c r="J442" t="s">
        <v>278</v>
      </c>
      <c r="M442">
        <v>1</v>
      </c>
      <c r="N442">
        <v>1</v>
      </c>
    </row>
    <row r="443" spans="1:14" x14ac:dyDescent="0.45">
      <c r="A443" t="s">
        <v>1849</v>
      </c>
      <c r="B443" t="s">
        <v>1850</v>
      </c>
      <c r="C443" t="s">
        <v>1845</v>
      </c>
      <c r="D443" t="s">
        <v>1846</v>
      </c>
      <c r="E443" t="s">
        <v>276</v>
      </c>
      <c r="F443" t="s">
        <v>277</v>
      </c>
      <c r="G443" t="s">
        <v>750</v>
      </c>
      <c r="H443" t="s">
        <v>751</v>
      </c>
      <c r="I443" t="s">
        <v>199</v>
      </c>
      <c r="J443" t="s">
        <v>278</v>
      </c>
      <c r="M443">
        <v>1</v>
      </c>
      <c r="N443">
        <v>1</v>
      </c>
    </row>
    <row r="444" spans="1:14" x14ac:dyDescent="0.45">
      <c r="A444" t="s">
        <v>1851</v>
      </c>
      <c r="B444" t="s">
        <v>1852</v>
      </c>
      <c r="C444" t="s">
        <v>1845</v>
      </c>
      <c r="D444" t="s">
        <v>1846</v>
      </c>
      <c r="E444" t="s">
        <v>276</v>
      </c>
      <c r="F444" t="s">
        <v>277</v>
      </c>
      <c r="G444" t="s">
        <v>750</v>
      </c>
      <c r="H444" t="s">
        <v>751</v>
      </c>
      <c r="I444" t="s">
        <v>199</v>
      </c>
      <c r="J444" t="s">
        <v>278</v>
      </c>
      <c r="M444">
        <v>1</v>
      </c>
      <c r="N444">
        <v>1</v>
      </c>
    </row>
    <row r="445" spans="1:14" x14ac:dyDescent="0.45">
      <c r="A445" t="s">
        <v>1853</v>
      </c>
      <c r="B445" t="s">
        <v>1854</v>
      </c>
      <c r="C445" t="s">
        <v>1845</v>
      </c>
      <c r="D445" t="s">
        <v>1846</v>
      </c>
      <c r="E445" t="s">
        <v>276</v>
      </c>
      <c r="F445" t="s">
        <v>277</v>
      </c>
      <c r="G445" t="s">
        <v>750</v>
      </c>
      <c r="H445" t="s">
        <v>751</v>
      </c>
      <c r="I445" t="s">
        <v>199</v>
      </c>
      <c r="J445" t="s">
        <v>278</v>
      </c>
      <c r="M445">
        <v>1</v>
      </c>
      <c r="N445">
        <v>1</v>
      </c>
    </row>
    <row r="446" spans="1:14" x14ac:dyDescent="0.45">
      <c r="A446" t="s">
        <v>1855</v>
      </c>
      <c r="B446" t="s">
        <v>1856</v>
      </c>
      <c r="C446" t="s">
        <v>1845</v>
      </c>
      <c r="D446" t="s">
        <v>1846</v>
      </c>
      <c r="E446" t="s">
        <v>276</v>
      </c>
      <c r="F446" t="s">
        <v>277</v>
      </c>
      <c r="G446" t="s">
        <v>750</v>
      </c>
      <c r="H446" t="s">
        <v>751</v>
      </c>
      <c r="I446" t="s">
        <v>199</v>
      </c>
      <c r="J446" t="s">
        <v>278</v>
      </c>
      <c r="M446">
        <v>1</v>
      </c>
      <c r="N446">
        <v>1</v>
      </c>
    </row>
    <row r="447" spans="1:14" x14ac:dyDescent="0.45">
      <c r="A447" t="s">
        <v>1857</v>
      </c>
      <c r="B447" t="s">
        <v>1858</v>
      </c>
      <c r="C447" t="s">
        <v>1845</v>
      </c>
      <c r="D447" t="s">
        <v>1846</v>
      </c>
      <c r="E447" t="s">
        <v>276</v>
      </c>
      <c r="F447" t="s">
        <v>277</v>
      </c>
      <c r="G447" t="s">
        <v>750</v>
      </c>
      <c r="H447" t="s">
        <v>751</v>
      </c>
      <c r="I447" t="s">
        <v>199</v>
      </c>
      <c r="J447" t="s">
        <v>278</v>
      </c>
      <c r="M447">
        <v>1</v>
      </c>
      <c r="N447">
        <v>1</v>
      </c>
    </row>
    <row r="448" spans="1:14" x14ac:dyDescent="0.45">
      <c r="A448" t="s">
        <v>1859</v>
      </c>
      <c r="B448" t="s">
        <v>1860</v>
      </c>
      <c r="C448" t="s">
        <v>1845</v>
      </c>
      <c r="D448" t="s">
        <v>1846</v>
      </c>
      <c r="E448" t="s">
        <v>276</v>
      </c>
      <c r="F448" t="s">
        <v>277</v>
      </c>
      <c r="G448" t="s">
        <v>750</v>
      </c>
      <c r="H448" t="s">
        <v>751</v>
      </c>
      <c r="I448" t="s">
        <v>199</v>
      </c>
      <c r="J448" t="s">
        <v>278</v>
      </c>
      <c r="M448">
        <v>1</v>
      </c>
      <c r="N448">
        <v>1</v>
      </c>
    </row>
    <row r="449" spans="1:14" x14ac:dyDescent="0.45">
      <c r="A449" t="s">
        <v>1861</v>
      </c>
      <c r="B449" t="s">
        <v>1862</v>
      </c>
      <c r="C449" t="s">
        <v>1863</v>
      </c>
      <c r="D449" t="s">
        <v>1864</v>
      </c>
      <c r="E449" t="s">
        <v>279</v>
      </c>
      <c r="F449" t="s">
        <v>280</v>
      </c>
      <c r="G449" t="s">
        <v>750</v>
      </c>
      <c r="H449" t="s">
        <v>751</v>
      </c>
      <c r="I449" t="s">
        <v>199</v>
      </c>
      <c r="J449" t="s">
        <v>281</v>
      </c>
      <c r="M449">
        <v>1</v>
      </c>
      <c r="N449">
        <v>1</v>
      </c>
    </row>
    <row r="450" spans="1:14" x14ac:dyDescent="0.45">
      <c r="A450" t="s">
        <v>1865</v>
      </c>
      <c r="B450" t="s">
        <v>1866</v>
      </c>
      <c r="C450" t="s">
        <v>1863</v>
      </c>
      <c r="D450" t="s">
        <v>1864</v>
      </c>
      <c r="E450" t="s">
        <v>279</v>
      </c>
      <c r="F450" t="s">
        <v>280</v>
      </c>
      <c r="G450" t="s">
        <v>750</v>
      </c>
      <c r="H450" t="s">
        <v>751</v>
      </c>
      <c r="I450" t="s">
        <v>199</v>
      </c>
      <c r="J450" t="s">
        <v>281</v>
      </c>
      <c r="M450">
        <v>1</v>
      </c>
      <c r="N450">
        <v>1</v>
      </c>
    </row>
    <row r="451" spans="1:14" x14ac:dyDescent="0.45">
      <c r="A451" t="s">
        <v>1867</v>
      </c>
      <c r="B451" t="s">
        <v>1868</v>
      </c>
      <c r="C451" t="s">
        <v>1863</v>
      </c>
      <c r="D451" t="s">
        <v>1864</v>
      </c>
      <c r="E451" t="s">
        <v>279</v>
      </c>
      <c r="F451" t="s">
        <v>280</v>
      </c>
      <c r="G451" t="s">
        <v>750</v>
      </c>
      <c r="H451" t="s">
        <v>751</v>
      </c>
      <c r="I451" t="s">
        <v>199</v>
      </c>
      <c r="J451" t="s">
        <v>281</v>
      </c>
      <c r="M451">
        <v>1</v>
      </c>
      <c r="N451">
        <v>1</v>
      </c>
    </row>
    <row r="452" spans="1:14" x14ac:dyDescent="0.45">
      <c r="A452" t="s">
        <v>1869</v>
      </c>
      <c r="B452" t="s">
        <v>1870</v>
      </c>
      <c r="C452" t="s">
        <v>1863</v>
      </c>
      <c r="D452" t="s">
        <v>1864</v>
      </c>
      <c r="E452" t="s">
        <v>279</v>
      </c>
      <c r="F452" t="s">
        <v>280</v>
      </c>
      <c r="G452" t="s">
        <v>750</v>
      </c>
      <c r="H452" t="s">
        <v>751</v>
      </c>
      <c r="I452" t="s">
        <v>199</v>
      </c>
      <c r="J452" t="s">
        <v>281</v>
      </c>
      <c r="M452">
        <v>1</v>
      </c>
      <c r="N452">
        <v>1</v>
      </c>
    </row>
    <row r="453" spans="1:14" x14ac:dyDescent="0.45">
      <c r="A453" t="s">
        <v>1871</v>
      </c>
      <c r="B453" t="s">
        <v>1872</v>
      </c>
      <c r="C453" t="s">
        <v>1863</v>
      </c>
      <c r="D453" t="s">
        <v>1864</v>
      </c>
      <c r="E453" t="s">
        <v>279</v>
      </c>
      <c r="F453" t="s">
        <v>280</v>
      </c>
      <c r="G453" t="s">
        <v>750</v>
      </c>
      <c r="H453" t="s">
        <v>751</v>
      </c>
      <c r="I453" t="s">
        <v>199</v>
      </c>
      <c r="J453" t="s">
        <v>281</v>
      </c>
      <c r="M453">
        <v>1</v>
      </c>
      <c r="N453">
        <v>1</v>
      </c>
    </row>
    <row r="454" spans="1:14" x14ac:dyDescent="0.45">
      <c r="A454" t="s">
        <v>1873</v>
      </c>
      <c r="B454" t="s">
        <v>1874</v>
      </c>
      <c r="C454" t="s">
        <v>1863</v>
      </c>
      <c r="D454" t="s">
        <v>1864</v>
      </c>
      <c r="E454" t="s">
        <v>279</v>
      </c>
      <c r="F454" t="s">
        <v>280</v>
      </c>
      <c r="G454" t="s">
        <v>750</v>
      </c>
      <c r="H454" t="s">
        <v>751</v>
      </c>
      <c r="I454" t="s">
        <v>199</v>
      </c>
      <c r="J454" t="s">
        <v>281</v>
      </c>
      <c r="M454">
        <v>1</v>
      </c>
      <c r="N454">
        <v>1</v>
      </c>
    </row>
    <row r="455" spans="1:14" x14ac:dyDescent="0.45">
      <c r="A455" t="s">
        <v>1875</v>
      </c>
      <c r="B455" t="s">
        <v>1876</v>
      </c>
      <c r="C455" t="s">
        <v>1863</v>
      </c>
      <c r="D455" t="s">
        <v>1864</v>
      </c>
      <c r="E455" t="s">
        <v>279</v>
      </c>
      <c r="F455" t="s">
        <v>280</v>
      </c>
      <c r="G455" t="s">
        <v>750</v>
      </c>
      <c r="H455" t="s">
        <v>751</v>
      </c>
      <c r="I455" t="s">
        <v>199</v>
      </c>
      <c r="J455" t="s">
        <v>281</v>
      </c>
      <c r="M455">
        <v>1</v>
      </c>
      <c r="N455">
        <v>1</v>
      </c>
    </row>
    <row r="456" spans="1:14" x14ac:dyDescent="0.45">
      <c r="A456" t="s">
        <v>1877</v>
      </c>
      <c r="B456" t="s">
        <v>1878</v>
      </c>
      <c r="C456" t="s">
        <v>1863</v>
      </c>
      <c r="D456" t="s">
        <v>1864</v>
      </c>
      <c r="E456" t="s">
        <v>279</v>
      </c>
      <c r="F456" t="s">
        <v>280</v>
      </c>
      <c r="G456" t="s">
        <v>750</v>
      </c>
      <c r="H456" t="s">
        <v>751</v>
      </c>
      <c r="I456" t="s">
        <v>199</v>
      </c>
      <c r="J456" t="s">
        <v>281</v>
      </c>
      <c r="M456">
        <v>1</v>
      </c>
      <c r="N456">
        <v>1</v>
      </c>
    </row>
    <row r="457" spans="1:14" x14ac:dyDescent="0.45">
      <c r="A457" t="s">
        <v>1879</v>
      </c>
      <c r="B457" t="s">
        <v>1880</v>
      </c>
      <c r="C457" t="s">
        <v>1863</v>
      </c>
      <c r="D457" t="s">
        <v>1864</v>
      </c>
      <c r="E457" t="s">
        <v>279</v>
      </c>
      <c r="F457" t="s">
        <v>280</v>
      </c>
      <c r="G457" t="s">
        <v>750</v>
      </c>
      <c r="H457" t="s">
        <v>751</v>
      </c>
      <c r="I457" t="s">
        <v>199</v>
      </c>
      <c r="J457" t="s">
        <v>281</v>
      </c>
      <c r="M457">
        <v>1</v>
      </c>
      <c r="N457">
        <v>1</v>
      </c>
    </row>
    <row r="458" spans="1:14" x14ac:dyDescent="0.45">
      <c r="A458" t="s">
        <v>1881</v>
      </c>
      <c r="B458" t="s">
        <v>1882</v>
      </c>
      <c r="C458" t="s">
        <v>1863</v>
      </c>
      <c r="D458" t="s">
        <v>1864</v>
      </c>
      <c r="E458" t="s">
        <v>279</v>
      </c>
      <c r="F458" t="s">
        <v>280</v>
      </c>
      <c r="G458" t="s">
        <v>750</v>
      </c>
      <c r="H458" t="s">
        <v>751</v>
      </c>
      <c r="I458" t="s">
        <v>199</v>
      </c>
      <c r="J458" t="s">
        <v>281</v>
      </c>
      <c r="M458">
        <v>1</v>
      </c>
      <c r="N458">
        <v>1</v>
      </c>
    </row>
    <row r="459" spans="1:14" x14ac:dyDescent="0.45">
      <c r="A459" t="s">
        <v>1883</v>
      </c>
      <c r="B459" t="s">
        <v>1884</v>
      </c>
      <c r="C459" t="s">
        <v>1863</v>
      </c>
      <c r="D459" t="s">
        <v>1864</v>
      </c>
      <c r="E459" t="s">
        <v>279</v>
      </c>
      <c r="F459" t="s">
        <v>280</v>
      </c>
      <c r="G459" t="s">
        <v>750</v>
      </c>
      <c r="H459" t="s">
        <v>751</v>
      </c>
      <c r="I459" t="s">
        <v>199</v>
      </c>
      <c r="J459" t="s">
        <v>281</v>
      </c>
      <c r="M459">
        <v>1</v>
      </c>
      <c r="N459">
        <v>1</v>
      </c>
    </row>
    <row r="460" spans="1:14" x14ac:dyDescent="0.45">
      <c r="A460" t="s">
        <v>1885</v>
      </c>
      <c r="B460" t="s">
        <v>1886</v>
      </c>
      <c r="C460" t="s">
        <v>1863</v>
      </c>
      <c r="D460" t="s">
        <v>1864</v>
      </c>
      <c r="E460" t="s">
        <v>279</v>
      </c>
      <c r="F460" t="s">
        <v>280</v>
      </c>
      <c r="G460" t="s">
        <v>750</v>
      </c>
      <c r="H460" t="s">
        <v>751</v>
      </c>
      <c r="I460" t="s">
        <v>199</v>
      </c>
      <c r="J460" t="s">
        <v>281</v>
      </c>
      <c r="M460">
        <v>1</v>
      </c>
      <c r="N460">
        <v>1</v>
      </c>
    </row>
    <row r="461" spans="1:14" x14ac:dyDescent="0.45">
      <c r="A461" t="s">
        <v>1887</v>
      </c>
      <c r="B461" t="s">
        <v>1888</v>
      </c>
      <c r="C461" t="s">
        <v>1863</v>
      </c>
      <c r="D461" t="s">
        <v>1864</v>
      </c>
      <c r="E461" t="s">
        <v>279</v>
      </c>
      <c r="F461" t="s">
        <v>280</v>
      </c>
      <c r="G461" t="s">
        <v>750</v>
      </c>
      <c r="H461" t="s">
        <v>751</v>
      </c>
      <c r="I461" t="s">
        <v>199</v>
      </c>
      <c r="J461" t="s">
        <v>281</v>
      </c>
      <c r="M461">
        <v>1</v>
      </c>
      <c r="N461">
        <v>1</v>
      </c>
    </row>
    <row r="462" spans="1:14" x14ac:dyDescent="0.45">
      <c r="A462" t="s">
        <v>1889</v>
      </c>
      <c r="B462" t="s">
        <v>1890</v>
      </c>
      <c r="C462" t="s">
        <v>1891</v>
      </c>
      <c r="D462" t="s">
        <v>1892</v>
      </c>
      <c r="E462" t="s">
        <v>279</v>
      </c>
      <c r="F462" t="s">
        <v>280</v>
      </c>
      <c r="G462" t="s">
        <v>750</v>
      </c>
      <c r="H462" t="s">
        <v>751</v>
      </c>
      <c r="I462" t="s">
        <v>199</v>
      </c>
      <c r="J462" t="s">
        <v>281</v>
      </c>
      <c r="M462">
        <v>1</v>
      </c>
      <c r="N462">
        <v>1</v>
      </c>
    </row>
    <row r="463" spans="1:14" x14ac:dyDescent="0.45">
      <c r="A463" t="s">
        <v>1893</v>
      </c>
      <c r="B463" t="s">
        <v>1894</v>
      </c>
      <c r="C463" t="s">
        <v>1891</v>
      </c>
      <c r="D463" t="s">
        <v>1892</v>
      </c>
      <c r="E463" t="s">
        <v>279</v>
      </c>
      <c r="F463" t="s">
        <v>280</v>
      </c>
      <c r="G463" t="s">
        <v>750</v>
      </c>
      <c r="H463" t="s">
        <v>751</v>
      </c>
      <c r="I463" t="s">
        <v>199</v>
      </c>
      <c r="J463" t="s">
        <v>281</v>
      </c>
      <c r="M463">
        <v>1</v>
      </c>
      <c r="N463">
        <v>1</v>
      </c>
    </row>
    <row r="464" spans="1:14" x14ac:dyDescent="0.45">
      <c r="A464" t="s">
        <v>1895</v>
      </c>
      <c r="B464" t="s">
        <v>1896</v>
      </c>
      <c r="C464" t="s">
        <v>1891</v>
      </c>
      <c r="D464" t="s">
        <v>1892</v>
      </c>
      <c r="E464" t="s">
        <v>279</v>
      </c>
      <c r="F464" t="s">
        <v>280</v>
      </c>
      <c r="G464" t="s">
        <v>750</v>
      </c>
      <c r="H464" t="s">
        <v>751</v>
      </c>
      <c r="I464" t="s">
        <v>199</v>
      </c>
      <c r="J464" t="s">
        <v>281</v>
      </c>
      <c r="M464">
        <v>1</v>
      </c>
      <c r="N464">
        <v>1</v>
      </c>
    </row>
    <row r="465" spans="1:14" x14ac:dyDescent="0.45">
      <c r="A465" t="s">
        <v>1897</v>
      </c>
      <c r="B465" t="s">
        <v>1898</v>
      </c>
      <c r="C465" t="s">
        <v>1891</v>
      </c>
      <c r="D465" t="s">
        <v>1892</v>
      </c>
      <c r="E465" t="s">
        <v>279</v>
      </c>
      <c r="F465" t="s">
        <v>280</v>
      </c>
      <c r="G465" t="s">
        <v>750</v>
      </c>
      <c r="H465" t="s">
        <v>751</v>
      </c>
      <c r="I465" t="s">
        <v>199</v>
      </c>
      <c r="J465" t="s">
        <v>281</v>
      </c>
      <c r="M465">
        <v>1</v>
      </c>
      <c r="N465">
        <v>1</v>
      </c>
    </row>
    <row r="466" spans="1:14" x14ac:dyDescent="0.45">
      <c r="A466" t="s">
        <v>1899</v>
      </c>
      <c r="B466" t="s">
        <v>1900</v>
      </c>
      <c r="C466" t="s">
        <v>1891</v>
      </c>
      <c r="D466" t="s">
        <v>1892</v>
      </c>
      <c r="E466" t="s">
        <v>279</v>
      </c>
      <c r="F466" t="s">
        <v>280</v>
      </c>
      <c r="G466" t="s">
        <v>750</v>
      </c>
      <c r="H466" t="s">
        <v>751</v>
      </c>
      <c r="I466" t="s">
        <v>199</v>
      </c>
      <c r="J466" t="s">
        <v>281</v>
      </c>
      <c r="M466">
        <v>1</v>
      </c>
      <c r="N466">
        <v>1</v>
      </c>
    </row>
    <row r="467" spans="1:14" x14ac:dyDescent="0.45">
      <c r="A467" t="s">
        <v>1901</v>
      </c>
      <c r="B467" t="s">
        <v>1902</v>
      </c>
      <c r="C467" t="s">
        <v>1891</v>
      </c>
      <c r="D467" t="s">
        <v>1892</v>
      </c>
      <c r="E467" t="s">
        <v>279</v>
      </c>
      <c r="F467" t="s">
        <v>280</v>
      </c>
      <c r="G467" t="s">
        <v>750</v>
      </c>
      <c r="H467" t="s">
        <v>751</v>
      </c>
      <c r="I467" t="s">
        <v>199</v>
      </c>
      <c r="J467" t="s">
        <v>281</v>
      </c>
      <c r="M467">
        <v>1</v>
      </c>
      <c r="N467">
        <v>1</v>
      </c>
    </row>
    <row r="468" spans="1:14" x14ac:dyDescent="0.45">
      <c r="A468" t="s">
        <v>1903</v>
      </c>
      <c r="B468" t="s">
        <v>1904</v>
      </c>
      <c r="C468" t="s">
        <v>1891</v>
      </c>
      <c r="D468" t="s">
        <v>1892</v>
      </c>
      <c r="E468" t="s">
        <v>279</v>
      </c>
      <c r="F468" t="s">
        <v>280</v>
      </c>
      <c r="G468" t="s">
        <v>750</v>
      </c>
      <c r="H468" t="s">
        <v>751</v>
      </c>
      <c r="I468" t="s">
        <v>199</v>
      </c>
      <c r="J468" t="s">
        <v>281</v>
      </c>
      <c r="M468">
        <v>1</v>
      </c>
      <c r="N468">
        <v>1</v>
      </c>
    </row>
    <row r="469" spans="1:14" x14ac:dyDescent="0.45">
      <c r="A469" t="s">
        <v>1905</v>
      </c>
      <c r="B469" t="s">
        <v>1906</v>
      </c>
      <c r="C469" t="s">
        <v>1891</v>
      </c>
      <c r="D469" t="s">
        <v>1892</v>
      </c>
      <c r="E469" t="s">
        <v>279</v>
      </c>
      <c r="F469" t="s">
        <v>280</v>
      </c>
      <c r="G469" t="s">
        <v>750</v>
      </c>
      <c r="H469" t="s">
        <v>751</v>
      </c>
      <c r="I469" t="s">
        <v>199</v>
      </c>
      <c r="J469" t="s">
        <v>281</v>
      </c>
      <c r="M469">
        <v>1</v>
      </c>
      <c r="N469">
        <v>1</v>
      </c>
    </row>
    <row r="470" spans="1:14" x14ac:dyDescent="0.45">
      <c r="A470" t="s">
        <v>1907</v>
      </c>
      <c r="B470" t="s">
        <v>1908</v>
      </c>
      <c r="C470" t="s">
        <v>1891</v>
      </c>
      <c r="D470" t="s">
        <v>1892</v>
      </c>
      <c r="E470" t="s">
        <v>279</v>
      </c>
      <c r="F470" t="s">
        <v>280</v>
      </c>
      <c r="G470" t="s">
        <v>750</v>
      </c>
      <c r="H470" t="s">
        <v>751</v>
      </c>
      <c r="I470" t="s">
        <v>199</v>
      </c>
      <c r="J470" t="s">
        <v>281</v>
      </c>
      <c r="M470">
        <v>1</v>
      </c>
      <c r="N470">
        <v>1</v>
      </c>
    </row>
    <row r="471" spans="1:14" x14ac:dyDescent="0.45">
      <c r="A471" t="s">
        <v>1909</v>
      </c>
      <c r="B471" t="s">
        <v>1910</v>
      </c>
      <c r="C471" t="s">
        <v>1891</v>
      </c>
      <c r="D471" t="s">
        <v>1892</v>
      </c>
      <c r="E471" t="s">
        <v>279</v>
      </c>
      <c r="F471" t="s">
        <v>280</v>
      </c>
      <c r="G471" t="s">
        <v>750</v>
      </c>
      <c r="H471" t="s">
        <v>751</v>
      </c>
      <c r="I471" t="s">
        <v>199</v>
      </c>
      <c r="J471" t="s">
        <v>281</v>
      </c>
      <c r="M471">
        <v>1</v>
      </c>
      <c r="N471">
        <v>1</v>
      </c>
    </row>
    <row r="472" spans="1:14" x14ac:dyDescent="0.45">
      <c r="A472" t="s">
        <v>1911</v>
      </c>
      <c r="B472" t="s">
        <v>1912</v>
      </c>
      <c r="C472" t="s">
        <v>1891</v>
      </c>
      <c r="D472" t="s">
        <v>1892</v>
      </c>
      <c r="E472" t="s">
        <v>279</v>
      </c>
      <c r="F472" t="s">
        <v>280</v>
      </c>
      <c r="G472" t="s">
        <v>750</v>
      </c>
      <c r="H472" t="s">
        <v>751</v>
      </c>
      <c r="I472" t="s">
        <v>199</v>
      </c>
      <c r="J472" t="s">
        <v>281</v>
      </c>
      <c r="M472">
        <v>1</v>
      </c>
      <c r="N472">
        <v>1</v>
      </c>
    </row>
    <row r="473" spans="1:14" x14ac:dyDescent="0.45">
      <c r="A473" t="s">
        <v>1913</v>
      </c>
      <c r="B473" t="s">
        <v>1914</v>
      </c>
      <c r="C473" t="s">
        <v>1915</v>
      </c>
      <c r="D473" t="s">
        <v>1916</v>
      </c>
      <c r="E473" t="s">
        <v>279</v>
      </c>
      <c r="F473" t="s">
        <v>280</v>
      </c>
      <c r="G473" t="s">
        <v>750</v>
      </c>
      <c r="H473" t="s">
        <v>751</v>
      </c>
      <c r="I473" t="s">
        <v>199</v>
      </c>
      <c r="J473" t="s">
        <v>281</v>
      </c>
      <c r="M473">
        <v>1</v>
      </c>
      <c r="N473">
        <v>1</v>
      </c>
    </row>
    <row r="474" spans="1:14" x14ac:dyDescent="0.45">
      <c r="A474" t="s">
        <v>1917</v>
      </c>
      <c r="B474" t="s">
        <v>1918</v>
      </c>
      <c r="C474" t="s">
        <v>1915</v>
      </c>
      <c r="D474" t="s">
        <v>1916</v>
      </c>
      <c r="E474" t="s">
        <v>279</v>
      </c>
      <c r="F474" t="s">
        <v>280</v>
      </c>
      <c r="G474" t="s">
        <v>750</v>
      </c>
      <c r="H474" t="s">
        <v>751</v>
      </c>
      <c r="I474" t="s">
        <v>199</v>
      </c>
      <c r="J474" t="s">
        <v>281</v>
      </c>
      <c r="M474">
        <v>1</v>
      </c>
      <c r="N474">
        <v>1</v>
      </c>
    </row>
    <row r="475" spans="1:14" x14ac:dyDescent="0.45">
      <c r="A475" t="s">
        <v>1919</v>
      </c>
      <c r="B475" t="s">
        <v>1920</v>
      </c>
      <c r="C475" t="s">
        <v>1915</v>
      </c>
      <c r="D475" t="s">
        <v>1916</v>
      </c>
      <c r="E475" t="s">
        <v>279</v>
      </c>
      <c r="F475" t="s">
        <v>280</v>
      </c>
      <c r="G475" t="s">
        <v>750</v>
      </c>
      <c r="H475" t="s">
        <v>751</v>
      </c>
      <c r="I475" t="s">
        <v>199</v>
      </c>
      <c r="J475" t="s">
        <v>281</v>
      </c>
      <c r="M475">
        <v>1</v>
      </c>
      <c r="N475">
        <v>1</v>
      </c>
    </row>
    <row r="476" spans="1:14" x14ac:dyDescent="0.45">
      <c r="A476" t="s">
        <v>1921</v>
      </c>
      <c r="B476" t="s">
        <v>1922</v>
      </c>
      <c r="C476" t="s">
        <v>1915</v>
      </c>
      <c r="D476" t="s">
        <v>1916</v>
      </c>
      <c r="E476" t="s">
        <v>279</v>
      </c>
      <c r="F476" t="s">
        <v>280</v>
      </c>
      <c r="G476" t="s">
        <v>750</v>
      </c>
      <c r="H476" t="s">
        <v>751</v>
      </c>
      <c r="I476" t="s">
        <v>199</v>
      </c>
      <c r="J476" t="s">
        <v>281</v>
      </c>
      <c r="M476">
        <v>1</v>
      </c>
      <c r="N476">
        <v>1</v>
      </c>
    </row>
    <row r="477" spans="1:14" x14ac:dyDescent="0.45">
      <c r="A477" t="s">
        <v>1923</v>
      </c>
      <c r="B477" t="s">
        <v>1924</v>
      </c>
      <c r="C477" t="s">
        <v>1915</v>
      </c>
      <c r="D477" t="s">
        <v>1916</v>
      </c>
      <c r="E477" t="s">
        <v>279</v>
      </c>
      <c r="F477" t="s">
        <v>280</v>
      </c>
      <c r="G477" t="s">
        <v>750</v>
      </c>
      <c r="H477" t="s">
        <v>751</v>
      </c>
      <c r="I477" t="s">
        <v>199</v>
      </c>
      <c r="J477" t="s">
        <v>281</v>
      </c>
      <c r="M477">
        <v>1</v>
      </c>
      <c r="N477">
        <v>1</v>
      </c>
    </row>
    <row r="478" spans="1:14" x14ac:dyDescent="0.45">
      <c r="A478" t="s">
        <v>1925</v>
      </c>
      <c r="B478" t="s">
        <v>1926</v>
      </c>
      <c r="C478" t="s">
        <v>1915</v>
      </c>
      <c r="D478" t="s">
        <v>1916</v>
      </c>
      <c r="E478" t="s">
        <v>279</v>
      </c>
      <c r="F478" t="s">
        <v>280</v>
      </c>
      <c r="G478" t="s">
        <v>750</v>
      </c>
      <c r="H478" t="s">
        <v>751</v>
      </c>
      <c r="I478" t="s">
        <v>199</v>
      </c>
      <c r="J478" t="s">
        <v>281</v>
      </c>
      <c r="M478">
        <v>1</v>
      </c>
      <c r="N478">
        <v>1</v>
      </c>
    </row>
    <row r="479" spans="1:14" x14ac:dyDescent="0.45">
      <c r="A479" t="s">
        <v>872</v>
      </c>
      <c r="B479" t="s">
        <v>1927</v>
      </c>
      <c r="C479" t="s">
        <v>1915</v>
      </c>
      <c r="D479" t="s">
        <v>1916</v>
      </c>
      <c r="E479" t="s">
        <v>279</v>
      </c>
      <c r="F479" t="s">
        <v>280</v>
      </c>
      <c r="G479" t="s">
        <v>750</v>
      </c>
      <c r="H479" t="s">
        <v>751</v>
      </c>
      <c r="I479" t="s">
        <v>199</v>
      </c>
      <c r="J479" t="s">
        <v>281</v>
      </c>
      <c r="M479">
        <v>1</v>
      </c>
      <c r="N479">
        <v>1</v>
      </c>
    </row>
    <row r="480" spans="1:14" x14ac:dyDescent="0.45">
      <c r="A480" t="s">
        <v>1928</v>
      </c>
      <c r="B480" t="s">
        <v>1929</v>
      </c>
      <c r="C480" t="s">
        <v>1915</v>
      </c>
      <c r="D480" t="s">
        <v>1916</v>
      </c>
      <c r="E480" t="s">
        <v>279</v>
      </c>
      <c r="F480" t="s">
        <v>280</v>
      </c>
      <c r="G480" t="s">
        <v>750</v>
      </c>
      <c r="H480" t="s">
        <v>751</v>
      </c>
      <c r="I480" t="s">
        <v>199</v>
      </c>
      <c r="J480" t="s">
        <v>281</v>
      </c>
      <c r="M480">
        <v>1</v>
      </c>
      <c r="N480">
        <v>1</v>
      </c>
    </row>
    <row r="481" spans="1:14" x14ac:dyDescent="0.45">
      <c r="A481" t="s">
        <v>1930</v>
      </c>
      <c r="B481" t="s">
        <v>1931</v>
      </c>
      <c r="C481" t="s">
        <v>1932</v>
      </c>
      <c r="D481" t="s">
        <v>1933</v>
      </c>
      <c r="E481" t="s">
        <v>279</v>
      </c>
      <c r="F481" t="s">
        <v>280</v>
      </c>
      <c r="G481" t="s">
        <v>750</v>
      </c>
      <c r="H481" t="s">
        <v>751</v>
      </c>
      <c r="I481" t="s">
        <v>199</v>
      </c>
      <c r="J481" t="s">
        <v>281</v>
      </c>
      <c r="M481">
        <v>1</v>
      </c>
      <c r="N481">
        <v>1</v>
      </c>
    </row>
    <row r="482" spans="1:14" x14ac:dyDescent="0.45">
      <c r="A482" t="s">
        <v>1934</v>
      </c>
      <c r="B482" t="s">
        <v>1935</v>
      </c>
      <c r="C482" t="s">
        <v>1932</v>
      </c>
      <c r="D482" t="s">
        <v>1933</v>
      </c>
      <c r="E482" t="s">
        <v>279</v>
      </c>
      <c r="F482" t="s">
        <v>280</v>
      </c>
      <c r="G482" t="s">
        <v>750</v>
      </c>
      <c r="H482" t="s">
        <v>751</v>
      </c>
      <c r="I482" t="s">
        <v>199</v>
      </c>
      <c r="J482" t="s">
        <v>281</v>
      </c>
      <c r="M482">
        <v>1</v>
      </c>
      <c r="N482">
        <v>1</v>
      </c>
    </row>
    <row r="483" spans="1:14" x14ac:dyDescent="0.45">
      <c r="A483" t="s">
        <v>1936</v>
      </c>
      <c r="B483" t="s">
        <v>1937</v>
      </c>
      <c r="C483" t="s">
        <v>1932</v>
      </c>
      <c r="D483" t="s">
        <v>1933</v>
      </c>
      <c r="E483" t="s">
        <v>279</v>
      </c>
      <c r="F483" t="s">
        <v>280</v>
      </c>
      <c r="G483" t="s">
        <v>750</v>
      </c>
      <c r="H483" t="s">
        <v>751</v>
      </c>
      <c r="I483" t="s">
        <v>199</v>
      </c>
      <c r="J483" t="s">
        <v>281</v>
      </c>
      <c r="M483">
        <v>1</v>
      </c>
      <c r="N483">
        <v>1</v>
      </c>
    </row>
    <row r="484" spans="1:14" x14ac:dyDescent="0.45">
      <c r="A484" t="s">
        <v>1938</v>
      </c>
      <c r="B484" t="s">
        <v>1939</v>
      </c>
      <c r="C484" t="s">
        <v>1932</v>
      </c>
      <c r="D484" t="s">
        <v>1933</v>
      </c>
      <c r="E484" t="s">
        <v>279</v>
      </c>
      <c r="F484" t="s">
        <v>280</v>
      </c>
      <c r="G484" t="s">
        <v>750</v>
      </c>
      <c r="H484" t="s">
        <v>751</v>
      </c>
      <c r="I484" t="s">
        <v>199</v>
      </c>
      <c r="J484" t="s">
        <v>281</v>
      </c>
      <c r="M484">
        <v>1</v>
      </c>
      <c r="N484">
        <v>1</v>
      </c>
    </row>
    <row r="485" spans="1:14" x14ac:dyDescent="0.45">
      <c r="A485" t="s">
        <v>1940</v>
      </c>
      <c r="B485" t="s">
        <v>1941</v>
      </c>
      <c r="C485" t="s">
        <v>1932</v>
      </c>
      <c r="D485" t="s">
        <v>1933</v>
      </c>
      <c r="E485" t="s">
        <v>279</v>
      </c>
      <c r="F485" t="s">
        <v>280</v>
      </c>
      <c r="G485" t="s">
        <v>750</v>
      </c>
      <c r="H485" t="s">
        <v>751</v>
      </c>
      <c r="I485" t="s">
        <v>199</v>
      </c>
      <c r="J485" t="s">
        <v>281</v>
      </c>
      <c r="M485">
        <v>1</v>
      </c>
      <c r="N485">
        <v>1</v>
      </c>
    </row>
    <row r="486" spans="1:14" x14ac:dyDescent="0.45">
      <c r="A486" t="s">
        <v>1942</v>
      </c>
      <c r="B486" t="s">
        <v>1943</v>
      </c>
      <c r="C486" t="s">
        <v>1932</v>
      </c>
      <c r="D486" t="s">
        <v>1933</v>
      </c>
      <c r="E486" t="s">
        <v>279</v>
      </c>
      <c r="F486" t="s">
        <v>280</v>
      </c>
      <c r="G486" t="s">
        <v>750</v>
      </c>
      <c r="H486" t="s">
        <v>751</v>
      </c>
      <c r="I486" t="s">
        <v>199</v>
      </c>
      <c r="J486" t="s">
        <v>281</v>
      </c>
      <c r="M486">
        <v>1</v>
      </c>
      <c r="N486">
        <v>1</v>
      </c>
    </row>
    <row r="487" spans="1:14" x14ac:dyDescent="0.45">
      <c r="A487" t="s">
        <v>1944</v>
      </c>
      <c r="B487" t="s">
        <v>1945</v>
      </c>
      <c r="C487" t="s">
        <v>1932</v>
      </c>
      <c r="D487" t="s">
        <v>1933</v>
      </c>
      <c r="E487" t="s">
        <v>279</v>
      </c>
      <c r="F487" t="s">
        <v>280</v>
      </c>
      <c r="G487" t="s">
        <v>750</v>
      </c>
      <c r="H487" t="s">
        <v>751</v>
      </c>
      <c r="I487" t="s">
        <v>199</v>
      </c>
      <c r="J487" t="s">
        <v>281</v>
      </c>
      <c r="M487">
        <v>1</v>
      </c>
      <c r="N487">
        <v>1</v>
      </c>
    </row>
    <row r="488" spans="1:14" x14ac:dyDescent="0.45">
      <c r="A488" t="s">
        <v>1946</v>
      </c>
      <c r="B488" t="s">
        <v>1947</v>
      </c>
      <c r="C488" t="s">
        <v>1932</v>
      </c>
      <c r="D488" t="s">
        <v>1933</v>
      </c>
      <c r="E488" t="s">
        <v>279</v>
      </c>
      <c r="F488" t="s">
        <v>280</v>
      </c>
      <c r="G488" t="s">
        <v>750</v>
      </c>
      <c r="H488" t="s">
        <v>751</v>
      </c>
      <c r="I488" t="s">
        <v>199</v>
      </c>
      <c r="J488" t="s">
        <v>281</v>
      </c>
      <c r="M488">
        <v>1</v>
      </c>
      <c r="N488">
        <v>1</v>
      </c>
    </row>
    <row r="489" spans="1:14" x14ac:dyDescent="0.45">
      <c r="A489" t="s">
        <v>1948</v>
      </c>
      <c r="B489" t="s">
        <v>1949</v>
      </c>
      <c r="C489" t="s">
        <v>1932</v>
      </c>
      <c r="D489" t="s">
        <v>1933</v>
      </c>
      <c r="E489" t="s">
        <v>279</v>
      </c>
      <c r="F489" t="s">
        <v>280</v>
      </c>
      <c r="G489" t="s">
        <v>750</v>
      </c>
      <c r="H489" t="s">
        <v>751</v>
      </c>
      <c r="I489" t="s">
        <v>199</v>
      </c>
      <c r="J489" t="s">
        <v>281</v>
      </c>
      <c r="M489">
        <v>1</v>
      </c>
      <c r="N489">
        <v>1</v>
      </c>
    </row>
    <row r="490" spans="1:14" x14ac:dyDescent="0.45">
      <c r="A490" t="s">
        <v>1950</v>
      </c>
      <c r="B490" t="s">
        <v>1951</v>
      </c>
      <c r="C490" t="s">
        <v>1932</v>
      </c>
      <c r="D490" t="s">
        <v>1933</v>
      </c>
      <c r="E490" t="s">
        <v>279</v>
      </c>
      <c r="F490" t="s">
        <v>280</v>
      </c>
      <c r="G490" t="s">
        <v>750</v>
      </c>
      <c r="H490" t="s">
        <v>751</v>
      </c>
      <c r="I490" t="s">
        <v>199</v>
      </c>
      <c r="J490" t="s">
        <v>281</v>
      </c>
      <c r="M490">
        <v>1</v>
      </c>
      <c r="N490">
        <v>1</v>
      </c>
    </row>
    <row r="491" spans="1:14" x14ac:dyDescent="0.45">
      <c r="A491" t="s">
        <v>1952</v>
      </c>
      <c r="B491" t="s">
        <v>1953</v>
      </c>
      <c r="C491" t="s">
        <v>1932</v>
      </c>
      <c r="D491" t="s">
        <v>1933</v>
      </c>
      <c r="E491" t="s">
        <v>279</v>
      </c>
      <c r="F491" t="s">
        <v>280</v>
      </c>
      <c r="G491" t="s">
        <v>750</v>
      </c>
      <c r="H491" t="s">
        <v>751</v>
      </c>
      <c r="I491" t="s">
        <v>199</v>
      </c>
      <c r="J491" t="s">
        <v>281</v>
      </c>
      <c r="M491">
        <v>1</v>
      </c>
      <c r="N491">
        <v>1</v>
      </c>
    </row>
    <row r="492" spans="1:14" x14ac:dyDescent="0.45">
      <c r="A492" t="s">
        <v>1954</v>
      </c>
      <c r="B492" t="s">
        <v>1955</v>
      </c>
      <c r="C492" t="s">
        <v>1932</v>
      </c>
      <c r="D492" t="s">
        <v>1933</v>
      </c>
      <c r="E492" t="s">
        <v>279</v>
      </c>
      <c r="F492" t="s">
        <v>280</v>
      </c>
      <c r="G492" t="s">
        <v>750</v>
      </c>
      <c r="H492" t="s">
        <v>751</v>
      </c>
      <c r="I492" t="s">
        <v>199</v>
      </c>
      <c r="J492" t="s">
        <v>281</v>
      </c>
      <c r="M492">
        <v>1</v>
      </c>
      <c r="N492">
        <v>1</v>
      </c>
    </row>
    <row r="493" spans="1:14" x14ac:dyDescent="0.45">
      <c r="A493" t="s">
        <v>1956</v>
      </c>
      <c r="B493" t="s">
        <v>1957</v>
      </c>
      <c r="C493" t="s">
        <v>1958</v>
      </c>
      <c r="D493" t="s">
        <v>1959</v>
      </c>
      <c r="E493" t="s">
        <v>279</v>
      </c>
      <c r="F493" t="s">
        <v>280</v>
      </c>
      <c r="G493" t="s">
        <v>750</v>
      </c>
      <c r="H493" t="s">
        <v>751</v>
      </c>
      <c r="I493" t="s">
        <v>199</v>
      </c>
      <c r="J493" t="s">
        <v>281</v>
      </c>
      <c r="M493">
        <v>1</v>
      </c>
      <c r="N493">
        <v>1</v>
      </c>
    </row>
    <row r="494" spans="1:14" x14ac:dyDescent="0.45">
      <c r="A494" t="s">
        <v>1960</v>
      </c>
      <c r="B494" t="s">
        <v>1961</v>
      </c>
      <c r="C494" t="s">
        <v>1958</v>
      </c>
      <c r="D494" t="s">
        <v>1959</v>
      </c>
      <c r="E494" t="s">
        <v>279</v>
      </c>
      <c r="F494" t="s">
        <v>280</v>
      </c>
      <c r="G494" t="s">
        <v>750</v>
      </c>
      <c r="H494" t="s">
        <v>751</v>
      </c>
      <c r="I494" t="s">
        <v>199</v>
      </c>
      <c r="J494" t="s">
        <v>281</v>
      </c>
      <c r="M494">
        <v>1</v>
      </c>
      <c r="N494">
        <v>1</v>
      </c>
    </row>
    <row r="495" spans="1:14" x14ac:dyDescent="0.45">
      <c r="A495" t="s">
        <v>1962</v>
      </c>
      <c r="B495" t="s">
        <v>1963</v>
      </c>
      <c r="C495" t="s">
        <v>1958</v>
      </c>
      <c r="D495" t="s">
        <v>1959</v>
      </c>
      <c r="E495" t="s">
        <v>279</v>
      </c>
      <c r="F495" t="s">
        <v>280</v>
      </c>
      <c r="G495" t="s">
        <v>750</v>
      </c>
      <c r="H495" t="s">
        <v>751</v>
      </c>
      <c r="I495" t="s">
        <v>199</v>
      </c>
      <c r="J495" t="s">
        <v>281</v>
      </c>
      <c r="M495">
        <v>1</v>
      </c>
      <c r="N495">
        <v>1</v>
      </c>
    </row>
    <row r="496" spans="1:14" x14ac:dyDescent="0.45">
      <c r="A496" t="s">
        <v>1964</v>
      </c>
      <c r="B496" t="s">
        <v>1965</v>
      </c>
      <c r="C496" t="s">
        <v>1958</v>
      </c>
      <c r="D496" t="s">
        <v>1959</v>
      </c>
      <c r="E496" t="s">
        <v>279</v>
      </c>
      <c r="F496" t="s">
        <v>280</v>
      </c>
      <c r="G496" t="s">
        <v>750</v>
      </c>
      <c r="H496" t="s">
        <v>751</v>
      </c>
      <c r="I496" t="s">
        <v>199</v>
      </c>
      <c r="J496" t="s">
        <v>281</v>
      </c>
      <c r="M496">
        <v>1</v>
      </c>
      <c r="N496">
        <v>1</v>
      </c>
    </row>
    <row r="497" spans="1:14" x14ac:dyDescent="0.45">
      <c r="A497" t="s">
        <v>1966</v>
      </c>
      <c r="B497" t="s">
        <v>1967</v>
      </c>
      <c r="C497" t="s">
        <v>1958</v>
      </c>
      <c r="D497" t="s">
        <v>1959</v>
      </c>
      <c r="E497" t="s">
        <v>279</v>
      </c>
      <c r="F497" t="s">
        <v>280</v>
      </c>
      <c r="G497" t="s">
        <v>750</v>
      </c>
      <c r="H497" t="s">
        <v>751</v>
      </c>
      <c r="I497" t="s">
        <v>199</v>
      </c>
      <c r="J497" t="s">
        <v>281</v>
      </c>
      <c r="M497">
        <v>1</v>
      </c>
      <c r="N497">
        <v>1</v>
      </c>
    </row>
    <row r="498" spans="1:14" x14ac:dyDescent="0.45">
      <c r="A498" t="s">
        <v>1968</v>
      </c>
      <c r="B498" t="s">
        <v>1969</v>
      </c>
      <c r="C498" t="s">
        <v>1958</v>
      </c>
      <c r="D498" t="s">
        <v>1959</v>
      </c>
      <c r="E498" t="s">
        <v>279</v>
      </c>
      <c r="F498" t="s">
        <v>280</v>
      </c>
      <c r="G498" t="s">
        <v>750</v>
      </c>
      <c r="H498" t="s">
        <v>751</v>
      </c>
      <c r="I498" t="s">
        <v>199</v>
      </c>
      <c r="J498" t="s">
        <v>281</v>
      </c>
      <c r="M498">
        <v>1</v>
      </c>
      <c r="N498">
        <v>1</v>
      </c>
    </row>
    <row r="499" spans="1:14" x14ac:dyDescent="0.45">
      <c r="A499" t="s">
        <v>1970</v>
      </c>
      <c r="B499" t="s">
        <v>1971</v>
      </c>
      <c r="C499" t="s">
        <v>1958</v>
      </c>
      <c r="D499" t="s">
        <v>1959</v>
      </c>
      <c r="E499" t="s">
        <v>279</v>
      </c>
      <c r="F499" t="s">
        <v>280</v>
      </c>
      <c r="G499" t="s">
        <v>750</v>
      </c>
      <c r="H499" t="s">
        <v>751</v>
      </c>
      <c r="I499" t="s">
        <v>199</v>
      </c>
      <c r="J499" t="s">
        <v>281</v>
      </c>
      <c r="M499">
        <v>1</v>
      </c>
      <c r="N499">
        <v>1</v>
      </c>
    </row>
    <row r="500" spans="1:14" x14ac:dyDescent="0.45">
      <c r="A500" t="s">
        <v>1972</v>
      </c>
      <c r="B500" t="s">
        <v>1973</v>
      </c>
      <c r="C500" t="s">
        <v>1974</v>
      </c>
      <c r="D500" t="s">
        <v>1975</v>
      </c>
      <c r="E500" t="s">
        <v>279</v>
      </c>
      <c r="F500" t="s">
        <v>280</v>
      </c>
      <c r="G500" t="s">
        <v>750</v>
      </c>
      <c r="H500" t="s">
        <v>751</v>
      </c>
      <c r="I500" t="s">
        <v>199</v>
      </c>
      <c r="J500" t="s">
        <v>281</v>
      </c>
      <c r="M500">
        <v>1</v>
      </c>
      <c r="N500">
        <v>1</v>
      </c>
    </row>
    <row r="501" spans="1:14" x14ac:dyDescent="0.45">
      <c r="A501" t="s">
        <v>1144</v>
      </c>
      <c r="B501" t="s">
        <v>1976</v>
      </c>
      <c r="C501" t="s">
        <v>1974</v>
      </c>
      <c r="D501" t="s">
        <v>1975</v>
      </c>
      <c r="E501" t="s">
        <v>279</v>
      </c>
      <c r="F501" t="s">
        <v>280</v>
      </c>
      <c r="G501" t="s">
        <v>750</v>
      </c>
      <c r="H501" t="s">
        <v>751</v>
      </c>
      <c r="I501" t="s">
        <v>199</v>
      </c>
      <c r="J501" t="s">
        <v>281</v>
      </c>
      <c r="M501">
        <v>1</v>
      </c>
      <c r="N501">
        <v>1</v>
      </c>
    </row>
    <row r="502" spans="1:14" x14ac:dyDescent="0.45">
      <c r="A502" t="s">
        <v>1977</v>
      </c>
      <c r="B502" t="s">
        <v>1978</v>
      </c>
      <c r="C502" t="s">
        <v>1974</v>
      </c>
      <c r="D502" t="s">
        <v>1975</v>
      </c>
      <c r="E502" t="s">
        <v>279</v>
      </c>
      <c r="F502" t="s">
        <v>280</v>
      </c>
      <c r="G502" t="s">
        <v>750</v>
      </c>
      <c r="H502" t="s">
        <v>751</v>
      </c>
      <c r="I502" t="s">
        <v>199</v>
      </c>
      <c r="J502" t="s">
        <v>281</v>
      </c>
      <c r="M502">
        <v>1</v>
      </c>
      <c r="N502">
        <v>1</v>
      </c>
    </row>
    <row r="503" spans="1:14" x14ac:dyDescent="0.45">
      <c r="A503" t="s">
        <v>1979</v>
      </c>
      <c r="B503" t="s">
        <v>1980</v>
      </c>
      <c r="C503" t="s">
        <v>1974</v>
      </c>
      <c r="D503" t="s">
        <v>1975</v>
      </c>
      <c r="E503" t="s">
        <v>279</v>
      </c>
      <c r="F503" t="s">
        <v>280</v>
      </c>
      <c r="G503" t="s">
        <v>750</v>
      </c>
      <c r="H503" t="s">
        <v>751</v>
      </c>
      <c r="I503" t="s">
        <v>199</v>
      </c>
      <c r="J503" t="s">
        <v>281</v>
      </c>
      <c r="M503">
        <v>1</v>
      </c>
      <c r="N503">
        <v>1</v>
      </c>
    </row>
    <row r="504" spans="1:14" x14ac:dyDescent="0.45">
      <c r="A504" t="s">
        <v>1981</v>
      </c>
      <c r="B504" t="s">
        <v>1982</v>
      </c>
      <c r="C504" t="s">
        <v>1974</v>
      </c>
      <c r="D504" t="s">
        <v>1975</v>
      </c>
      <c r="E504" t="s">
        <v>279</v>
      </c>
      <c r="F504" t="s">
        <v>280</v>
      </c>
      <c r="G504" t="s">
        <v>750</v>
      </c>
      <c r="H504" t="s">
        <v>751</v>
      </c>
      <c r="I504" t="s">
        <v>199</v>
      </c>
      <c r="J504" t="s">
        <v>281</v>
      </c>
      <c r="M504">
        <v>1</v>
      </c>
      <c r="N504">
        <v>1</v>
      </c>
    </row>
    <row r="505" spans="1:14" x14ac:dyDescent="0.45">
      <c r="A505" t="s">
        <v>1017</v>
      </c>
      <c r="B505" t="s">
        <v>1983</v>
      </c>
      <c r="C505" t="s">
        <v>1974</v>
      </c>
      <c r="D505" t="s">
        <v>1975</v>
      </c>
      <c r="E505" t="s">
        <v>279</v>
      </c>
      <c r="F505" t="s">
        <v>280</v>
      </c>
      <c r="G505" t="s">
        <v>750</v>
      </c>
      <c r="H505" t="s">
        <v>751</v>
      </c>
      <c r="I505" t="s">
        <v>199</v>
      </c>
      <c r="J505" t="s">
        <v>281</v>
      </c>
      <c r="M505">
        <v>1</v>
      </c>
      <c r="N505">
        <v>1</v>
      </c>
    </row>
    <row r="506" spans="1:14" x14ac:dyDescent="0.45">
      <c r="A506" t="s">
        <v>1984</v>
      </c>
      <c r="B506" t="s">
        <v>1985</v>
      </c>
      <c r="C506" t="s">
        <v>1974</v>
      </c>
      <c r="D506" t="s">
        <v>1975</v>
      </c>
      <c r="E506" t="s">
        <v>279</v>
      </c>
      <c r="F506" t="s">
        <v>280</v>
      </c>
      <c r="G506" t="s">
        <v>750</v>
      </c>
      <c r="H506" t="s">
        <v>751</v>
      </c>
      <c r="I506" t="s">
        <v>199</v>
      </c>
      <c r="J506" t="s">
        <v>281</v>
      </c>
      <c r="M506">
        <v>1</v>
      </c>
      <c r="N506">
        <v>1</v>
      </c>
    </row>
    <row r="507" spans="1:14" x14ac:dyDescent="0.45">
      <c r="A507" t="s">
        <v>1176</v>
      </c>
      <c r="B507" t="s">
        <v>1986</v>
      </c>
      <c r="C507" t="s">
        <v>1974</v>
      </c>
      <c r="D507" t="s">
        <v>1975</v>
      </c>
      <c r="E507" t="s">
        <v>279</v>
      </c>
      <c r="F507" t="s">
        <v>280</v>
      </c>
      <c r="G507" t="s">
        <v>750</v>
      </c>
      <c r="H507" t="s">
        <v>751</v>
      </c>
      <c r="I507" t="s">
        <v>199</v>
      </c>
      <c r="J507" t="s">
        <v>281</v>
      </c>
      <c r="M507">
        <v>1</v>
      </c>
      <c r="N507">
        <v>1</v>
      </c>
    </row>
    <row r="508" spans="1:14" x14ac:dyDescent="0.45">
      <c r="A508" t="s">
        <v>1987</v>
      </c>
      <c r="B508" t="s">
        <v>1988</v>
      </c>
      <c r="C508" t="s">
        <v>1974</v>
      </c>
      <c r="D508" t="s">
        <v>1975</v>
      </c>
      <c r="E508" t="s">
        <v>279</v>
      </c>
      <c r="F508" t="s">
        <v>280</v>
      </c>
      <c r="G508" t="s">
        <v>750</v>
      </c>
      <c r="H508" t="s">
        <v>751</v>
      </c>
      <c r="I508" t="s">
        <v>199</v>
      </c>
      <c r="J508" t="s">
        <v>281</v>
      </c>
      <c r="M508">
        <v>1</v>
      </c>
      <c r="N508">
        <v>1</v>
      </c>
    </row>
    <row r="509" spans="1:14" x14ac:dyDescent="0.45">
      <c r="A509" t="s">
        <v>1989</v>
      </c>
      <c r="B509" t="s">
        <v>1990</v>
      </c>
      <c r="C509" t="s">
        <v>1991</v>
      </c>
      <c r="D509" t="s">
        <v>1992</v>
      </c>
      <c r="E509" t="s">
        <v>279</v>
      </c>
      <c r="F509" t="s">
        <v>280</v>
      </c>
      <c r="G509" t="s">
        <v>750</v>
      </c>
      <c r="H509" t="s">
        <v>751</v>
      </c>
      <c r="I509" t="s">
        <v>199</v>
      </c>
      <c r="J509" t="s">
        <v>281</v>
      </c>
      <c r="M509">
        <v>1</v>
      </c>
      <c r="N509">
        <v>1</v>
      </c>
    </row>
    <row r="510" spans="1:14" x14ac:dyDescent="0.45">
      <c r="A510" t="s">
        <v>1993</v>
      </c>
      <c r="B510" t="s">
        <v>1994</v>
      </c>
      <c r="C510" t="s">
        <v>1991</v>
      </c>
      <c r="D510" t="s">
        <v>1992</v>
      </c>
      <c r="E510" t="s">
        <v>279</v>
      </c>
      <c r="F510" t="s">
        <v>280</v>
      </c>
      <c r="G510" t="s">
        <v>750</v>
      </c>
      <c r="H510" t="s">
        <v>751</v>
      </c>
      <c r="I510" t="s">
        <v>199</v>
      </c>
      <c r="J510" t="s">
        <v>281</v>
      </c>
      <c r="M510">
        <v>1</v>
      </c>
      <c r="N510">
        <v>1</v>
      </c>
    </row>
    <row r="511" spans="1:14" x14ac:dyDescent="0.45">
      <c r="A511" t="s">
        <v>1995</v>
      </c>
      <c r="B511" t="s">
        <v>1996</v>
      </c>
      <c r="C511" t="s">
        <v>1991</v>
      </c>
      <c r="D511" t="s">
        <v>1992</v>
      </c>
      <c r="E511" t="s">
        <v>279</v>
      </c>
      <c r="F511" t="s">
        <v>280</v>
      </c>
      <c r="G511" t="s">
        <v>750</v>
      </c>
      <c r="H511" t="s">
        <v>751</v>
      </c>
      <c r="I511" t="s">
        <v>199</v>
      </c>
      <c r="J511" t="s">
        <v>281</v>
      </c>
      <c r="M511">
        <v>1</v>
      </c>
      <c r="N511">
        <v>1</v>
      </c>
    </row>
    <row r="512" spans="1:14" x14ac:dyDescent="0.45">
      <c r="A512" t="s">
        <v>1997</v>
      </c>
      <c r="B512" t="s">
        <v>1998</v>
      </c>
      <c r="C512" t="s">
        <v>1991</v>
      </c>
      <c r="D512" t="s">
        <v>1992</v>
      </c>
      <c r="E512" t="s">
        <v>279</v>
      </c>
      <c r="F512" t="s">
        <v>280</v>
      </c>
      <c r="G512" t="s">
        <v>750</v>
      </c>
      <c r="H512" t="s">
        <v>751</v>
      </c>
      <c r="I512" t="s">
        <v>199</v>
      </c>
      <c r="J512" t="s">
        <v>281</v>
      </c>
      <c r="M512">
        <v>1</v>
      </c>
      <c r="N512">
        <v>1</v>
      </c>
    </row>
    <row r="513" spans="1:14" x14ac:dyDescent="0.45">
      <c r="A513" t="s">
        <v>872</v>
      </c>
      <c r="B513" t="s">
        <v>1999</v>
      </c>
      <c r="C513" t="s">
        <v>1991</v>
      </c>
      <c r="D513" t="s">
        <v>1992</v>
      </c>
      <c r="E513" t="s">
        <v>279</v>
      </c>
      <c r="F513" t="s">
        <v>280</v>
      </c>
      <c r="G513" t="s">
        <v>750</v>
      </c>
      <c r="H513" t="s">
        <v>751</v>
      </c>
      <c r="I513" t="s">
        <v>199</v>
      </c>
      <c r="J513" t="s">
        <v>281</v>
      </c>
      <c r="M513">
        <v>1</v>
      </c>
      <c r="N513">
        <v>1</v>
      </c>
    </row>
    <row r="514" spans="1:14" x14ac:dyDescent="0.45">
      <c r="A514" t="s">
        <v>2000</v>
      </c>
      <c r="B514" t="s">
        <v>2001</v>
      </c>
      <c r="C514" t="s">
        <v>1991</v>
      </c>
      <c r="D514" t="s">
        <v>1992</v>
      </c>
      <c r="E514" t="s">
        <v>279</v>
      </c>
      <c r="F514" t="s">
        <v>280</v>
      </c>
      <c r="G514" t="s">
        <v>750</v>
      </c>
      <c r="H514" t="s">
        <v>751</v>
      </c>
      <c r="I514" t="s">
        <v>199</v>
      </c>
      <c r="J514" t="s">
        <v>281</v>
      </c>
      <c r="M514">
        <v>1</v>
      </c>
      <c r="N514">
        <v>1</v>
      </c>
    </row>
    <row r="515" spans="1:14" x14ac:dyDescent="0.45">
      <c r="A515" t="s">
        <v>2002</v>
      </c>
      <c r="B515" t="s">
        <v>2003</v>
      </c>
      <c r="C515" t="s">
        <v>1991</v>
      </c>
      <c r="D515" t="s">
        <v>1992</v>
      </c>
      <c r="E515" t="s">
        <v>279</v>
      </c>
      <c r="F515" t="s">
        <v>280</v>
      </c>
      <c r="G515" t="s">
        <v>750</v>
      </c>
      <c r="H515" t="s">
        <v>751</v>
      </c>
      <c r="I515" t="s">
        <v>199</v>
      </c>
      <c r="J515" t="s">
        <v>281</v>
      </c>
      <c r="M515">
        <v>1</v>
      </c>
      <c r="N515">
        <v>1</v>
      </c>
    </row>
    <row r="516" spans="1:14" x14ac:dyDescent="0.45">
      <c r="A516" t="s">
        <v>2004</v>
      </c>
      <c r="B516" t="s">
        <v>2005</v>
      </c>
      <c r="C516" t="s">
        <v>1991</v>
      </c>
      <c r="D516" t="s">
        <v>1992</v>
      </c>
      <c r="E516" t="s">
        <v>279</v>
      </c>
      <c r="F516" t="s">
        <v>280</v>
      </c>
      <c r="G516" t="s">
        <v>750</v>
      </c>
      <c r="H516" t="s">
        <v>751</v>
      </c>
      <c r="I516" t="s">
        <v>199</v>
      </c>
      <c r="J516" t="s">
        <v>281</v>
      </c>
      <c r="M516">
        <v>1</v>
      </c>
      <c r="N516">
        <v>1</v>
      </c>
    </row>
    <row r="517" spans="1:14" x14ac:dyDescent="0.45">
      <c r="A517" t="s">
        <v>2006</v>
      </c>
      <c r="B517" t="s">
        <v>2007</v>
      </c>
      <c r="C517" t="s">
        <v>1991</v>
      </c>
      <c r="D517" t="s">
        <v>1992</v>
      </c>
      <c r="E517" t="s">
        <v>279</v>
      </c>
      <c r="F517" t="s">
        <v>280</v>
      </c>
      <c r="G517" t="s">
        <v>750</v>
      </c>
      <c r="H517" t="s">
        <v>751</v>
      </c>
      <c r="I517" t="s">
        <v>199</v>
      </c>
      <c r="J517" t="s">
        <v>281</v>
      </c>
      <c r="M517">
        <v>1</v>
      </c>
      <c r="N517">
        <v>1</v>
      </c>
    </row>
    <row r="518" spans="1:14" x14ac:dyDescent="0.45">
      <c r="A518" t="s">
        <v>1610</v>
      </c>
      <c r="B518" t="s">
        <v>2008</v>
      </c>
      <c r="C518" t="s">
        <v>2009</v>
      </c>
      <c r="D518" t="s">
        <v>2010</v>
      </c>
      <c r="E518" t="s">
        <v>282</v>
      </c>
      <c r="F518" t="s">
        <v>283</v>
      </c>
      <c r="G518" t="s">
        <v>750</v>
      </c>
      <c r="H518" t="s">
        <v>751</v>
      </c>
      <c r="I518" t="s">
        <v>199</v>
      </c>
      <c r="J518" t="s">
        <v>284</v>
      </c>
      <c r="M518">
        <v>1</v>
      </c>
      <c r="N518">
        <v>1</v>
      </c>
    </row>
    <row r="519" spans="1:14" x14ac:dyDescent="0.45">
      <c r="A519" t="s">
        <v>1351</v>
      </c>
      <c r="B519" t="s">
        <v>2011</v>
      </c>
      <c r="C519" t="s">
        <v>2009</v>
      </c>
      <c r="D519" t="s">
        <v>2010</v>
      </c>
      <c r="E519" t="s">
        <v>282</v>
      </c>
      <c r="F519" t="s">
        <v>283</v>
      </c>
      <c r="G519" t="s">
        <v>750</v>
      </c>
      <c r="H519" t="s">
        <v>751</v>
      </c>
      <c r="I519" t="s">
        <v>199</v>
      </c>
      <c r="J519" t="s">
        <v>284</v>
      </c>
      <c r="M519">
        <v>1</v>
      </c>
      <c r="N519">
        <v>1</v>
      </c>
    </row>
    <row r="520" spans="1:14" x14ac:dyDescent="0.45">
      <c r="A520" t="s">
        <v>2012</v>
      </c>
      <c r="B520" t="s">
        <v>2013</v>
      </c>
      <c r="C520" t="s">
        <v>2009</v>
      </c>
      <c r="D520" t="s">
        <v>2010</v>
      </c>
      <c r="E520" t="s">
        <v>282</v>
      </c>
      <c r="F520" t="s">
        <v>283</v>
      </c>
      <c r="G520" t="s">
        <v>750</v>
      </c>
      <c r="H520" t="s">
        <v>751</v>
      </c>
      <c r="I520" t="s">
        <v>199</v>
      </c>
      <c r="J520" t="s">
        <v>284</v>
      </c>
      <c r="M520">
        <v>1</v>
      </c>
      <c r="N520">
        <v>1</v>
      </c>
    </row>
    <row r="521" spans="1:14" x14ac:dyDescent="0.45">
      <c r="A521" t="s">
        <v>2014</v>
      </c>
      <c r="B521" t="s">
        <v>2015</v>
      </c>
      <c r="C521" t="s">
        <v>2009</v>
      </c>
      <c r="D521" t="s">
        <v>2010</v>
      </c>
      <c r="E521" t="s">
        <v>282</v>
      </c>
      <c r="F521" t="s">
        <v>283</v>
      </c>
      <c r="G521" t="s">
        <v>750</v>
      </c>
      <c r="H521" t="s">
        <v>751</v>
      </c>
      <c r="I521" t="s">
        <v>199</v>
      </c>
      <c r="J521" t="s">
        <v>284</v>
      </c>
      <c r="M521">
        <v>1</v>
      </c>
      <c r="N521">
        <v>1</v>
      </c>
    </row>
    <row r="522" spans="1:14" x14ac:dyDescent="0.45">
      <c r="A522" t="s">
        <v>2016</v>
      </c>
      <c r="B522" t="s">
        <v>2017</v>
      </c>
      <c r="C522" t="s">
        <v>2009</v>
      </c>
      <c r="D522" t="s">
        <v>2010</v>
      </c>
      <c r="E522" t="s">
        <v>282</v>
      </c>
      <c r="F522" t="s">
        <v>283</v>
      </c>
      <c r="G522" t="s">
        <v>750</v>
      </c>
      <c r="H522" t="s">
        <v>751</v>
      </c>
      <c r="I522" t="s">
        <v>199</v>
      </c>
      <c r="J522" t="s">
        <v>284</v>
      </c>
      <c r="M522">
        <v>1</v>
      </c>
      <c r="N522">
        <v>1</v>
      </c>
    </row>
    <row r="523" spans="1:14" x14ac:dyDescent="0.45">
      <c r="A523" t="s">
        <v>2018</v>
      </c>
      <c r="B523" t="s">
        <v>2019</v>
      </c>
      <c r="C523" t="s">
        <v>2009</v>
      </c>
      <c r="D523" t="s">
        <v>2010</v>
      </c>
      <c r="E523" t="s">
        <v>282</v>
      </c>
      <c r="F523" t="s">
        <v>283</v>
      </c>
      <c r="G523" t="s">
        <v>750</v>
      </c>
      <c r="H523" t="s">
        <v>751</v>
      </c>
      <c r="I523" t="s">
        <v>199</v>
      </c>
      <c r="J523" t="s">
        <v>284</v>
      </c>
      <c r="M523">
        <v>1</v>
      </c>
      <c r="N523">
        <v>1</v>
      </c>
    </row>
    <row r="524" spans="1:14" x14ac:dyDescent="0.45">
      <c r="A524" t="s">
        <v>2020</v>
      </c>
      <c r="B524" t="s">
        <v>2021</v>
      </c>
      <c r="C524" t="s">
        <v>2009</v>
      </c>
      <c r="D524" t="s">
        <v>2010</v>
      </c>
      <c r="E524" t="s">
        <v>282</v>
      </c>
      <c r="F524" t="s">
        <v>283</v>
      </c>
      <c r="G524" t="s">
        <v>750</v>
      </c>
      <c r="H524" t="s">
        <v>751</v>
      </c>
      <c r="I524" t="s">
        <v>199</v>
      </c>
      <c r="J524" t="s">
        <v>284</v>
      </c>
      <c r="M524">
        <v>1</v>
      </c>
      <c r="N524">
        <v>1</v>
      </c>
    </row>
    <row r="525" spans="1:14" x14ac:dyDescent="0.45">
      <c r="A525" t="s">
        <v>2022</v>
      </c>
      <c r="B525" t="s">
        <v>2023</v>
      </c>
      <c r="C525" t="s">
        <v>2009</v>
      </c>
      <c r="D525" t="s">
        <v>2010</v>
      </c>
      <c r="E525" t="s">
        <v>282</v>
      </c>
      <c r="F525" t="s">
        <v>283</v>
      </c>
      <c r="G525" t="s">
        <v>750</v>
      </c>
      <c r="H525" t="s">
        <v>751</v>
      </c>
      <c r="I525" t="s">
        <v>199</v>
      </c>
      <c r="J525" t="s">
        <v>284</v>
      </c>
      <c r="M525">
        <v>1</v>
      </c>
      <c r="N525">
        <v>1</v>
      </c>
    </row>
    <row r="526" spans="1:14" x14ac:dyDescent="0.45">
      <c r="A526" t="s">
        <v>2024</v>
      </c>
      <c r="B526" t="s">
        <v>2025</v>
      </c>
      <c r="C526" t="s">
        <v>2009</v>
      </c>
      <c r="D526" t="s">
        <v>2010</v>
      </c>
      <c r="E526" t="s">
        <v>282</v>
      </c>
      <c r="F526" t="s">
        <v>283</v>
      </c>
      <c r="G526" t="s">
        <v>750</v>
      </c>
      <c r="H526" t="s">
        <v>751</v>
      </c>
      <c r="I526" t="s">
        <v>199</v>
      </c>
      <c r="J526" t="s">
        <v>284</v>
      </c>
      <c r="M526">
        <v>1</v>
      </c>
      <c r="N526">
        <v>1</v>
      </c>
    </row>
    <row r="527" spans="1:14" x14ac:dyDescent="0.45">
      <c r="A527" t="s">
        <v>2026</v>
      </c>
      <c r="B527" t="s">
        <v>2027</v>
      </c>
      <c r="C527" t="s">
        <v>2009</v>
      </c>
      <c r="D527" t="s">
        <v>2010</v>
      </c>
      <c r="E527" t="s">
        <v>282</v>
      </c>
      <c r="F527" t="s">
        <v>283</v>
      </c>
      <c r="G527" t="s">
        <v>750</v>
      </c>
      <c r="H527" t="s">
        <v>751</v>
      </c>
      <c r="I527" t="s">
        <v>199</v>
      </c>
      <c r="J527" t="s">
        <v>284</v>
      </c>
      <c r="M527">
        <v>1</v>
      </c>
      <c r="N527">
        <v>1</v>
      </c>
    </row>
    <row r="528" spans="1:14" x14ac:dyDescent="0.45">
      <c r="A528" t="s">
        <v>2028</v>
      </c>
      <c r="B528" t="s">
        <v>2029</v>
      </c>
      <c r="C528" t="s">
        <v>2030</v>
      </c>
      <c r="D528" t="s">
        <v>2031</v>
      </c>
      <c r="E528" t="s">
        <v>282</v>
      </c>
      <c r="F528" t="s">
        <v>283</v>
      </c>
      <c r="G528" t="s">
        <v>750</v>
      </c>
      <c r="H528" t="s">
        <v>751</v>
      </c>
      <c r="I528" t="s">
        <v>199</v>
      </c>
      <c r="J528" t="s">
        <v>284</v>
      </c>
      <c r="M528">
        <v>1</v>
      </c>
      <c r="N528">
        <v>1</v>
      </c>
    </row>
    <row r="529" spans="1:14" x14ac:dyDescent="0.45">
      <c r="A529" t="s">
        <v>2032</v>
      </c>
      <c r="B529" t="s">
        <v>2033</v>
      </c>
      <c r="C529" t="s">
        <v>2030</v>
      </c>
      <c r="D529" t="s">
        <v>2031</v>
      </c>
      <c r="E529" t="s">
        <v>282</v>
      </c>
      <c r="F529" t="s">
        <v>283</v>
      </c>
      <c r="G529" t="s">
        <v>750</v>
      </c>
      <c r="H529" t="s">
        <v>751</v>
      </c>
      <c r="I529" t="s">
        <v>199</v>
      </c>
      <c r="J529" t="s">
        <v>284</v>
      </c>
      <c r="M529">
        <v>1</v>
      </c>
      <c r="N529">
        <v>1</v>
      </c>
    </row>
    <row r="530" spans="1:14" x14ac:dyDescent="0.45">
      <c r="A530" t="s">
        <v>2034</v>
      </c>
      <c r="B530" t="s">
        <v>2035</v>
      </c>
      <c r="C530" t="s">
        <v>2030</v>
      </c>
      <c r="D530" t="s">
        <v>2031</v>
      </c>
      <c r="E530" t="s">
        <v>282</v>
      </c>
      <c r="F530" t="s">
        <v>283</v>
      </c>
      <c r="G530" t="s">
        <v>750</v>
      </c>
      <c r="H530" t="s">
        <v>751</v>
      </c>
      <c r="I530" t="s">
        <v>199</v>
      </c>
      <c r="J530" t="s">
        <v>284</v>
      </c>
      <c r="M530">
        <v>1</v>
      </c>
      <c r="N530">
        <v>1</v>
      </c>
    </row>
    <row r="531" spans="1:14" x14ac:dyDescent="0.45">
      <c r="A531" t="s">
        <v>2036</v>
      </c>
      <c r="B531" t="s">
        <v>2037</v>
      </c>
      <c r="C531" t="s">
        <v>2030</v>
      </c>
      <c r="D531" t="s">
        <v>2031</v>
      </c>
      <c r="E531" t="s">
        <v>282</v>
      </c>
      <c r="F531" t="s">
        <v>283</v>
      </c>
      <c r="G531" t="s">
        <v>750</v>
      </c>
      <c r="H531" t="s">
        <v>751</v>
      </c>
      <c r="I531" t="s">
        <v>199</v>
      </c>
      <c r="J531" t="s">
        <v>284</v>
      </c>
      <c r="M531">
        <v>1</v>
      </c>
      <c r="N531">
        <v>1</v>
      </c>
    </row>
    <row r="532" spans="1:14" x14ac:dyDescent="0.45">
      <c r="A532" t="s">
        <v>1944</v>
      </c>
      <c r="B532" t="s">
        <v>2038</v>
      </c>
      <c r="C532" t="s">
        <v>2030</v>
      </c>
      <c r="D532" t="s">
        <v>2031</v>
      </c>
      <c r="E532" t="s">
        <v>282</v>
      </c>
      <c r="F532" t="s">
        <v>283</v>
      </c>
      <c r="G532" t="s">
        <v>750</v>
      </c>
      <c r="H532" t="s">
        <v>751</v>
      </c>
      <c r="I532" t="s">
        <v>199</v>
      </c>
      <c r="J532" t="s">
        <v>284</v>
      </c>
      <c r="M532">
        <v>1</v>
      </c>
      <c r="N532">
        <v>1</v>
      </c>
    </row>
    <row r="533" spans="1:14" x14ac:dyDescent="0.45">
      <c r="A533" t="s">
        <v>1641</v>
      </c>
      <c r="B533" t="s">
        <v>2039</v>
      </c>
      <c r="C533" t="s">
        <v>2030</v>
      </c>
      <c r="D533" t="s">
        <v>2031</v>
      </c>
      <c r="E533" t="s">
        <v>282</v>
      </c>
      <c r="F533" t="s">
        <v>283</v>
      </c>
      <c r="G533" t="s">
        <v>750</v>
      </c>
      <c r="H533" t="s">
        <v>751</v>
      </c>
      <c r="I533" t="s">
        <v>199</v>
      </c>
      <c r="J533" t="s">
        <v>284</v>
      </c>
      <c r="M533">
        <v>1</v>
      </c>
      <c r="N533">
        <v>1</v>
      </c>
    </row>
    <row r="534" spans="1:14" x14ac:dyDescent="0.45">
      <c r="A534" t="s">
        <v>2040</v>
      </c>
      <c r="B534" t="s">
        <v>2041</v>
      </c>
      <c r="C534" t="s">
        <v>2030</v>
      </c>
      <c r="D534" t="s">
        <v>2031</v>
      </c>
      <c r="E534" t="s">
        <v>282</v>
      </c>
      <c r="F534" t="s">
        <v>283</v>
      </c>
      <c r="G534" t="s">
        <v>750</v>
      </c>
      <c r="H534" t="s">
        <v>751</v>
      </c>
      <c r="I534" t="s">
        <v>199</v>
      </c>
      <c r="J534" t="s">
        <v>284</v>
      </c>
      <c r="M534">
        <v>1</v>
      </c>
      <c r="N534">
        <v>1</v>
      </c>
    </row>
    <row r="535" spans="1:14" x14ac:dyDescent="0.45">
      <c r="A535" t="s">
        <v>2042</v>
      </c>
      <c r="B535" t="s">
        <v>2043</v>
      </c>
      <c r="C535" t="s">
        <v>2030</v>
      </c>
      <c r="D535" t="s">
        <v>2031</v>
      </c>
      <c r="E535" t="s">
        <v>282</v>
      </c>
      <c r="F535" t="s">
        <v>283</v>
      </c>
      <c r="G535" t="s">
        <v>750</v>
      </c>
      <c r="H535" t="s">
        <v>751</v>
      </c>
      <c r="I535" t="s">
        <v>199</v>
      </c>
      <c r="J535" t="s">
        <v>284</v>
      </c>
      <c r="M535">
        <v>1</v>
      </c>
      <c r="N535">
        <v>1</v>
      </c>
    </row>
    <row r="536" spans="1:14" x14ac:dyDescent="0.45">
      <c r="A536" t="s">
        <v>2044</v>
      </c>
      <c r="B536" t="s">
        <v>2045</v>
      </c>
      <c r="C536" t="s">
        <v>2030</v>
      </c>
      <c r="D536" t="s">
        <v>2031</v>
      </c>
      <c r="E536" t="s">
        <v>282</v>
      </c>
      <c r="F536" t="s">
        <v>283</v>
      </c>
      <c r="G536" t="s">
        <v>750</v>
      </c>
      <c r="H536" t="s">
        <v>751</v>
      </c>
      <c r="I536" t="s">
        <v>199</v>
      </c>
      <c r="J536" t="s">
        <v>284</v>
      </c>
      <c r="M536">
        <v>1</v>
      </c>
      <c r="N536">
        <v>1</v>
      </c>
    </row>
    <row r="537" spans="1:14" x14ac:dyDescent="0.45">
      <c r="A537" t="s">
        <v>2046</v>
      </c>
      <c r="B537" t="s">
        <v>2047</v>
      </c>
      <c r="C537" t="s">
        <v>2030</v>
      </c>
      <c r="D537" t="s">
        <v>2031</v>
      </c>
      <c r="E537" t="s">
        <v>282</v>
      </c>
      <c r="F537" t="s">
        <v>283</v>
      </c>
      <c r="G537" t="s">
        <v>750</v>
      </c>
      <c r="H537" t="s">
        <v>751</v>
      </c>
      <c r="I537" t="s">
        <v>199</v>
      </c>
      <c r="J537" t="s">
        <v>284</v>
      </c>
      <c r="M537">
        <v>1</v>
      </c>
      <c r="N537">
        <v>1</v>
      </c>
    </row>
    <row r="538" spans="1:14" x14ac:dyDescent="0.45">
      <c r="A538" t="s">
        <v>2048</v>
      </c>
      <c r="B538" t="s">
        <v>2049</v>
      </c>
      <c r="C538" t="s">
        <v>2030</v>
      </c>
      <c r="D538" t="s">
        <v>2031</v>
      </c>
      <c r="E538" t="s">
        <v>282</v>
      </c>
      <c r="F538" t="s">
        <v>283</v>
      </c>
      <c r="G538" t="s">
        <v>750</v>
      </c>
      <c r="H538" t="s">
        <v>751</v>
      </c>
      <c r="I538" t="s">
        <v>199</v>
      </c>
      <c r="J538" t="s">
        <v>284</v>
      </c>
      <c r="M538">
        <v>1</v>
      </c>
      <c r="N538">
        <v>1</v>
      </c>
    </row>
    <row r="539" spans="1:14" x14ac:dyDescent="0.45">
      <c r="A539" t="s">
        <v>2050</v>
      </c>
      <c r="B539" t="s">
        <v>2051</v>
      </c>
      <c r="C539" t="s">
        <v>2030</v>
      </c>
      <c r="D539" t="s">
        <v>2031</v>
      </c>
      <c r="E539" t="s">
        <v>282</v>
      </c>
      <c r="F539" t="s">
        <v>283</v>
      </c>
      <c r="G539" t="s">
        <v>750</v>
      </c>
      <c r="H539" t="s">
        <v>751</v>
      </c>
      <c r="I539" t="s">
        <v>199</v>
      </c>
      <c r="J539" t="s">
        <v>284</v>
      </c>
      <c r="M539">
        <v>1</v>
      </c>
      <c r="N539">
        <v>1</v>
      </c>
    </row>
    <row r="540" spans="1:14" x14ac:dyDescent="0.45">
      <c r="A540" t="s">
        <v>1272</v>
      </c>
      <c r="B540" t="s">
        <v>2052</v>
      </c>
      <c r="C540" t="s">
        <v>2030</v>
      </c>
      <c r="D540" t="s">
        <v>2031</v>
      </c>
      <c r="E540" t="s">
        <v>282</v>
      </c>
      <c r="F540" t="s">
        <v>283</v>
      </c>
      <c r="G540" t="s">
        <v>750</v>
      </c>
      <c r="H540" t="s">
        <v>751</v>
      </c>
      <c r="I540" t="s">
        <v>199</v>
      </c>
      <c r="J540" t="s">
        <v>284</v>
      </c>
      <c r="M540">
        <v>1</v>
      </c>
      <c r="N540">
        <v>1</v>
      </c>
    </row>
    <row r="541" spans="1:14" x14ac:dyDescent="0.45">
      <c r="A541" t="s">
        <v>2053</v>
      </c>
      <c r="B541" t="s">
        <v>2054</v>
      </c>
      <c r="C541" t="s">
        <v>2030</v>
      </c>
      <c r="D541" t="s">
        <v>2031</v>
      </c>
      <c r="E541" t="s">
        <v>282</v>
      </c>
      <c r="F541" t="s">
        <v>283</v>
      </c>
      <c r="G541" t="s">
        <v>750</v>
      </c>
      <c r="H541" t="s">
        <v>751</v>
      </c>
      <c r="I541" t="s">
        <v>199</v>
      </c>
      <c r="J541" t="s">
        <v>284</v>
      </c>
      <c r="M541">
        <v>1</v>
      </c>
      <c r="N541">
        <v>1</v>
      </c>
    </row>
    <row r="542" spans="1:14" x14ac:dyDescent="0.45">
      <c r="A542" t="s">
        <v>2055</v>
      </c>
      <c r="B542" t="s">
        <v>2056</v>
      </c>
      <c r="C542" t="s">
        <v>2030</v>
      </c>
      <c r="D542" t="s">
        <v>2031</v>
      </c>
      <c r="E542" t="s">
        <v>282</v>
      </c>
      <c r="F542" t="s">
        <v>283</v>
      </c>
      <c r="G542" t="s">
        <v>750</v>
      </c>
      <c r="H542" t="s">
        <v>751</v>
      </c>
      <c r="I542" t="s">
        <v>199</v>
      </c>
      <c r="J542" t="s">
        <v>284</v>
      </c>
      <c r="M542">
        <v>1</v>
      </c>
      <c r="N542">
        <v>1</v>
      </c>
    </row>
    <row r="543" spans="1:14" x14ac:dyDescent="0.45">
      <c r="A543" t="s">
        <v>2057</v>
      </c>
      <c r="B543" t="s">
        <v>2058</v>
      </c>
      <c r="C543" t="s">
        <v>2030</v>
      </c>
      <c r="D543" t="s">
        <v>2031</v>
      </c>
      <c r="E543" t="s">
        <v>282</v>
      </c>
      <c r="F543" t="s">
        <v>283</v>
      </c>
      <c r="G543" t="s">
        <v>750</v>
      </c>
      <c r="H543" t="s">
        <v>751</v>
      </c>
      <c r="I543" t="s">
        <v>199</v>
      </c>
      <c r="J543" t="s">
        <v>284</v>
      </c>
      <c r="M543">
        <v>1</v>
      </c>
      <c r="N543">
        <v>1</v>
      </c>
    </row>
    <row r="544" spans="1:14" x14ac:dyDescent="0.45">
      <c r="A544" t="s">
        <v>2059</v>
      </c>
      <c r="B544" t="s">
        <v>2060</v>
      </c>
      <c r="C544" t="s">
        <v>2030</v>
      </c>
      <c r="D544" t="s">
        <v>2031</v>
      </c>
      <c r="E544" t="s">
        <v>282</v>
      </c>
      <c r="F544" t="s">
        <v>283</v>
      </c>
      <c r="G544" t="s">
        <v>750</v>
      </c>
      <c r="H544" t="s">
        <v>751</v>
      </c>
      <c r="I544" t="s">
        <v>199</v>
      </c>
      <c r="J544" t="s">
        <v>284</v>
      </c>
      <c r="M544">
        <v>1</v>
      </c>
      <c r="N544">
        <v>1</v>
      </c>
    </row>
    <row r="545" spans="1:14" x14ac:dyDescent="0.45">
      <c r="A545" t="s">
        <v>2061</v>
      </c>
      <c r="B545" t="s">
        <v>2062</v>
      </c>
      <c r="C545" t="s">
        <v>2063</v>
      </c>
      <c r="D545" t="s">
        <v>2064</v>
      </c>
      <c r="E545" t="s">
        <v>282</v>
      </c>
      <c r="F545" t="s">
        <v>283</v>
      </c>
      <c r="G545" t="s">
        <v>750</v>
      </c>
      <c r="H545" t="s">
        <v>751</v>
      </c>
      <c r="I545" t="s">
        <v>199</v>
      </c>
      <c r="J545" t="s">
        <v>284</v>
      </c>
      <c r="M545">
        <v>1</v>
      </c>
      <c r="N545">
        <v>1</v>
      </c>
    </row>
    <row r="546" spans="1:14" x14ac:dyDescent="0.45">
      <c r="A546" t="s">
        <v>2065</v>
      </c>
      <c r="B546" t="s">
        <v>2066</v>
      </c>
      <c r="C546" t="s">
        <v>2063</v>
      </c>
      <c r="D546" t="s">
        <v>2064</v>
      </c>
      <c r="E546" t="s">
        <v>282</v>
      </c>
      <c r="F546" t="s">
        <v>283</v>
      </c>
      <c r="G546" t="s">
        <v>750</v>
      </c>
      <c r="H546" t="s">
        <v>751</v>
      </c>
      <c r="I546" t="s">
        <v>199</v>
      </c>
      <c r="J546" t="s">
        <v>284</v>
      </c>
      <c r="M546">
        <v>1</v>
      </c>
      <c r="N546">
        <v>1</v>
      </c>
    </row>
    <row r="547" spans="1:14" x14ac:dyDescent="0.45">
      <c r="A547" t="s">
        <v>2067</v>
      </c>
      <c r="B547" t="s">
        <v>2068</v>
      </c>
      <c r="C547" t="s">
        <v>2063</v>
      </c>
      <c r="D547" t="s">
        <v>2064</v>
      </c>
      <c r="E547" t="s">
        <v>282</v>
      </c>
      <c r="F547" t="s">
        <v>283</v>
      </c>
      <c r="G547" t="s">
        <v>750</v>
      </c>
      <c r="H547" t="s">
        <v>751</v>
      </c>
      <c r="I547" t="s">
        <v>199</v>
      </c>
      <c r="J547" t="s">
        <v>284</v>
      </c>
      <c r="M547">
        <v>1</v>
      </c>
      <c r="N547">
        <v>1</v>
      </c>
    </row>
    <row r="548" spans="1:14" x14ac:dyDescent="0.45">
      <c r="A548" t="s">
        <v>2069</v>
      </c>
      <c r="B548" t="s">
        <v>2070</v>
      </c>
      <c r="C548" t="s">
        <v>2063</v>
      </c>
      <c r="D548" t="s">
        <v>2064</v>
      </c>
      <c r="E548" t="s">
        <v>282</v>
      </c>
      <c r="F548" t="s">
        <v>283</v>
      </c>
      <c r="G548" t="s">
        <v>750</v>
      </c>
      <c r="H548" t="s">
        <v>751</v>
      </c>
      <c r="I548" t="s">
        <v>199</v>
      </c>
      <c r="J548" t="s">
        <v>284</v>
      </c>
      <c r="M548">
        <v>1</v>
      </c>
      <c r="N548">
        <v>1</v>
      </c>
    </row>
    <row r="549" spans="1:14" x14ac:dyDescent="0.45">
      <c r="A549" t="s">
        <v>2071</v>
      </c>
      <c r="B549" t="s">
        <v>2072</v>
      </c>
      <c r="C549" t="s">
        <v>2063</v>
      </c>
      <c r="D549" t="s">
        <v>2064</v>
      </c>
      <c r="E549" t="s">
        <v>282</v>
      </c>
      <c r="F549" t="s">
        <v>283</v>
      </c>
      <c r="G549" t="s">
        <v>750</v>
      </c>
      <c r="H549" t="s">
        <v>751</v>
      </c>
      <c r="I549" t="s">
        <v>199</v>
      </c>
      <c r="J549" t="s">
        <v>284</v>
      </c>
      <c r="M549">
        <v>1</v>
      </c>
      <c r="N549">
        <v>1</v>
      </c>
    </row>
    <row r="550" spans="1:14" x14ac:dyDescent="0.45">
      <c r="A550" t="s">
        <v>987</v>
      </c>
      <c r="B550" t="s">
        <v>2073</v>
      </c>
      <c r="C550" t="s">
        <v>2063</v>
      </c>
      <c r="D550" t="s">
        <v>2064</v>
      </c>
      <c r="E550" t="s">
        <v>282</v>
      </c>
      <c r="F550" t="s">
        <v>283</v>
      </c>
      <c r="G550" t="s">
        <v>750</v>
      </c>
      <c r="H550" t="s">
        <v>751</v>
      </c>
      <c r="I550" t="s">
        <v>199</v>
      </c>
      <c r="J550" t="s">
        <v>284</v>
      </c>
      <c r="M550">
        <v>1</v>
      </c>
      <c r="N550">
        <v>1</v>
      </c>
    </row>
    <row r="551" spans="1:14" x14ac:dyDescent="0.45">
      <c r="A551" t="s">
        <v>2074</v>
      </c>
      <c r="B551" t="s">
        <v>2075</v>
      </c>
      <c r="C551" t="s">
        <v>2063</v>
      </c>
      <c r="D551" t="s">
        <v>2064</v>
      </c>
      <c r="E551" t="s">
        <v>282</v>
      </c>
      <c r="F551" t="s">
        <v>283</v>
      </c>
      <c r="G551" t="s">
        <v>750</v>
      </c>
      <c r="H551" t="s">
        <v>751</v>
      </c>
      <c r="I551" t="s">
        <v>199</v>
      </c>
      <c r="J551" t="s">
        <v>284</v>
      </c>
      <c r="M551">
        <v>1</v>
      </c>
      <c r="N551">
        <v>1</v>
      </c>
    </row>
    <row r="552" spans="1:14" x14ac:dyDescent="0.45">
      <c r="A552" t="s">
        <v>2076</v>
      </c>
      <c r="B552" t="s">
        <v>2077</v>
      </c>
      <c r="C552" t="s">
        <v>2063</v>
      </c>
      <c r="D552" t="s">
        <v>2064</v>
      </c>
      <c r="E552" t="s">
        <v>282</v>
      </c>
      <c r="F552" t="s">
        <v>283</v>
      </c>
      <c r="G552" t="s">
        <v>750</v>
      </c>
      <c r="H552" t="s">
        <v>751</v>
      </c>
      <c r="I552" t="s">
        <v>199</v>
      </c>
      <c r="J552" t="s">
        <v>284</v>
      </c>
      <c r="M552">
        <v>1</v>
      </c>
      <c r="N552">
        <v>1</v>
      </c>
    </row>
    <row r="553" spans="1:14" x14ac:dyDescent="0.45">
      <c r="A553" t="s">
        <v>2078</v>
      </c>
      <c r="B553" t="s">
        <v>2079</v>
      </c>
      <c r="C553" t="s">
        <v>2063</v>
      </c>
      <c r="D553" t="s">
        <v>2064</v>
      </c>
      <c r="E553" t="s">
        <v>282</v>
      </c>
      <c r="F553" t="s">
        <v>283</v>
      </c>
      <c r="G553" t="s">
        <v>750</v>
      </c>
      <c r="H553" t="s">
        <v>751</v>
      </c>
      <c r="I553" t="s">
        <v>199</v>
      </c>
      <c r="J553" t="s">
        <v>284</v>
      </c>
      <c r="M553">
        <v>1</v>
      </c>
      <c r="N553">
        <v>1</v>
      </c>
    </row>
    <row r="554" spans="1:14" x14ac:dyDescent="0.45">
      <c r="A554" t="s">
        <v>2080</v>
      </c>
      <c r="B554" t="s">
        <v>2081</v>
      </c>
      <c r="C554" t="s">
        <v>2063</v>
      </c>
      <c r="D554" t="s">
        <v>2064</v>
      </c>
      <c r="E554" t="s">
        <v>282</v>
      </c>
      <c r="F554" t="s">
        <v>283</v>
      </c>
      <c r="G554" t="s">
        <v>750</v>
      </c>
      <c r="H554" t="s">
        <v>751</v>
      </c>
      <c r="I554" t="s">
        <v>199</v>
      </c>
      <c r="J554" t="s">
        <v>284</v>
      </c>
      <c r="M554">
        <v>1</v>
      </c>
      <c r="N554">
        <v>1</v>
      </c>
    </row>
    <row r="555" spans="1:14" x14ac:dyDescent="0.45">
      <c r="A555" t="s">
        <v>2082</v>
      </c>
      <c r="B555" t="s">
        <v>2083</v>
      </c>
      <c r="C555" t="s">
        <v>2063</v>
      </c>
      <c r="D555" t="s">
        <v>2064</v>
      </c>
      <c r="E555" t="s">
        <v>282</v>
      </c>
      <c r="F555" t="s">
        <v>283</v>
      </c>
      <c r="G555" t="s">
        <v>750</v>
      </c>
      <c r="H555" t="s">
        <v>751</v>
      </c>
      <c r="I555" t="s">
        <v>199</v>
      </c>
      <c r="J555" t="s">
        <v>284</v>
      </c>
      <c r="M555">
        <v>1</v>
      </c>
      <c r="N555">
        <v>1</v>
      </c>
    </row>
    <row r="556" spans="1:14" x14ac:dyDescent="0.45">
      <c r="A556" t="s">
        <v>2084</v>
      </c>
      <c r="B556" t="s">
        <v>2085</v>
      </c>
      <c r="C556" t="s">
        <v>2063</v>
      </c>
      <c r="D556" t="s">
        <v>2064</v>
      </c>
      <c r="E556" t="s">
        <v>282</v>
      </c>
      <c r="F556" t="s">
        <v>283</v>
      </c>
      <c r="G556" t="s">
        <v>750</v>
      </c>
      <c r="H556" t="s">
        <v>751</v>
      </c>
      <c r="I556" t="s">
        <v>199</v>
      </c>
      <c r="J556" t="s">
        <v>284</v>
      </c>
      <c r="M556">
        <v>1</v>
      </c>
      <c r="N556">
        <v>1</v>
      </c>
    </row>
    <row r="557" spans="1:14" x14ac:dyDescent="0.45">
      <c r="A557" t="s">
        <v>2086</v>
      </c>
      <c r="B557" t="s">
        <v>2087</v>
      </c>
      <c r="C557" t="s">
        <v>2063</v>
      </c>
      <c r="D557" t="s">
        <v>2064</v>
      </c>
      <c r="E557" t="s">
        <v>282</v>
      </c>
      <c r="F557" t="s">
        <v>283</v>
      </c>
      <c r="G557" t="s">
        <v>750</v>
      </c>
      <c r="H557" t="s">
        <v>751</v>
      </c>
      <c r="I557" t="s">
        <v>199</v>
      </c>
      <c r="J557" t="s">
        <v>284</v>
      </c>
      <c r="M557">
        <v>1</v>
      </c>
      <c r="N557">
        <v>1</v>
      </c>
    </row>
    <row r="558" spans="1:14" x14ac:dyDescent="0.45">
      <c r="A558" t="s">
        <v>2088</v>
      </c>
      <c r="B558" t="s">
        <v>2089</v>
      </c>
      <c r="C558" t="s">
        <v>2090</v>
      </c>
      <c r="D558" t="s">
        <v>2091</v>
      </c>
      <c r="E558" t="s">
        <v>282</v>
      </c>
      <c r="F558" t="s">
        <v>283</v>
      </c>
      <c r="G558" t="s">
        <v>750</v>
      </c>
      <c r="H558" t="s">
        <v>751</v>
      </c>
      <c r="I558" t="s">
        <v>199</v>
      </c>
      <c r="J558" t="s">
        <v>284</v>
      </c>
      <c r="M558">
        <v>1</v>
      </c>
      <c r="N558">
        <v>1</v>
      </c>
    </row>
    <row r="559" spans="1:14" x14ac:dyDescent="0.45">
      <c r="A559" t="s">
        <v>2092</v>
      </c>
      <c r="B559" t="s">
        <v>2093</v>
      </c>
      <c r="C559" t="s">
        <v>2090</v>
      </c>
      <c r="D559" t="s">
        <v>2091</v>
      </c>
      <c r="E559" t="s">
        <v>282</v>
      </c>
      <c r="F559" t="s">
        <v>283</v>
      </c>
      <c r="G559" t="s">
        <v>750</v>
      </c>
      <c r="H559" t="s">
        <v>751</v>
      </c>
      <c r="I559" t="s">
        <v>199</v>
      </c>
      <c r="J559" t="s">
        <v>284</v>
      </c>
      <c r="M559">
        <v>1</v>
      </c>
      <c r="N559">
        <v>1</v>
      </c>
    </row>
    <row r="560" spans="1:14" x14ac:dyDescent="0.45">
      <c r="A560" t="s">
        <v>2094</v>
      </c>
      <c r="B560" t="s">
        <v>2095</v>
      </c>
      <c r="C560" t="s">
        <v>2090</v>
      </c>
      <c r="D560" t="s">
        <v>2091</v>
      </c>
      <c r="E560" t="s">
        <v>282</v>
      </c>
      <c r="F560" t="s">
        <v>283</v>
      </c>
      <c r="G560" t="s">
        <v>750</v>
      </c>
      <c r="H560" t="s">
        <v>751</v>
      </c>
      <c r="I560" t="s">
        <v>199</v>
      </c>
      <c r="J560" t="s">
        <v>284</v>
      </c>
      <c r="M560">
        <v>1</v>
      </c>
      <c r="N560">
        <v>1</v>
      </c>
    </row>
    <row r="561" spans="1:14" x14ac:dyDescent="0.45">
      <c r="A561" t="s">
        <v>2096</v>
      </c>
      <c r="B561" t="s">
        <v>2097</v>
      </c>
      <c r="C561" t="s">
        <v>2090</v>
      </c>
      <c r="D561" t="s">
        <v>2091</v>
      </c>
      <c r="E561" t="s">
        <v>282</v>
      </c>
      <c r="F561" t="s">
        <v>283</v>
      </c>
      <c r="G561" t="s">
        <v>750</v>
      </c>
      <c r="H561" t="s">
        <v>751</v>
      </c>
      <c r="I561" t="s">
        <v>199</v>
      </c>
      <c r="J561" t="s">
        <v>284</v>
      </c>
      <c r="M561">
        <v>1</v>
      </c>
      <c r="N561">
        <v>1</v>
      </c>
    </row>
    <row r="562" spans="1:14" x14ac:dyDescent="0.45">
      <c r="A562" t="s">
        <v>2098</v>
      </c>
      <c r="B562" t="s">
        <v>2099</v>
      </c>
      <c r="C562" t="s">
        <v>2090</v>
      </c>
      <c r="D562" t="s">
        <v>2091</v>
      </c>
      <c r="E562" t="s">
        <v>282</v>
      </c>
      <c r="F562" t="s">
        <v>283</v>
      </c>
      <c r="G562" t="s">
        <v>750</v>
      </c>
      <c r="H562" t="s">
        <v>751</v>
      </c>
      <c r="I562" t="s">
        <v>199</v>
      </c>
      <c r="J562" t="s">
        <v>284</v>
      </c>
      <c r="M562">
        <v>1</v>
      </c>
      <c r="N562">
        <v>1</v>
      </c>
    </row>
    <row r="563" spans="1:14" x14ac:dyDescent="0.45">
      <c r="A563" t="s">
        <v>1964</v>
      </c>
      <c r="B563" t="s">
        <v>2100</v>
      </c>
      <c r="C563" t="s">
        <v>2090</v>
      </c>
      <c r="D563" t="s">
        <v>2091</v>
      </c>
      <c r="E563" t="s">
        <v>282</v>
      </c>
      <c r="F563" t="s">
        <v>283</v>
      </c>
      <c r="G563" t="s">
        <v>750</v>
      </c>
      <c r="H563" t="s">
        <v>751</v>
      </c>
      <c r="I563" t="s">
        <v>199</v>
      </c>
      <c r="J563" t="s">
        <v>284</v>
      </c>
      <c r="M563">
        <v>1</v>
      </c>
      <c r="N563">
        <v>1</v>
      </c>
    </row>
    <row r="564" spans="1:14" x14ac:dyDescent="0.45">
      <c r="A564" t="s">
        <v>2101</v>
      </c>
      <c r="B564" t="s">
        <v>2102</v>
      </c>
      <c r="C564" t="s">
        <v>2090</v>
      </c>
      <c r="D564" t="s">
        <v>2091</v>
      </c>
      <c r="E564" t="s">
        <v>282</v>
      </c>
      <c r="F564" t="s">
        <v>283</v>
      </c>
      <c r="G564" t="s">
        <v>750</v>
      </c>
      <c r="H564" t="s">
        <v>751</v>
      </c>
      <c r="I564" t="s">
        <v>199</v>
      </c>
      <c r="J564" t="s">
        <v>284</v>
      </c>
      <c r="M564">
        <v>1</v>
      </c>
      <c r="N564">
        <v>1</v>
      </c>
    </row>
    <row r="565" spans="1:14" x14ac:dyDescent="0.45">
      <c r="A565" t="s">
        <v>2103</v>
      </c>
      <c r="B565" t="s">
        <v>2104</v>
      </c>
      <c r="C565" t="s">
        <v>2090</v>
      </c>
      <c r="D565" t="s">
        <v>2091</v>
      </c>
      <c r="E565" t="s">
        <v>282</v>
      </c>
      <c r="F565" t="s">
        <v>283</v>
      </c>
      <c r="G565" t="s">
        <v>750</v>
      </c>
      <c r="H565" t="s">
        <v>751</v>
      </c>
      <c r="I565" t="s">
        <v>199</v>
      </c>
      <c r="J565" t="s">
        <v>284</v>
      </c>
      <c r="M565">
        <v>1</v>
      </c>
      <c r="N565">
        <v>1</v>
      </c>
    </row>
    <row r="566" spans="1:14" x14ac:dyDescent="0.45">
      <c r="A566" t="s">
        <v>2105</v>
      </c>
      <c r="B566" t="s">
        <v>2106</v>
      </c>
      <c r="C566" t="s">
        <v>2090</v>
      </c>
      <c r="D566" t="s">
        <v>2091</v>
      </c>
      <c r="E566" t="s">
        <v>282</v>
      </c>
      <c r="F566" t="s">
        <v>283</v>
      </c>
      <c r="G566" t="s">
        <v>750</v>
      </c>
      <c r="H566" t="s">
        <v>751</v>
      </c>
      <c r="I566" t="s">
        <v>199</v>
      </c>
      <c r="J566" t="s">
        <v>284</v>
      </c>
      <c r="M566">
        <v>1</v>
      </c>
      <c r="N566">
        <v>1</v>
      </c>
    </row>
    <row r="567" spans="1:14" x14ac:dyDescent="0.45">
      <c r="A567" t="s">
        <v>2194</v>
      </c>
      <c r="B567" t="s">
        <v>2195</v>
      </c>
      <c r="C567" t="s">
        <v>2196</v>
      </c>
      <c r="D567" t="s">
        <v>2197</v>
      </c>
      <c r="E567" t="s">
        <v>285</v>
      </c>
      <c r="F567" t="s">
        <v>286</v>
      </c>
      <c r="G567" t="s">
        <v>750</v>
      </c>
      <c r="H567" t="s">
        <v>751</v>
      </c>
      <c r="I567" t="s">
        <v>199</v>
      </c>
      <c r="J567" t="s">
        <v>287</v>
      </c>
      <c r="M567">
        <v>1</v>
      </c>
      <c r="N567">
        <v>1</v>
      </c>
    </row>
    <row r="568" spans="1:14" x14ac:dyDescent="0.45">
      <c r="A568" t="s">
        <v>2198</v>
      </c>
      <c r="B568" t="s">
        <v>2199</v>
      </c>
      <c r="C568" t="s">
        <v>2196</v>
      </c>
      <c r="D568" t="s">
        <v>2197</v>
      </c>
      <c r="E568" t="s">
        <v>285</v>
      </c>
      <c r="F568" t="s">
        <v>286</v>
      </c>
      <c r="G568" t="s">
        <v>750</v>
      </c>
      <c r="H568" t="s">
        <v>751</v>
      </c>
      <c r="I568" t="s">
        <v>199</v>
      </c>
      <c r="J568" t="s">
        <v>287</v>
      </c>
      <c r="M568">
        <v>1</v>
      </c>
      <c r="N568">
        <v>1</v>
      </c>
    </row>
    <row r="569" spans="1:14" x14ac:dyDescent="0.45">
      <c r="A569" t="s">
        <v>2200</v>
      </c>
      <c r="B569" t="s">
        <v>2201</v>
      </c>
      <c r="C569" t="s">
        <v>2196</v>
      </c>
      <c r="D569" t="s">
        <v>2197</v>
      </c>
      <c r="E569" t="s">
        <v>285</v>
      </c>
      <c r="F569" t="s">
        <v>286</v>
      </c>
      <c r="G569" t="s">
        <v>750</v>
      </c>
      <c r="H569" t="s">
        <v>751</v>
      </c>
      <c r="I569" t="s">
        <v>199</v>
      </c>
      <c r="J569" t="s">
        <v>287</v>
      </c>
      <c r="M569">
        <v>1</v>
      </c>
      <c r="N569">
        <v>1</v>
      </c>
    </row>
    <row r="570" spans="1:14" x14ac:dyDescent="0.45">
      <c r="A570" t="s">
        <v>2202</v>
      </c>
      <c r="B570" t="s">
        <v>2203</v>
      </c>
      <c r="C570" t="s">
        <v>2196</v>
      </c>
      <c r="D570" t="s">
        <v>2197</v>
      </c>
      <c r="E570" t="s">
        <v>285</v>
      </c>
      <c r="F570" t="s">
        <v>286</v>
      </c>
      <c r="G570" t="s">
        <v>750</v>
      </c>
      <c r="H570" t="s">
        <v>751</v>
      </c>
      <c r="I570" t="s">
        <v>199</v>
      </c>
      <c r="J570" t="s">
        <v>287</v>
      </c>
      <c r="M570">
        <v>1</v>
      </c>
      <c r="N570">
        <v>1</v>
      </c>
    </row>
    <row r="571" spans="1:14" x14ac:dyDescent="0.45">
      <c r="A571" t="s">
        <v>2204</v>
      </c>
      <c r="B571" t="s">
        <v>2205</v>
      </c>
      <c r="C571" t="s">
        <v>2196</v>
      </c>
      <c r="D571" t="s">
        <v>2197</v>
      </c>
      <c r="E571" t="s">
        <v>285</v>
      </c>
      <c r="F571" t="s">
        <v>286</v>
      </c>
      <c r="G571" t="s">
        <v>750</v>
      </c>
      <c r="H571" t="s">
        <v>751</v>
      </c>
      <c r="I571" t="s">
        <v>199</v>
      </c>
      <c r="J571" t="s">
        <v>287</v>
      </c>
      <c r="M571">
        <v>1</v>
      </c>
      <c r="N571">
        <v>1</v>
      </c>
    </row>
    <row r="572" spans="1:14" x14ac:dyDescent="0.45">
      <c r="A572" t="s">
        <v>2206</v>
      </c>
      <c r="B572" t="s">
        <v>2207</v>
      </c>
      <c r="C572" t="s">
        <v>2208</v>
      </c>
      <c r="D572" t="s">
        <v>2209</v>
      </c>
      <c r="E572" t="s">
        <v>285</v>
      </c>
      <c r="F572" t="s">
        <v>286</v>
      </c>
      <c r="G572" t="s">
        <v>750</v>
      </c>
      <c r="H572" t="s">
        <v>751</v>
      </c>
      <c r="I572" t="s">
        <v>199</v>
      </c>
      <c r="J572" t="s">
        <v>287</v>
      </c>
      <c r="M572">
        <v>1</v>
      </c>
      <c r="N572">
        <v>1</v>
      </c>
    </row>
    <row r="573" spans="1:14" x14ac:dyDescent="0.45">
      <c r="A573" t="s">
        <v>2210</v>
      </c>
      <c r="B573" t="s">
        <v>2211</v>
      </c>
      <c r="C573" t="s">
        <v>2208</v>
      </c>
      <c r="D573" t="s">
        <v>2209</v>
      </c>
      <c r="E573" t="s">
        <v>285</v>
      </c>
      <c r="F573" t="s">
        <v>286</v>
      </c>
      <c r="G573" t="s">
        <v>750</v>
      </c>
      <c r="H573" t="s">
        <v>751</v>
      </c>
      <c r="I573" t="s">
        <v>199</v>
      </c>
      <c r="J573" t="s">
        <v>287</v>
      </c>
      <c r="M573">
        <v>1</v>
      </c>
      <c r="N573">
        <v>1</v>
      </c>
    </row>
    <row r="574" spans="1:14" x14ac:dyDescent="0.45">
      <c r="A574" t="s">
        <v>2212</v>
      </c>
      <c r="B574" t="s">
        <v>2213</v>
      </c>
      <c r="C574" t="s">
        <v>2208</v>
      </c>
      <c r="D574" t="s">
        <v>2209</v>
      </c>
      <c r="E574" t="s">
        <v>285</v>
      </c>
      <c r="F574" t="s">
        <v>286</v>
      </c>
      <c r="G574" t="s">
        <v>750</v>
      </c>
      <c r="H574" t="s">
        <v>751</v>
      </c>
      <c r="I574" t="s">
        <v>199</v>
      </c>
      <c r="J574" t="s">
        <v>287</v>
      </c>
      <c r="M574">
        <v>1</v>
      </c>
      <c r="N574">
        <v>1</v>
      </c>
    </row>
    <row r="575" spans="1:14" x14ac:dyDescent="0.45">
      <c r="A575" t="s">
        <v>1899</v>
      </c>
      <c r="B575" t="s">
        <v>2214</v>
      </c>
      <c r="C575" t="s">
        <v>2208</v>
      </c>
      <c r="D575" t="s">
        <v>2209</v>
      </c>
      <c r="E575" t="s">
        <v>285</v>
      </c>
      <c r="F575" t="s">
        <v>286</v>
      </c>
      <c r="G575" t="s">
        <v>750</v>
      </c>
      <c r="H575" t="s">
        <v>751</v>
      </c>
      <c r="I575" t="s">
        <v>199</v>
      </c>
      <c r="J575" t="s">
        <v>287</v>
      </c>
      <c r="M575">
        <v>1</v>
      </c>
      <c r="N575">
        <v>1</v>
      </c>
    </row>
    <row r="576" spans="1:14" x14ac:dyDescent="0.45">
      <c r="A576" t="s">
        <v>2215</v>
      </c>
      <c r="B576" t="s">
        <v>2216</v>
      </c>
      <c r="C576" t="s">
        <v>2208</v>
      </c>
      <c r="D576" t="s">
        <v>2209</v>
      </c>
      <c r="E576" t="s">
        <v>285</v>
      </c>
      <c r="F576" t="s">
        <v>286</v>
      </c>
      <c r="G576" t="s">
        <v>750</v>
      </c>
      <c r="H576" t="s">
        <v>751</v>
      </c>
      <c r="I576" t="s">
        <v>199</v>
      </c>
      <c r="J576" t="s">
        <v>287</v>
      </c>
      <c r="M576">
        <v>1</v>
      </c>
      <c r="N576">
        <v>1</v>
      </c>
    </row>
    <row r="577" spans="1:14" x14ac:dyDescent="0.45">
      <c r="A577" t="s">
        <v>2217</v>
      </c>
      <c r="B577" t="s">
        <v>2218</v>
      </c>
      <c r="C577" t="s">
        <v>2208</v>
      </c>
      <c r="D577" t="s">
        <v>2209</v>
      </c>
      <c r="E577" t="s">
        <v>285</v>
      </c>
      <c r="F577" t="s">
        <v>286</v>
      </c>
      <c r="G577" t="s">
        <v>750</v>
      </c>
      <c r="H577" t="s">
        <v>751</v>
      </c>
      <c r="I577" t="s">
        <v>199</v>
      </c>
      <c r="J577" t="s">
        <v>287</v>
      </c>
      <c r="M577">
        <v>1</v>
      </c>
      <c r="N577">
        <v>1</v>
      </c>
    </row>
    <row r="578" spans="1:14" x14ac:dyDescent="0.45">
      <c r="A578" t="s">
        <v>2219</v>
      </c>
      <c r="B578" t="s">
        <v>2220</v>
      </c>
      <c r="C578" t="s">
        <v>2208</v>
      </c>
      <c r="D578" t="s">
        <v>2209</v>
      </c>
      <c r="E578" t="s">
        <v>285</v>
      </c>
      <c r="F578" t="s">
        <v>286</v>
      </c>
      <c r="G578" t="s">
        <v>750</v>
      </c>
      <c r="H578" t="s">
        <v>751</v>
      </c>
      <c r="I578" t="s">
        <v>199</v>
      </c>
      <c r="J578" t="s">
        <v>287</v>
      </c>
      <c r="M578">
        <v>1</v>
      </c>
      <c r="N578">
        <v>1</v>
      </c>
    </row>
    <row r="579" spans="1:14" x14ac:dyDescent="0.45">
      <c r="A579" t="s">
        <v>2221</v>
      </c>
      <c r="B579" t="s">
        <v>2222</v>
      </c>
      <c r="C579" t="s">
        <v>2223</v>
      </c>
      <c r="D579" t="s">
        <v>2224</v>
      </c>
      <c r="E579" t="s">
        <v>285</v>
      </c>
      <c r="F579" t="s">
        <v>286</v>
      </c>
      <c r="G579" t="s">
        <v>750</v>
      </c>
      <c r="H579" t="s">
        <v>751</v>
      </c>
      <c r="I579" t="s">
        <v>199</v>
      </c>
      <c r="J579" t="s">
        <v>287</v>
      </c>
      <c r="M579">
        <v>1</v>
      </c>
      <c r="N579">
        <v>1</v>
      </c>
    </row>
    <row r="580" spans="1:14" x14ac:dyDescent="0.45">
      <c r="A580" t="s">
        <v>2225</v>
      </c>
      <c r="B580" t="s">
        <v>2226</v>
      </c>
      <c r="C580" t="s">
        <v>2223</v>
      </c>
      <c r="D580" t="s">
        <v>2224</v>
      </c>
      <c r="E580" t="s">
        <v>285</v>
      </c>
      <c r="F580" t="s">
        <v>286</v>
      </c>
      <c r="G580" t="s">
        <v>750</v>
      </c>
      <c r="H580" t="s">
        <v>751</v>
      </c>
      <c r="I580" t="s">
        <v>199</v>
      </c>
      <c r="J580" t="s">
        <v>287</v>
      </c>
      <c r="M580">
        <v>1</v>
      </c>
      <c r="N580">
        <v>1</v>
      </c>
    </row>
    <row r="581" spans="1:14" x14ac:dyDescent="0.45">
      <c r="A581" t="s">
        <v>2227</v>
      </c>
      <c r="B581" t="s">
        <v>2228</v>
      </c>
      <c r="C581" t="s">
        <v>2223</v>
      </c>
      <c r="D581" t="s">
        <v>2224</v>
      </c>
      <c r="E581" t="s">
        <v>285</v>
      </c>
      <c r="F581" t="s">
        <v>286</v>
      </c>
      <c r="G581" t="s">
        <v>750</v>
      </c>
      <c r="H581" t="s">
        <v>751</v>
      </c>
      <c r="I581" t="s">
        <v>199</v>
      </c>
      <c r="J581" t="s">
        <v>287</v>
      </c>
      <c r="M581">
        <v>1</v>
      </c>
      <c r="N581">
        <v>1</v>
      </c>
    </row>
    <row r="582" spans="1:14" x14ac:dyDescent="0.45">
      <c r="A582" t="s">
        <v>1357</v>
      </c>
      <c r="B582" t="s">
        <v>2229</v>
      </c>
      <c r="C582" t="s">
        <v>2223</v>
      </c>
      <c r="D582" t="s">
        <v>2224</v>
      </c>
      <c r="E582" t="s">
        <v>285</v>
      </c>
      <c r="F582" t="s">
        <v>286</v>
      </c>
      <c r="G582" t="s">
        <v>750</v>
      </c>
      <c r="H582" t="s">
        <v>751</v>
      </c>
      <c r="I582" t="s">
        <v>199</v>
      </c>
      <c r="J582" t="s">
        <v>287</v>
      </c>
      <c r="M582">
        <v>1</v>
      </c>
      <c r="N582">
        <v>1</v>
      </c>
    </row>
    <row r="583" spans="1:14" x14ac:dyDescent="0.45">
      <c r="A583" t="s">
        <v>2230</v>
      </c>
      <c r="B583" t="s">
        <v>2231</v>
      </c>
      <c r="C583" t="s">
        <v>2223</v>
      </c>
      <c r="D583" t="s">
        <v>2224</v>
      </c>
      <c r="E583" t="s">
        <v>285</v>
      </c>
      <c r="F583" t="s">
        <v>286</v>
      </c>
      <c r="G583" t="s">
        <v>750</v>
      </c>
      <c r="H583" t="s">
        <v>751</v>
      </c>
      <c r="I583" t="s">
        <v>199</v>
      </c>
      <c r="J583" t="s">
        <v>287</v>
      </c>
      <c r="M583">
        <v>1</v>
      </c>
      <c r="N583">
        <v>1</v>
      </c>
    </row>
    <row r="584" spans="1:14" x14ac:dyDescent="0.45">
      <c r="A584" t="s">
        <v>2232</v>
      </c>
      <c r="B584" t="s">
        <v>2233</v>
      </c>
      <c r="C584" t="s">
        <v>2223</v>
      </c>
      <c r="D584" t="s">
        <v>2224</v>
      </c>
      <c r="E584" t="s">
        <v>285</v>
      </c>
      <c r="F584" t="s">
        <v>286</v>
      </c>
      <c r="G584" t="s">
        <v>750</v>
      </c>
      <c r="H584" t="s">
        <v>751</v>
      </c>
      <c r="I584" t="s">
        <v>199</v>
      </c>
      <c r="J584" t="s">
        <v>287</v>
      </c>
      <c r="M584">
        <v>1</v>
      </c>
      <c r="N584">
        <v>1</v>
      </c>
    </row>
    <row r="585" spans="1:14" x14ac:dyDescent="0.45">
      <c r="A585" t="s">
        <v>2234</v>
      </c>
      <c r="B585" t="s">
        <v>2235</v>
      </c>
      <c r="C585" t="s">
        <v>2223</v>
      </c>
      <c r="D585" t="s">
        <v>2224</v>
      </c>
      <c r="E585" t="s">
        <v>285</v>
      </c>
      <c r="F585" t="s">
        <v>286</v>
      </c>
      <c r="G585" t="s">
        <v>750</v>
      </c>
      <c r="H585" t="s">
        <v>751</v>
      </c>
      <c r="I585" t="s">
        <v>199</v>
      </c>
      <c r="J585" t="s">
        <v>287</v>
      </c>
      <c r="M585">
        <v>1</v>
      </c>
      <c r="N585">
        <v>1</v>
      </c>
    </row>
    <row r="586" spans="1:14" x14ac:dyDescent="0.45">
      <c r="A586" t="s">
        <v>2236</v>
      </c>
      <c r="B586" t="s">
        <v>2237</v>
      </c>
      <c r="C586" t="s">
        <v>2223</v>
      </c>
      <c r="D586" t="s">
        <v>2224</v>
      </c>
      <c r="E586" t="s">
        <v>285</v>
      </c>
      <c r="F586" t="s">
        <v>286</v>
      </c>
      <c r="G586" t="s">
        <v>750</v>
      </c>
      <c r="H586" t="s">
        <v>751</v>
      </c>
      <c r="I586" t="s">
        <v>199</v>
      </c>
      <c r="J586" t="s">
        <v>287</v>
      </c>
      <c r="M586">
        <v>1</v>
      </c>
      <c r="N586">
        <v>1</v>
      </c>
    </row>
    <row r="587" spans="1:14" x14ac:dyDescent="0.45">
      <c r="A587" t="s">
        <v>2238</v>
      </c>
      <c r="B587" t="s">
        <v>2239</v>
      </c>
      <c r="C587" t="s">
        <v>2223</v>
      </c>
      <c r="D587" t="s">
        <v>2224</v>
      </c>
      <c r="E587" t="s">
        <v>285</v>
      </c>
      <c r="F587" t="s">
        <v>286</v>
      </c>
      <c r="G587" t="s">
        <v>750</v>
      </c>
      <c r="H587" t="s">
        <v>751</v>
      </c>
      <c r="I587" t="s">
        <v>199</v>
      </c>
      <c r="J587" t="s">
        <v>287</v>
      </c>
      <c r="M587">
        <v>1</v>
      </c>
      <c r="N587">
        <v>1</v>
      </c>
    </row>
    <row r="588" spans="1:14" x14ac:dyDescent="0.45">
      <c r="A588" t="s">
        <v>2240</v>
      </c>
      <c r="B588" t="s">
        <v>2241</v>
      </c>
      <c r="C588" t="s">
        <v>2223</v>
      </c>
      <c r="D588" t="s">
        <v>2224</v>
      </c>
      <c r="E588" t="s">
        <v>285</v>
      </c>
      <c r="F588" t="s">
        <v>286</v>
      </c>
      <c r="G588" t="s">
        <v>750</v>
      </c>
      <c r="H588" t="s">
        <v>751</v>
      </c>
      <c r="I588" t="s">
        <v>199</v>
      </c>
      <c r="J588" t="s">
        <v>287</v>
      </c>
      <c r="M588">
        <v>1</v>
      </c>
      <c r="N588">
        <v>1</v>
      </c>
    </row>
    <row r="589" spans="1:14" x14ac:dyDescent="0.45">
      <c r="A589" t="s">
        <v>2242</v>
      </c>
      <c r="B589" t="s">
        <v>2243</v>
      </c>
      <c r="C589" t="s">
        <v>2223</v>
      </c>
      <c r="D589" t="s">
        <v>2224</v>
      </c>
      <c r="E589" t="s">
        <v>285</v>
      </c>
      <c r="F589" t="s">
        <v>286</v>
      </c>
      <c r="G589" t="s">
        <v>750</v>
      </c>
      <c r="H589" t="s">
        <v>751</v>
      </c>
      <c r="I589" t="s">
        <v>199</v>
      </c>
      <c r="J589" t="s">
        <v>287</v>
      </c>
      <c r="M589">
        <v>1</v>
      </c>
      <c r="N589">
        <v>1</v>
      </c>
    </row>
    <row r="590" spans="1:14" x14ac:dyDescent="0.45">
      <c r="A590" t="s">
        <v>2244</v>
      </c>
      <c r="B590" t="s">
        <v>2245</v>
      </c>
      <c r="C590" t="s">
        <v>2223</v>
      </c>
      <c r="D590" t="s">
        <v>2224</v>
      </c>
      <c r="E590" t="s">
        <v>285</v>
      </c>
      <c r="F590" t="s">
        <v>286</v>
      </c>
      <c r="G590" t="s">
        <v>750</v>
      </c>
      <c r="H590" t="s">
        <v>751</v>
      </c>
      <c r="I590" t="s">
        <v>199</v>
      </c>
      <c r="J590" t="s">
        <v>287</v>
      </c>
      <c r="M590">
        <v>1</v>
      </c>
      <c r="N590">
        <v>1</v>
      </c>
    </row>
    <row r="591" spans="1:14" x14ac:dyDescent="0.45">
      <c r="A591" t="s">
        <v>285</v>
      </c>
      <c r="B591" t="s">
        <v>2246</v>
      </c>
      <c r="C591" t="s">
        <v>2223</v>
      </c>
      <c r="D591" t="s">
        <v>2224</v>
      </c>
      <c r="E591" t="s">
        <v>285</v>
      </c>
      <c r="F591" t="s">
        <v>286</v>
      </c>
      <c r="G591" t="s">
        <v>750</v>
      </c>
      <c r="H591" t="s">
        <v>751</v>
      </c>
      <c r="I591" t="s">
        <v>199</v>
      </c>
      <c r="J591" t="s">
        <v>287</v>
      </c>
      <c r="M591">
        <v>1</v>
      </c>
      <c r="N591">
        <v>1</v>
      </c>
    </row>
    <row r="592" spans="1:14" x14ac:dyDescent="0.45">
      <c r="A592" t="s">
        <v>2247</v>
      </c>
      <c r="B592" t="s">
        <v>2248</v>
      </c>
      <c r="C592" t="s">
        <v>2223</v>
      </c>
      <c r="D592" t="s">
        <v>2224</v>
      </c>
      <c r="E592" t="s">
        <v>285</v>
      </c>
      <c r="F592" t="s">
        <v>286</v>
      </c>
      <c r="G592" t="s">
        <v>750</v>
      </c>
      <c r="H592" t="s">
        <v>751</v>
      </c>
      <c r="I592" t="s">
        <v>199</v>
      </c>
      <c r="J592" t="s">
        <v>287</v>
      </c>
      <c r="M592">
        <v>1</v>
      </c>
      <c r="N592">
        <v>1</v>
      </c>
    </row>
    <row r="593" spans="1:14" x14ac:dyDescent="0.45">
      <c r="A593" t="s">
        <v>2249</v>
      </c>
      <c r="B593" t="s">
        <v>2250</v>
      </c>
      <c r="C593" t="s">
        <v>2223</v>
      </c>
      <c r="D593" t="s">
        <v>2224</v>
      </c>
      <c r="E593" t="s">
        <v>285</v>
      </c>
      <c r="F593" t="s">
        <v>286</v>
      </c>
      <c r="G593" t="s">
        <v>750</v>
      </c>
      <c r="H593" t="s">
        <v>751</v>
      </c>
      <c r="I593" t="s">
        <v>199</v>
      </c>
      <c r="J593" t="s">
        <v>287</v>
      </c>
      <c r="M593">
        <v>1</v>
      </c>
      <c r="N593">
        <v>1</v>
      </c>
    </row>
    <row r="594" spans="1:14" x14ac:dyDescent="0.45">
      <c r="A594" t="s">
        <v>2251</v>
      </c>
      <c r="B594" t="s">
        <v>2252</v>
      </c>
      <c r="C594" t="s">
        <v>2223</v>
      </c>
      <c r="D594" t="s">
        <v>2224</v>
      </c>
      <c r="E594" t="s">
        <v>285</v>
      </c>
      <c r="F594" t="s">
        <v>286</v>
      </c>
      <c r="G594" t="s">
        <v>750</v>
      </c>
      <c r="H594" t="s">
        <v>751</v>
      </c>
      <c r="I594" t="s">
        <v>199</v>
      </c>
      <c r="J594" t="s">
        <v>287</v>
      </c>
      <c r="M594">
        <v>1</v>
      </c>
      <c r="N594">
        <v>1</v>
      </c>
    </row>
    <row r="595" spans="1:14" x14ac:dyDescent="0.45">
      <c r="A595" t="s">
        <v>2253</v>
      </c>
      <c r="B595" t="s">
        <v>2254</v>
      </c>
      <c r="C595" t="s">
        <v>2223</v>
      </c>
      <c r="D595" t="s">
        <v>2224</v>
      </c>
      <c r="E595" t="s">
        <v>285</v>
      </c>
      <c r="F595" t="s">
        <v>286</v>
      </c>
      <c r="G595" t="s">
        <v>750</v>
      </c>
      <c r="H595" t="s">
        <v>751</v>
      </c>
      <c r="I595" t="s">
        <v>199</v>
      </c>
      <c r="J595" t="s">
        <v>287</v>
      </c>
      <c r="M595">
        <v>1</v>
      </c>
      <c r="N595">
        <v>1</v>
      </c>
    </row>
    <row r="596" spans="1:14" x14ac:dyDescent="0.45">
      <c r="A596" t="s">
        <v>2255</v>
      </c>
      <c r="B596" t="s">
        <v>2256</v>
      </c>
      <c r="C596" t="s">
        <v>2223</v>
      </c>
      <c r="D596" t="s">
        <v>2224</v>
      </c>
      <c r="E596" t="s">
        <v>285</v>
      </c>
      <c r="F596" t="s">
        <v>286</v>
      </c>
      <c r="G596" t="s">
        <v>750</v>
      </c>
      <c r="H596" t="s">
        <v>751</v>
      </c>
      <c r="I596" t="s">
        <v>199</v>
      </c>
      <c r="J596" t="s">
        <v>287</v>
      </c>
      <c r="M596">
        <v>1</v>
      </c>
      <c r="N596">
        <v>1</v>
      </c>
    </row>
    <row r="597" spans="1:14" x14ac:dyDescent="0.45">
      <c r="A597" t="s">
        <v>2257</v>
      </c>
      <c r="B597" t="s">
        <v>2258</v>
      </c>
      <c r="C597" t="s">
        <v>2223</v>
      </c>
      <c r="D597" t="s">
        <v>2224</v>
      </c>
      <c r="E597" t="s">
        <v>285</v>
      </c>
      <c r="F597" t="s">
        <v>286</v>
      </c>
      <c r="G597" t="s">
        <v>750</v>
      </c>
      <c r="H597" t="s">
        <v>751</v>
      </c>
      <c r="I597" t="s">
        <v>199</v>
      </c>
      <c r="J597" t="s">
        <v>287</v>
      </c>
      <c r="M597">
        <v>1</v>
      </c>
      <c r="N597">
        <v>1</v>
      </c>
    </row>
    <row r="598" spans="1:14" x14ac:dyDescent="0.45">
      <c r="A598" t="s">
        <v>2259</v>
      </c>
      <c r="B598" t="s">
        <v>2260</v>
      </c>
      <c r="C598" t="s">
        <v>2223</v>
      </c>
      <c r="D598" t="s">
        <v>2224</v>
      </c>
      <c r="E598" t="s">
        <v>285</v>
      </c>
      <c r="F598" t="s">
        <v>286</v>
      </c>
      <c r="G598" t="s">
        <v>750</v>
      </c>
      <c r="H598" t="s">
        <v>751</v>
      </c>
      <c r="I598" t="s">
        <v>199</v>
      </c>
      <c r="J598" t="s">
        <v>287</v>
      </c>
      <c r="M598">
        <v>1</v>
      </c>
      <c r="N598">
        <v>1</v>
      </c>
    </row>
    <row r="599" spans="1:14" x14ac:dyDescent="0.45">
      <c r="A599" t="s">
        <v>2261</v>
      </c>
      <c r="B599" t="s">
        <v>2262</v>
      </c>
      <c r="C599" t="s">
        <v>2223</v>
      </c>
      <c r="D599" t="s">
        <v>2224</v>
      </c>
      <c r="E599" t="s">
        <v>285</v>
      </c>
      <c r="F599" t="s">
        <v>286</v>
      </c>
      <c r="G599" t="s">
        <v>750</v>
      </c>
      <c r="H599" t="s">
        <v>751</v>
      </c>
      <c r="I599" t="s">
        <v>199</v>
      </c>
      <c r="J599" t="s">
        <v>287</v>
      </c>
      <c r="M599">
        <v>1</v>
      </c>
      <c r="N599">
        <v>1</v>
      </c>
    </row>
    <row r="600" spans="1:14" x14ac:dyDescent="0.45">
      <c r="A600" t="s">
        <v>2263</v>
      </c>
      <c r="B600" t="s">
        <v>2264</v>
      </c>
      <c r="C600" t="s">
        <v>2223</v>
      </c>
      <c r="D600" t="s">
        <v>2224</v>
      </c>
      <c r="E600" t="s">
        <v>285</v>
      </c>
      <c r="F600" t="s">
        <v>286</v>
      </c>
      <c r="G600" t="s">
        <v>750</v>
      </c>
      <c r="H600" t="s">
        <v>751</v>
      </c>
      <c r="I600" t="s">
        <v>199</v>
      </c>
      <c r="J600" t="s">
        <v>287</v>
      </c>
      <c r="M600">
        <v>1</v>
      </c>
      <c r="N600">
        <v>1</v>
      </c>
    </row>
    <row r="601" spans="1:14" x14ac:dyDescent="0.45">
      <c r="A601" t="s">
        <v>2265</v>
      </c>
      <c r="B601" t="s">
        <v>2266</v>
      </c>
      <c r="C601" t="s">
        <v>2223</v>
      </c>
      <c r="D601" t="s">
        <v>2224</v>
      </c>
      <c r="E601" t="s">
        <v>285</v>
      </c>
      <c r="F601" t="s">
        <v>286</v>
      </c>
      <c r="G601" t="s">
        <v>750</v>
      </c>
      <c r="H601" t="s">
        <v>751</v>
      </c>
      <c r="I601" t="s">
        <v>199</v>
      </c>
      <c r="J601" t="s">
        <v>287</v>
      </c>
      <c r="M601">
        <v>1</v>
      </c>
      <c r="N601">
        <v>1</v>
      </c>
    </row>
    <row r="602" spans="1:14" x14ac:dyDescent="0.45">
      <c r="A602" t="s">
        <v>2267</v>
      </c>
      <c r="B602" t="s">
        <v>2268</v>
      </c>
      <c r="C602" t="s">
        <v>2269</v>
      </c>
      <c r="D602" t="s">
        <v>2270</v>
      </c>
      <c r="E602" t="s">
        <v>285</v>
      </c>
      <c r="F602" t="s">
        <v>286</v>
      </c>
      <c r="G602" t="s">
        <v>750</v>
      </c>
      <c r="H602" t="s">
        <v>751</v>
      </c>
      <c r="I602" t="s">
        <v>199</v>
      </c>
      <c r="J602" t="s">
        <v>287</v>
      </c>
      <c r="M602">
        <v>1</v>
      </c>
      <c r="N602">
        <v>1</v>
      </c>
    </row>
    <row r="603" spans="1:14" x14ac:dyDescent="0.45">
      <c r="A603" t="s">
        <v>2271</v>
      </c>
      <c r="B603" t="s">
        <v>2272</v>
      </c>
      <c r="C603" t="s">
        <v>2269</v>
      </c>
      <c r="D603" t="s">
        <v>2270</v>
      </c>
      <c r="E603" t="s">
        <v>285</v>
      </c>
      <c r="F603" t="s">
        <v>286</v>
      </c>
      <c r="G603" t="s">
        <v>750</v>
      </c>
      <c r="H603" t="s">
        <v>751</v>
      </c>
      <c r="I603" t="s">
        <v>199</v>
      </c>
      <c r="J603" t="s">
        <v>287</v>
      </c>
      <c r="M603">
        <v>1</v>
      </c>
      <c r="N603">
        <v>1</v>
      </c>
    </row>
    <row r="604" spans="1:14" x14ac:dyDescent="0.45">
      <c r="A604" t="s">
        <v>2273</v>
      </c>
      <c r="B604" t="s">
        <v>2274</v>
      </c>
      <c r="C604" t="s">
        <v>2269</v>
      </c>
      <c r="D604" t="s">
        <v>2270</v>
      </c>
      <c r="E604" t="s">
        <v>285</v>
      </c>
      <c r="F604" t="s">
        <v>286</v>
      </c>
      <c r="G604" t="s">
        <v>750</v>
      </c>
      <c r="H604" t="s">
        <v>751</v>
      </c>
      <c r="I604" t="s">
        <v>199</v>
      </c>
      <c r="J604" t="s">
        <v>287</v>
      </c>
      <c r="M604">
        <v>1</v>
      </c>
      <c r="N604">
        <v>1</v>
      </c>
    </row>
    <row r="605" spans="1:14" x14ac:dyDescent="0.45">
      <c r="A605" t="s">
        <v>2275</v>
      </c>
      <c r="B605" t="s">
        <v>2276</v>
      </c>
      <c r="C605" t="s">
        <v>2269</v>
      </c>
      <c r="D605" t="s">
        <v>2270</v>
      </c>
      <c r="E605" t="s">
        <v>285</v>
      </c>
      <c r="F605" t="s">
        <v>286</v>
      </c>
      <c r="G605" t="s">
        <v>750</v>
      </c>
      <c r="H605" t="s">
        <v>751</v>
      </c>
      <c r="I605" t="s">
        <v>199</v>
      </c>
      <c r="J605" t="s">
        <v>287</v>
      </c>
      <c r="M605">
        <v>1</v>
      </c>
      <c r="N605">
        <v>1</v>
      </c>
    </row>
    <row r="606" spans="1:14" x14ac:dyDescent="0.45">
      <c r="A606" t="s">
        <v>2277</v>
      </c>
      <c r="B606" t="s">
        <v>2278</v>
      </c>
      <c r="C606" t="s">
        <v>2269</v>
      </c>
      <c r="D606" t="s">
        <v>2270</v>
      </c>
      <c r="E606" t="s">
        <v>285</v>
      </c>
      <c r="F606" t="s">
        <v>286</v>
      </c>
      <c r="G606" t="s">
        <v>750</v>
      </c>
      <c r="H606" t="s">
        <v>751</v>
      </c>
      <c r="I606" t="s">
        <v>199</v>
      </c>
      <c r="J606" t="s">
        <v>287</v>
      </c>
      <c r="M606">
        <v>1</v>
      </c>
      <c r="N606">
        <v>1</v>
      </c>
    </row>
    <row r="607" spans="1:14" x14ac:dyDescent="0.45">
      <c r="A607" t="s">
        <v>2279</v>
      </c>
      <c r="B607" t="s">
        <v>2280</v>
      </c>
      <c r="C607" t="s">
        <v>2269</v>
      </c>
      <c r="D607" t="s">
        <v>2270</v>
      </c>
      <c r="E607" t="s">
        <v>285</v>
      </c>
      <c r="F607" t="s">
        <v>286</v>
      </c>
      <c r="G607" t="s">
        <v>750</v>
      </c>
      <c r="H607" t="s">
        <v>751</v>
      </c>
      <c r="I607" t="s">
        <v>199</v>
      </c>
      <c r="J607" t="s">
        <v>287</v>
      </c>
      <c r="M607">
        <v>1</v>
      </c>
      <c r="N607">
        <v>1</v>
      </c>
    </row>
    <row r="608" spans="1:14" x14ac:dyDescent="0.45">
      <c r="A608" t="s">
        <v>2281</v>
      </c>
      <c r="B608" t="s">
        <v>2282</v>
      </c>
      <c r="C608" t="s">
        <v>2269</v>
      </c>
      <c r="D608" t="s">
        <v>2270</v>
      </c>
      <c r="E608" t="s">
        <v>285</v>
      </c>
      <c r="F608" t="s">
        <v>286</v>
      </c>
      <c r="G608" t="s">
        <v>750</v>
      </c>
      <c r="H608" t="s">
        <v>751</v>
      </c>
      <c r="I608" t="s">
        <v>199</v>
      </c>
      <c r="J608" t="s">
        <v>287</v>
      </c>
      <c r="M608">
        <v>1</v>
      </c>
      <c r="N608">
        <v>1</v>
      </c>
    </row>
    <row r="609" spans="1:14" x14ac:dyDescent="0.45">
      <c r="A609" t="s">
        <v>2283</v>
      </c>
      <c r="B609" t="s">
        <v>2284</v>
      </c>
      <c r="C609" t="s">
        <v>2269</v>
      </c>
      <c r="D609" t="s">
        <v>2270</v>
      </c>
      <c r="E609" t="s">
        <v>285</v>
      </c>
      <c r="F609" t="s">
        <v>286</v>
      </c>
      <c r="G609" t="s">
        <v>750</v>
      </c>
      <c r="H609" t="s">
        <v>751</v>
      </c>
      <c r="I609" t="s">
        <v>199</v>
      </c>
      <c r="J609" t="s">
        <v>287</v>
      </c>
      <c r="M609">
        <v>1</v>
      </c>
      <c r="N609">
        <v>1</v>
      </c>
    </row>
    <row r="610" spans="1:14" x14ac:dyDescent="0.45">
      <c r="A610" t="s">
        <v>2285</v>
      </c>
      <c r="B610" t="s">
        <v>2286</v>
      </c>
      <c r="C610" t="s">
        <v>2269</v>
      </c>
      <c r="D610" t="s">
        <v>2270</v>
      </c>
      <c r="E610" t="s">
        <v>285</v>
      </c>
      <c r="F610" t="s">
        <v>286</v>
      </c>
      <c r="G610" t="s">
        <v>750</v>
      </c>
      <c r="H610" t="s">
        <v>751</v>
      </c>
      <c r="I610" t="s">
        <v>199</v>
      </c>
      <c r="J610" t="s">
        <v>287</v>
      </c>
      <c r="M610">
        <v>1</v>
      </c>
      <c r="N610">
        <v>1</v>
      </c>
    </row>
    <row r="611" spans="1:14" x14ac:dyDescent="0.45">
      <c r="A611" t="s">
        <v>2287</v>
      </c>
      <c r="B611" t="s">
        <v>2288</v>
      </c>
      <c r="C611" t="s">
        <v>2269</v>
      </c>
      <c r="D611" t="s">
        <v>2270</v>
      </c>
      <c r="E611" t="s">
        <v>285</v>
      </c>
      <c r="F611" t="s">
        <v>286</v>
      </c>
      <c r="G611" t="s">
        <v>750</v>
      </c>
      <c r="H611" t="s">
        <v>751</v>
      </c>
      <c r="I611" t="s">
        <v>199</v>
      </c>
      <c r="J611" t="s">
        <v>287</v>
      </c>
      <c r="M611">
        <v>1</v>
      </c>
      <c r="N611">
        <v>1</v>
      </c>
    </row>
    <row r="612" spans="1:14" x14ac:dyDescent="0.45">
      <c r="A612" t="s">
        <v>2289</v>
      </c>
      <c r="B612" t="s">
        <v>2290</v>
      </c>
      <c r="C612" t="s">
        <v>2269</v>
      </c>
      <c r="D612" t="s">
        <v>2270</v>
      </c>
      <c r="E612" t="s">
        <v>285</v>
      </c>
      <c r="F612" t="s">
        <v>286</v>
      </c>
      <c r="G612" t="s">
        <v>750</v>
      </c>
      <c r="H612" t="s">
        <v>751</v>
      </c>
      <c r="I612" t="s">
        <v>199</v>
      </c>
      <c r="J612" t="s">
        <v>287</v>
      </c>
      <c r="M612">
        <v>1</v>
      </c>
      <c r="N612">
        <v>1</v>
      </c>
    </row>
    <row r="613" spans="1:14" x14ac:dyDescent="0.45">
      <c r="A613" t="s">
        <v>2291</v>
      </c>
      <c r="B613" t="s">
        <v>2292</v>
      </c>
      <c r="C613" t="s">
        <v>2293</v>
      </c>
      <c r="D613" t="s">
        <v>2294</v>
      </c>
      <c r="E613" t="s">
        <v>285</v>
      </c>
      <c r="F613" t="s">
        <v>286</v>
      </c>
      <c r="G613" t="s">
        <v>750</v>
      </c>
      <c r="H613" t="s">
        <v>751</v>
      </c>
      <c r="I613" t="s">
        <v>199</v>
      </c>
      <c r="J613" t="s">
        <v>287</v>
      </c>
      <c r="M613">
        <v>1</v>
      </c>
      <c r="N613">
        <v>1</v>
      </c>
    </row>
    <row r="614" spans="1:14" x14ac:dyDescent="0.45">
      <c r="A614" t="s">
        <v>2295</v>
      </c>
      <c r="B614" t="s">
        <v>2296</v>
      </c>
      <c r="C614" t="s">
        <v>2293</v>
      </c>
      <c r="D614" t="s">
        <v>2294</v>
      </c>
      <c r="E614" t="s">
        <v>285</v>
      </c>
      <c r="F614" t="s">
        <v>286</v>
      </c>
      <c r="G614" t="s">
        <v>750</v>
      </c>
      <c r="H614" t="s">
        <v>751</v>
      </c>
      <c r="I614" t="s">
        <v>199</v>
      </c>
      <c r="J614" t="s">
        <v>287</v>
      </c>
      <c r="M614">
        <v>1</v>
      </c>
      <c r="N614">
        <v>1</v>
      </c>
    </row>
    <row r="615" spans="1:14" x14ac:dyDescent="0.45">
      <c r="A615" t="s">
        <v>2297</v>
      </c>
      <c r="B615" t="s">
        <v>2298</v>
      </c>
      <c r="C615" t="s">
        <v>2293</v>
      </c>
      <c r="D615" t="s">
        <v>2294</v>
      </c>
      <c r="E615" t="s">
        <v>285</v>
      </c>
      <c r="F615" t="s">
        <v>286</v>
      </c>
      <c r="G615" t="s">
        <v>750</v>
      </c>
      <c r="H615" t="s">
        <v>751</v>
      </c>
      <c r="I615" t="s">
        <v>199</v>
      </c>
      <c r="J615" t="s">
        <v>287</v>
      </c>
      <c r="M615">
        <v>1</v>
      </c>
      <c r="N615">
        <v>1</v>
      </c>
    </row>
    <row r="616" spans="1:14" x14ac:dyDescent="0.45">
      <c r="A616" t="s">
        <v>2299</v>
      </c>
      <c r="B616" t="s">
        <v>2300</v>
      </c>
      <c r="C616" t="s">
        <v>2293</v>
      </c>
      <c r="D616" t="s">
        <v>2294</v>
      </c>
      <c r="E616" t="s">
        <v>285</v>
      </c>
      <c r="F616" t="s">
        <v>286</v>
      </c>
      <c r="G616" t="s">
        <v>750</v>
      </c>
      <c r="H616" t="s">
        <v>751</v>
      </c>
      <c r="I616" t="s">
        <v>199</v>
      </c>
      <c r="J616" t="s">
        <v>287</v>
      </c>
      <c r="M616">
        <v>1</v>
      </c>
      <c r="N616">
        <v>1</v>
      </c>
    </row>
    <row r="617" spans="1:14" x14ac:dyDescent="0.45">
      <c r="A617" t="s">
        <v>2301</v>
      </c>
      <c r="B617" t="s">
        <v>2302</v>
      </c>
      <c r="C617" t="s">
        <v>2293</v>
      </c>
      <c r="D617" t="s">
        <v>2294</v>
      </c>
      <c r="E617" t="s">
        <v>285</v>
      </c>
      <c r="F617" t="s">
        <v>286</v>
      </c>
      <c r="G617" t="s">
        <v>750</v>
      </c>
      <c r="H617" t="s">
        <v>751</v>
      </c>
      <c r="I617" t="s">
        <v>199</v>
      </c>
      <c r="J617" t="s">
        <v>287</v>
      </c>
      <c r="M617">
        <v>1</v>
      </c>
      <c r="N617">
        <v>1</v>
      </c>
    </row>
    <row r="618" spans="1:14" x14ac:dyDescent="0.45">
      <c r="A618" t="s">
        <v>288</v>
      </c>
      <c r="B618" t="s">
        <v>2303</v>
      </c>
      <c r="C618" t="s">
        <v>2293</v>
      </c>
      <c r="D618" t="s">
        <v>2294</v>
      </c>
      <c r="E618" t="s">
        <v>285</v>
      </c>
      <c r="F618" t="s">
        <v>286</v>
      </c>
      <c r="G618" t="s">
        <v>750</v>
      </c>
      <c r="H618" t="s">
        <v>751</v>
      </c>
      <c r="I618" t="s">
        <v>199</v>
      </c>
      <c r="J618" t="s">
        <v>287</v>
      </c>
      <c r="M618">
        <v>1</v>
      </c>
      <c r="N618">
        <v>1</v>
      </c>
    </row>
    <row r="619" spans="1:14" x14ac:dyDescent="0.45">
      <c r="A619" t="s">
        <v>2304</v>
      </c>
      <c r="B619" t="s">
        <v>2305</v>
      </c>
      <c r="C619" t="s">
        <v>2293</v>
      </c>
      <c r="D619" t="s">
        <v>2294</v>
      </c>
      <c r="E619" t="s">
        <v>285</v>
      </c>
      <c r="F619" t="s">
        <v>286</v>
      </c>
      <c r="G619" t="s">
        <v>750</v>
      </c>
      <c r="H619" t="s">
        <v>751</v>
      </c>
      <c r="I619" t="s">
        <v>199</v>
      </c>
      <c r="J619" t="s">
        <v>287</v>
      </c>
      <c r="M619">
        <v>1</v>
      </c>
      <c r="N619">
        <v>1</v>
      </c>
    </row>
    <row r="620" spans="1:14" x14ac:dyDescent="0.45">
      <c r="A620" t="s">
        <v>2306</v>
      </c>
      <c r="B620" t="s">
        <v>2307</v>
      </c>
      <c r="C620" t="s">
        <v>2293</v>
      </c>
      <c r="D620" t="s">
        <v>2294</v>
      </c>
      <c r="E620" t="s">
        <v>285</v>
      </c>
      <c r="F620" t="s">
        <v>286</v>
      </c>
      <c r="G620" t="s">
        <v>750</v>
      </c>
      <c r="H620" t="s">
        <v>751</v>
      </c>
      <c r="I620" t="s">
        <v>199</v>
      </c>
      <c r="J620" t="s">
        <v>287</v>
      </c>
      <c r="M620">
        <v>1</v>
      </c>
      <c r="N620">
        <v>1</v>
      </c>
    </row>
    <row r="621" spans="1:14" x14ac:dyDescent="0.45">
      <c r="A621" t="s">
        <v>2308</v>
      </c>
      <c r="B621" t="s">
        <v>2309</v>
      </c>
      <c r="C621" t="s">
        <v>2293</v>
      </c>
      <c r="D621" t="s">
        <v>2294</v>
      </c>
      <c r="E621" t="s">
        <v>285</v>
      </c>
      <c r="F621" t="s">
        <v>286</v>
      </c>
      <c r="G621" t="s">
        <v>750</v>
      </c>
      <c r="H621" t="s">
        <v>751</v>
      </c>
      <c r="I621" t="s">
        <v>199</v>
      </c>
      <c r="J621" t="s">
        <v>287</v>
      </c>
      <c r="M621">
        <v>1</v>
      </c>
      <c r="N621">
        <v>1</v>
      </c>
    </row>
    <row r="622" spans="1:14" x14ac:dyDescent="0.45">
      <c r="A622" t="s">
        <v>2310</v>
      </c>
      <c r="B622" t="s">
        <v>2311</v>
      </c>
      <c r="C622" t="s">
        <v>2293</v>
      </c>
      <c r="D622" t="s">
        <v>2294</v>
      </c>
      <c r="E622" t="s">
        <v>285</v>
      </c>
      <c r="F622" t="s">
        <v>286</v>
      </c>
      <c r="G622" t="s">
        <v>750</v>
      </c>
      <c r="H622" t="s">
        <v>751</v>
      </c>
      <c r="I622" t="s">
        <v>199</v>
      </c>
      <c r="J622" t="s">
        <v>287</v>
      </c>
      <c r="M622">
        <v>1</v>
      </c>
      <c r="N622">
        <v>1</v>
      </c>
    </row>
    <row r="623" spans="1:14" x14ac:dyDescent="0.45">
      <c r="A623" t="s">
        <v>2312</v>
      </c>
      <c r="B623" t="s">
        <v>2313</v>
      </c>
      <c r="C623" t="s">
        <v>2293</v>
      </c>
      <c r="D623" t="s">
        <v>2294</v>
      </c>
      <c r="E623" t="s">
        <v>285</v>
      </c>
      <c r="F623" t="s">
        <v>286</v>
      </c>
      <c r="G623" t="s">
        <v>750</v>
      </c>
      <c r="H623" t="s">
        <v>751</v>
      </c>
      <c r="I623" t="s">
        <v>199</v>
      </c>
      <c r="J623" t="s">
        <v>287</v>
      </c>
      <c r="M623">
        <v>1</v>
      </c>
      <c r="N623">
        <v>1</v>
      </c>
    </row>
    <row r="624" spans="1:14" x14ac:dyDescent="0.45">
      <c r="A624" t="s">
        <v>2314</v>
      </c>
      <c r="B624" t="s">
        <v>2315</v>
      </c>
      <c r="C624" t="s">
        <v>2293</v>
      </c>
      <c r="D624" t="s">
        <v>2294</v>
      </c>
      <c r="E624" t="s">
        <v>285</v>
      </c>
      <c r="F624" t="s">
        <v>286</v>
      </c>
      <c r="G624" t="s">
        <v>750</v>
      </c>
      <c r="H624" t="s">
        <v>751</v>
      </c>
      <c r="I624" t="s">
        <v>199</v>
      </c>
      <c r="J624" t="s">
        <v>287</v>
      </c>
      <c r="M624">
        <v>1</v>
      </c>
      <c r="N624">
        <v>1</v>
      </c>
    </row>
    <row r="625" spans="1:14" x14ac:dyDescent="0.45">
      <c r="A625" t="s">
        <v>807</v>
      </c>
      <c r="B625" t="s">
        <v>2316</v>
      </c>
      <c r="C625" t="s">
        <v>2293</v>
      </c>
      <c r="D625" t="s">
        <v>2294</v>
      </c>
      <c r="E625" t="s">
        <v>285</v>
      </c>
      <c r="F625" t="s">
        <v>286</v>
      </c>
      <c r="G625" t="s">
        <v>750</v>
      </c>
      <c r="H625" t="s">
        <v>751</v>
      </c>
      <c r="I625" t="s">
        <v>199</v>
      </c>
      <c r="J625" t="s">
        <v>287</v>
      </c>
      <c r="M625">
        <v>1</v>
      </c>
      <c r="N625">
        <v>1</v>
      </c>
    </row>
    <row r="626" spans="1:14" x14ac:dyDescent="0.45">
      <c r="A626" t="s">
        <v>2317</v>
      </c>
      <c r="B626" t="s">
        <v>2318</v>
      </c>
      <c r="C626" t="s">
        <v>2293</v>
      </c>
      <c r="D626" t="s">
        <v>2294</v>
      </c>
      <c r="E626" t="s">
        <v>285</v>
      </c>
      <c r="F626" t="s">
        <v>286</v>
      </c>
      <c r="G626" t="s">
        <v>750</v>
      </c>
      <c r="H626" t="s">
        <v>751</v>
      </c>
      <c r="I626" t="s">
        <v>199</v>
      </c>
      <c r="J626" t="s">
        <v>287</v>
      </c>
      <c r="M626">
        <v>1</v>
      </c>
      <c r="N626">
        <v>1</v>
      </c>
    </row>
    <row r="627" spans="1:14" x14ac:dyDescent="0.45">
      <c r="A627" t="s">
        <v>2319</v>
      </c>
      <c r="B627" t="s">
        <v>2320</v>
      </c>
      <c r="C627" t="s">
        <v>2321</v>
      </c>
      <c r="D627" t="s">
        <v>2322</v>
      </c>
      <c r="E627" t="s">
        <v>285</v>
      </c>
      <c r="F627" t="s">
        <v>286</v>
      </c>
      <c r="G627" t="s">
        <v>750</v>
      </c>
      <c r="H627" t="s">
        <v>751</v>
      </c>
      <c r="I627" t="s">
        <v>199</v>
      </c>
      <c r="J627" t="s">
        <v>287</v>
      </c>
      <c r="M627">
        <v>1</v>
      </c>
      <c r="N627">
        <v>1</v>
      </c>
    </row>
    <row r="628" spans="1:14" x14ac:dyDescent="0.45">
      <c r="A628" t="s">
        <v>2323</v>
      </c>
      <c r="B628" t="s">
        <v>2324</v>
      </c>
      <c r="C628" t="s">
        <v>2321</v>
      </c>
      <c r="D628" t="s">
        <v>2322</v>
      </c>
      <c r="E628" t="s">
        <v>285</v>
      </c>
      <c r="F628" t="s">
        <v>286</v>
      </c>
      <c r="G628" t="s">
        <v>750</v>
      </c>
      <c r="H628" t="s">
        <v>751</v>
      </c>
      <c r="I628" t="s">
        <v>199</v>
      </c>
      <c r="J628" t="s">
        <v>287</v>
      </c>
      <c r="M628">
        <v>1</v>
      </c>
      <c r="N628">
        <v>1</v>
      </c>
    </row>
    <row r="629" spans="1:14" x14ac:dyDescent="0.45">
      <c r="A629" t="s">
        <v>2325</v>
      </c>
      <c r="B629" t="s">
        <v>2326</v>
      </c>
      <c r="C629" t="s">
        <v>2321</v>
      </c>
      <c r="D629" t="s">
        <v>2322</v>
      </c>
      <c r="E629" t="s">
        <v>285</v>
      </c>
      <c r="F629" t="s">
        <v>286</v>
      </c>
      <c r="G629" t="s">
        <v>750</v>
      </c>
      <c r="H629" t="s">
        <v>751</v>
      </c>
      <c r="I629" t="s">
        <v>199</v>
      </c>
      <c r="J629" t="s">
        <v>287</v>
      </c>
      <c r="M629">
        <v>1</v>
      </c>
      <c r="N629">
        <v>1</v>
      </c>
    </row>
    <row r="630" spans="1:14" x14ac:dyDescent="0.45">
      <c r="A630" t="s">
        <v>2327</v>
      </c>
      <c r="B630" t="s">
        <v>2328</v>
      </c>
      <c r="C630" t="s">
        <v>2321</v>
      </c>
      <c r="D630" t="s">
        <v>2322</v>
      </c>
      <c r="E630" t="s">
        <v>285</v>
      </c>
      <c r="F630" t="s">
        <v>286</v>
      </c>
      <c r="G630" t="s">
        <v>750</v>
      </c>
      <c r="H630" t="s">
        <v>751</v>
      </c>
      <c r="I630" t="s">
        <v>199</v>
      </c>
      <c r="J630" t="s">
        <v>287</v>
      </c>
      <c r="M630">
        <v>1</v>
      </c>
      <c r="N630">
        <v>1</v>
      </c>
    </row>
    <row r="631" spans="1:14" x14ac:dyDescent="0.45">
      <c r="A631" t="s">
        <v>2329</v>
      </c>
      <c r="B631" t="s">
        <v>2330</v>
      </c>
      <c r="C631" t="s">
        <v>2321</v>
      </c>
      <c r="D631" t="s">
        <v>2322</v>
      </c>
      <c r="E631" t="s">
        <v>285</v>
      </c>
      <c r="F631" t="s">
        <v>286</v>
      </c>
      <c r="G631" t="s">
        <v>750</v>
      </c>
      <c r="H631" t="s">
        <v>751</v>
      </c>
      <c r="I631" t="s">
        <v>199</v>
      </c>
      <c r="J631" t="s">
        <v>287</v>
      </c>
      <c r="M631">
        <v>1</v>
      </c>
      <c r="N631">
        <v>1</v>
      </c>
    </row>
    <row r="632" spans="1:14" x14ac:dyDescent="0.45">
      <c r="A632" t="s">
        <v>2331</v>
      </c>
      <c r="B632" t="s">
        <v>2332</v>
      </c>
      <c r="C632" t="s">
        <v>2321</v>
      </c>
      <c r="D632" t="s">
        <v>2322</v>
      </c>
      <c r="E632" t="s">
        <v>285</v>
      </c>
      <c r="F632" t="s">
        <v>286</v>
      </c>
      <c r="G632" t="s">
        <v>750</v>
      </c>
      <c r="H632" t="s">
        <v>751</v>
      </c>
      <c r="I632" t="s">
        <v>199</v>
      </c>
      <c r="J632" t="s">
        <v>287</v>
      </c>
      <c r="M632">
        <v>1</v>
      </c>
      <c r="N632">
        <v>1</v>
      </c>
    </row>
    <row r="633" spans="1:14" x14ac:dyDescent="0.45">
      <c r="A633" t="s">
        <v>2333</v>
      </c>
      <c r="B633" t="s">
        <v>2334</v>
      </c>
      <c r="C633" t="s">
        <v>2321</v>
      </c>
      <c r="D633" t="s">
        <v>2322</v>
      </c>
      <c r="E633" t="s">
        <v>285</v>
      </c>
      <c r="F633" t="s">
        <v>286</v>
      </c>
      <c r="G633" t="s">
        <v>750</v>
      </c>
      <c r="H633" t="s">
        <v>751</v>
      </c>
      <c r="I633" t="s">
        <v>199</v>
      </c>
      <c r="J633" t="s">
        <v>287</v>
      </c>
      <c r="M633">
        <v>1</v>
      </c>
      <c r="N633">
        <v>1</v>
      </c>
    </row>
    <row r="634" spans="1:14" x14ac:dyDescent="0.45">
      <c r="A634" t="s">
        <v>276</v>
      </c>
      <c r="B634" t="s">
        <v>2335</v>
      </c>
      <c r="C634" t="s">
        <v>2336</v>
      </c>
      <c r="D634" t="s">
        <v>2337</v>
      </c>
      <c r="E634" t="s">
        <v>285</v>
      </c>
      <c r="F634" t="s">
        <v>286</v>
      </c>
      <c r="G634" t="s">
        <v>750</v>
      </c>
      <c r="H634" t="s">
        <v>751</v>
      </c>
      <c r="I634" t="s">
        <v>199</v>
      </c>
      <c r="J634" t="s">
        <v>287</v>
      </c>
      <c r="M634">
        <v>1</v>
      </c>
      <c r="N634">
        <v>1</v>
      </c>
    </row>
    <row r="635" spans="1:14" x14ac:dyDescent="0.45">
      <c r="A635" t="s">
        <v>2338</v>
      </c>
      <c r="B635" t="s">
        <v>2339</v>
      </c>
      <c r="C635" t="s">
        <v>2336</v>
      </c>
      <c r="D635" t="s">
        <v>2337</v>
      </c>
      <c r="E635" t="s">
        <v>285</v>
      </c>
      <c r="F635" t="s">
        <v>286</v>
      </c>
      <c r="G635" t="s">
        <v>750</v>
      </c>
      <c r="H635" t="s">
        <v>751</v>
      </c>
      <c r="I635" t="s">
        <v>199</v>
      </c>
      <c r="J635" t="s">
        <v>287</v>
      </c>
      <c r="M635">
        <v>1</v>
      </c>
      <c r="N635">
        <v>1</v>
      </c>
    </row>
    <row r="636" spans="1:14" x14ac:dyDescent="0.45">
      <c r="A636" t="s">
        <v>2340</v>
      </c>
      <c r="B636" t="s">
        <v>2341</v>
      </c>
      <c r="C636" t="s">
        <v>2336</v>
      </c>
      <c r="D636" t="s">
        <v>2337</v>
      </c>
      <c r="E636" t="s">
        <v>285</v>
      </c>
      <c r="F636" t="s">
        <v>286</v>
      </c>
      <c r="G636" t="s">
        <v>750</v>
      </c>
      <c r="H636" t="s">
        <v>751</v>
      </c>
      <c r="I636" t="s">
        <v>199</v>
      </c>
      <c r="J636" t="s">
        <v>287</v>
      </c>
      <c r="M636">
        <v>1</v>
      </c>
      <c r="N636">
        <v>1</v>
      </c>
    </row>
    <row r="637" spans="1:14" x14ac:dyDescent="0.45">
      <c r="A637" t="s">
        <v>2342</v>
      </c>
      <c r="B637" t="s">
        <v>2343</v>
      </c>
      <c r="C637" t="s">
        <v>2336</v>
      </c>
      <c r="D637" t="s">
        <v>2337</v>
      </c>
      <c r="E637" t="s">
        <v>285</v>
      </c>
      <c r="F637" t="s">
        <v>286</v>
      </c>
      <c r="G637" t="s">
        <v>750</v>
      </c>
      <c r="H637" t="s">
        <v>751</v>
      </c>
      <c r="I637" t="s">
        <v>199</v>
      </c>
      <c r="J637" t="s">
        <v>287</v>
      </c>
      <c r="M637">
        <v>1</v>
      </c>
      <c r="N637">
        <v>1</v>
      </c>
    </row>
    <row r="638" spans="1:14" x14ac:dyDescent="0.45">
      <c r="A638" t="s">
        <v>2344</v>
      </c>
      <c r="B638" t="s">
        <v>2345</v>
      </c>
      <c r="C638" t="s">
        <v>2336</v>
      </c>
      <c r="D638" t="s">
        <v>2337</v>
      </c>
      <c r="E638" t="s">
        <v>285</v>
      </c>
      <c r="F638" t="s">
        <v>286</v>
      </c>
      <c r="G638" t="s">
        <v>750</v>
      </c>
      <c r="H638" t="s">
        <v>751</v>
      </c>
      <c r="I638" t="s">
        <v>199</v>
      </c>
      <c r="J638" t="s">
        <v>287</v>
      </c>
      <c r="M638">
        <v>1</v>
      </c>
      <c r="N638">
        <v>1</v>
      </c>
    </row>
    <row r="639" spans="1:14" x14ac:dyDescent="0.45">
      <c r="A639" t="s">
        <v>2346</v>
      </c>
      <c r="B639" t="s">
        <v>2347</v>
      </c>
      <c r="C639" t="s">
        <v>2336</v>
      </c>
      <c r="D639" t="s">
        <v>2337</v>
      </c>
      <c r="E639" t="s">
        <v>285</v>
      </c>
      <c r="F639" t="s">
        <v>286</v>
      </c>
      <c r="G639" t="s">
        <v>750</v>
      </c>
      <c r="H639" t="s">
        <v>751</v>
      </c>
      <c r="I639" t="s">
        <v>199</v>
      </c>
      <c r="J639" t="s">
        <v>287</v>
      </c>
      <c r="M639">
        <v>1</v>
      </c>
      <c r="N639">
        <v>1</v>
      </c>
    </row>
    <row r="640" spans="1:14" x14ac:dyDescent="0.45">
      <c r="A640" t="s">
        <v>975</v>
      </c>
      <c r="B640" t="s">
        <v>2358</v>
      </c>
      <c r="C640" t="s">
        <v>2350</v>
      </c>
      <c r="D640" t="s">
        <v>2351</v>
      </c>
      <c r="E640" t="s">
        <v>288</v>
      </c>
      <c r="F640" t="s">
        <v>289</v>
      </c>
      <c r="G640" t="s">
        <v>750</v>
      </c>
      <c r="H640" t="s">
        <v>252</v>
      </c>
      <c r="I640" t="s">
        <v>193</v>
      </c>
      <c r="J640" t="s">
        <v>290</v>
      </c>
      <c r="K640">
        <v>1</v>
      </c>
      <c r="L640">
        <v>1</v>
      </c>
      <c r="M640">
        <v>1</v>
      </c>
      <c r="N640">
        <v>1</v>
      </c>
    </row>
    <row r="641" spans="1:14" x14ac:dyDescent="0.45">
      <c r="A641" t="s">
        <v>2404</v>
      </c>
      <c r="B641" t="s">
        <v>2405</v>
      </c>
      <c r="C641" t="s">
        <v>2399</v>
      </c>
      <c r="D641" t="s">
        <v>2400</v>
      </c>
      <c r="E641" t="s">
        <v>288</v>
      </c>
      <c r="F641" t="s">
        <v>289</v>
      </c>
      <c r="G641" t="s">
        <v>750</v>
      </c>
      <c r="H641" t="s">
        <v>252</v>
      </c>
      <c r="I641" t="s">
        <v>193</v>
      </c>
      <c r="J641" t="s">
        <v>290</v>
      </c>
      <c r="K641">
        <v>1</v>
      </c>
      <c r="L641">
        <v>1</v>
      </c>
      <c r="M641">
        <v>1</v>
      </c>
      <c r="N641">
        <v>1</v>
      </c>
    </row>
    <row r="642" spans="1:14" x14ac:dyDescent="0.45">
      <c r="A642" t="s">
        <v>2406</v>
      </c>
      <c r="B642" t="s">
        <v>2407</v>
      </c>
      <c r="C642" t="s">
        <v>2399</v>
      </c>
      <c r="D642" t="s">
        <v>2400</v>
      </c>
      <c r="E642" t="s">
        <v>288</v>
      </c>
      <c r="F642" t="s">
        <v>289</v>
      </c>
      <c r="G642" t="s">
        <v>750</v>
      </c>
      <c r="H642" t="s">
        <v>252</v>
      </c>
      <c r="I642" t="s">
        <v>193</v>
      </c>
      <c r="J642" t="s">
        <v>290</v>
      </c>
      <c r="K642">
        <v>1</v>
      </c>
      <c r="L642">
        <v>1</v>
      </c>
      <c r="M642">
        <v>1</v>
      </c>
      <c r="N642">
        <v>1</v>
      </c>
    </row>
    <row r="643" spans="1:14" x14ac:dyDescent="0.45">
      <c r="A643" t="s">
        <v>2409</v>
      </c>
      <c r="B643" t="s">
        <v>2410</v>
      </c>
      <c r="C643" t="s">
        <v>2399</v>
      </c>
      <c r="D643" t="s">
        <v>2400</v>
      </c>
      <c r="E643" t="s">
        <v>288</v>
      </c>
      <c r="F643" t="s">
        <v>289</v>
      </c>
      <c r="G643" t="s">
        <v>750</v>
      </c>
      <c r="H643" t="s">
        <v>252</v>
      </c>
      <c r="I643" t="s">
        <v>193</v>
      </c>
      <c r="J643" t="s">
        <v>290</v>
      </c>
      <c r="K643">
        <v>1</v>
      </c>
      <c r="L643">
        <v>1</v>
      </c>
      <c r="M643">
        <v>1</v>
      </c>
      <c r="N643">
        <v>1</v>
      </c>
    </row>
    <row r="644" spans="1:14" x14ac:dyDescent="0.45">
      <c r="A644" t="s">
        <v>2430</v>
      </c>
      <c r="B644" t="s">
        <v>2431</v>
      </c>
      <c r="C644" t="s">
        <v>2399</v>
      </c>
      <c r="D644" t="s">
        <v>2400</v>
      </c>
      <c r="E644" t="s">
        <v>288</v>
      </c>
      <c r="F644" t="s">
        <v>289</v>
      </c>
      <c r="G644" t="s">
        <v>750</v>
      </c>
      <c r="H644" t="s">
        <v>252</v>
      </c>
      <c r="I644" t="s">
        <v>193</v>
      </c>
      <c r="J644" t="s">
        <v>290</v>
      </c>
      <c r="K644">
        <v>1</v>
      </c>
      <c r="L644">
        <v>1</v>
      </c>
      <c r="M644">
        <v>1</v>
      </c>
      <c r="N644">
        <v>1</v>
      </c>
    </row>
    <row r="645" spans="1:14" x14ac:dyDescent="0.45">
      <c r="A645" t="s">
        <v>2367</v>
      </c>
      <c r="B645" t="s">
        <v>2368</v>
      </c>
      <c r="C645" t="s">
        <v>2350</v>
      </c>
      <c r="D645" t="s">
        <v>2351</v>
      </c>
      <c r="E645" t="s">
        <v>288</v>
      </c>
      <c r="F645" t="s">
        <v>289</v>
      </c>
      <c r="G645" t="s">
        <v>750</v>
      </c>
      <c r="H645" t="s">
        <v>1640</v>
      </c>
      <c r="I645" t="s">
        <v>196</v>
      </c>
      <c r="J645" t="s">
        <v>292</v>
      </c>
      <c r="K645">
        <v>1</v>
      </c>
      <c r="M645">
        <v>1</v>
      </c>
      <c r="N645">
        <v>1</v>
      </c>
    </row>
    <row r="646" spans="1:14" x14ac:dyDescent="0.45">
      <c r="A646" t="s">
        <v>1090</v>
      </c>
      <c r="B646" t="s">
        <v>2370</v>
      </c>
      <c r="C646" t="s">
        <v>2350</v>
      </c>
      <c r="D646" t="s">
        <v>2351</v>
      </c>
      <c r="E646" t="s">
        <v>288</v>
      </c>
      <c r="F646" t="s">
        <v>289</v>
      </c>
      <c r="G646" t="s">
        <v>750</v>
      </c>
      <c r="H646" t="s">
        <v>1640</v>
      </c>
      <c r="I646" t="s">
        <v>196</v>
      </c>
      <c r="J646" t="s">
        <v>292</v>
      </c>
      <c r="K646">
        <v>1</v>
      </c>
      <c r="M646">
        <v>1</v>
      </c>
      <c r="N646">
        <v>1</v>
      </c>
    </row>
    <row r="647" spans="1:14" x14ac:dyDescent="0.45">
      <c r="A647" t="s">
        <v>1917</v>
      </c>
      <c r="B647" t="s">
        <v>2398</v>
      </c>
      <c r="C647" t="s">
        <v>2399</v>
      </c>
      <c r="D647" t="s">
        <v>2400</v>
      </c>
      <c r="E647" t="s">
        <v>288</v>
      </c>
      <c r="F647" t="s">
        <v>289</v>
      </c>
      <c r="G647" t="s">
        <v>750</v>
      </c>
      <c r="H647" t="s">
        <v>1640</v>
      </c>
      <c r="I647" t="s">
        <v>196</v>
      </c>
      <c r="J647" t="s">
        <v>292</v>
      </c>
      <c r="K647">
        <v>1</v>
      </c>
      <c r="M647">
        <v>1</v>
      </c>
      <c r="N647">
        <v>1</v>
      </c>
    </row>
    <row r="648" spans="1:14" x14ac:dyDescent="0.45">
      <c r="A648" t="s">
        <v>2401</v>
      </c>
      <c r="B648" t="s">
        <v>2402</v>
      </c>
      <c r="C648" t="s">
        <v>2399</v>
      </c>
      <c r="D648" t="s">
        <v>2400</v>
      </c>
      <c r="E648" t="s">
        <v>288</v>
      </c>
      <c r="F648" t="s">
        <v>289</v>
      </c>
      <c r="G648" t="s">
        <v>750</v>
      </c>
      <c r="H648" t="s">
        <v>1640</v>
      </c>
      <c r="I648" t="s">
        <v>196</v>
      </c>
      <c r="J648" t="s">
        <v>292</v>
      </c>
      <c r="K648">
        <v>1</v>
      </c>
      <c r="M648">
        <v>1</v>
      </c>
      <c r="N648">
        <v>1</v>
      </c>
    </row>
    <row r="649" spans="1:14" x14ac:dyDescent="0.45">
      <c r="A649" t="s">
        <v>2414</v>
      </c>
      <c r="B649" t="s">
        <v>2415</v>
      </c>
      <c r="C649" t="s">
        <v>2399</v>
      </c>
      <c r="D649" t="s">
        <v>2400</v>
      </c>
      <c r="E649" t="s">
        <v>288</v>
      </c>
      <c r="F649" t="s">
        <v>289</v>
      </c>
      <c r="G649" t="s">
        <v>750</v>
      </c>
      <c r="H649" t="s">
        <v>1640</v>
      </c>
      <c r="I649" t="s">
        <v>196</v>
      </c>
      <c r="J649" t="s">
        <v>292</v>
      </c>
      <c r="K649">
        <v>1</v>
      </c>
      <c r="M649">
        <v>1</v>
      </c>
      <c r="N649">
        <v>1</v>
      </c>
    </row>
    <row r="650" spans="1:14" x14ac:dyDescent="0.45">
      <c r="A650" t="s">
        <v>2422</v>
      </c>
      <c r="B650" t="s">
        <v>2423</v>
      </c>
      <c r="C650" t="s">
        <v>2399</v>
      </c>
      <c r="D650" t="s">
        <v>2400</v>
      </c>
      <c r="E650" t="s">
        <v>288</v>
      </c>
      <c r="F650" t="s">
        <v>289</v>
      </c>
      <c r="G650" t="s">
        <v>750</v>
      </c>
      <c r="H650" t="s">
        <v>1640</v>
      </c>
      <c r="I650" t="s">
        <v>196</v>
      </c>
      <c r="J650" t="s">
        <v>292</v>
      </c>
      <c r="K650">
        <v>1</v>
      </c>
      <c r="M650">
        <v>1</v>
      </c>
      <c r="N650">
        <v>1</v>
      </c>
    </row>
    <row r="651" spans="1:14" x14ac:dyDescent="0.45">
      <c r="A651" t="s">
        <v>2424</v>
      </c>
      <c r="B651" t="s">
        <v>2425</v>
      </c>
      <c r="C651" t="s">
        <v>2399</v>
      </c>
      <c r="D651" t="s">
        <v>2400</v>
      </c>
      <c r="E651" t="s">
        <v>288</v>
      </c>
      <c r="F651" t="s">
        <v>289</v>
      </c>
      <c r="G651" t="s">
        <v>750</v>
      </c>
      <c r="H651" t="s">
        <v>1640</v>
      </c>
      <c r="I651" t="s">
        <v>196</v>
      </c>
      <c r="J651" t="s">
        <v>292</v>
      </c>
      <c r="K651">
        <v>1</v>
      </c>
      <c r="M651">
        <v>1</v>
      </c>
      <c r="N651">
        <v>1</v>
      </c>
    </row>
    <row r="652" spans="1:14" x14ac:dyDescent="0.45">
      <c r="A652" t="s">
        <v>2432</v>
      </c>
      <c r="B652" t="s">
        <v>2433</v>
      </c>
      <c r="C652" t="s">
        <v>2399</v>
      </c>
      <c r="D652" t="s">
        <v>2400</v>
      </c>
      <c r="E652" t="s">
        <v>288</v>
      </c>
      <c r="F652" t="s">
        <v>289</v>
      </c>
      <c r="G652" t="s">
        <v>750</v>
      </c>
      <c r="H652" t="s">
        <v>1640</v>
      </c>
      <c r="I652" t="s">
        <v>196</v>
      </c>
      <c r="J652" t="s">
        <v>292</v>
      </c>
      <c r="K652">
        <v>1</v>
      </c>
      <c r="M652">
        <v>1</v>
      </c>
      <c r="N652">
        <v>1</v>
      </c>
    </row>
    <row r="653" spans="1:14" x14ac:dyDescent="0.45">
      <c r="A653" t="s">
        <v>2348</v>
      </c>
      <c r="B653" t="s">
        <v>2349</v>
      </c>
      <c r="C653" t="s">
        <v>2350</v>
      </c>
      <c r="D653" t="s">
        <v>2351</v>
      </c>
      <c r="E653" t="s">
        <v>288</v>
      </c>
      <c r="F653" t="s">
        <v>289</v>
      </c>
      <c r="G653" t="s">
        <v>750</v>
      </c>
      <c r="H653" t="s">
        <v>1003</v>
      </c>
      <c r="I653" t="s">
        <v>199</v>
      </c>
      <c r="J653" t="s">
        <v>293</v>
      </c>
      <c r="M653">
        <v>1</v>
      </c>
      <c r="N653">
        <v>1</v>
      </c>
    </row>
    <row r="654" spans="1:14" x14ac:dyDescent="0.45">
      <c r="A654" t="s">
        <v>2352</v>
      </c>
      <c r="B654" t="s">
        <v>2353</v>
      </c>
      <c r="C654" t="s">
        <v>2350</v>
      </c>
      <c r="D654" t="s">
        <v>2351</v>
      </c>
      <c r="E654" t="s">
        <v>288</v>
      </c>
      <c r="F654" t="s">
        <v>289</v>
      </c>
      <c r="G654" t="s">
        <v>750</v>
      </c>
      <c r="H654" t="s">
        <v>1003</v>
      </c>
      <c r="I654" t="s">
        <v>199</v>
      </c>
      <c r="J654" t="s">
        <v>293</v>
      </c>
      <c r="M654">
        <v>1</v>
      </c>
      <c r="N654">
        <v>1</v>
      </c>
    </row>
    <row r="655" spans="1:14" x14ac:dyDescent="0.45">
      <c r="A655" t="s">
        <v>2354</v>
      </c>
      <c r="B655" t="s">
        <v>2355</v>
      </c>
      <c r="C655" t="s">
        <v>2350</v>
      </c>
      <c r="D655" t="s">
        <v>2351</v>
      </c>
      <c r="E655" t="s">
        <v>288</v>
      </c>
      <c r="F655" t="s">
        <v>289</v>
      </c>
      <c r="G655" t="s">
        <v>750</v>
      </c>
      <c r="H655" t="s">
        <v>1003</v>
      </c>
      <c r="I655" t="s">
        <v>199</v>
      </c>
      <c r="J655" t="s">
        <v>293</v>
      </c>
      <c r="M655">
        <v>1</v>
      </c>
      <c r="N655">
        <v>1</v>
      </c>
    </row>
    <row r="656" spans="1:14" x14ac:dyDescent="0.45">
      <c r="A656" t="s">
        <v>2356</v>
      </c>
      <c r="B656" t="s">
        <v>2357</v>
      </c>
      <c r="C656" t="s">
        <v>2350</v>
      </c>
      <c r="D656" t="s">
        <v>2351</v>
      </c>
      <c r="E656" t="s">
        <v>288</v>
      </c>
      <c r="F656" t="s">
        <v>289</v>
      </c>
      <c r="G656" t="s">
        <v>750</v>
      </c>
      <c r="H656" t="s">
        <v>1003</v>
      </c>
      <c r="I656" t="s">
        <v>199</v>
      </c>
      <c r="J656" t="s">
        <v>293</v>
      </c>
      <c r="M656">
        <v>1</v>
      </c>
      <c r="N656">
        <v>1</v>
      </c>
    </row>
    <row r="657" spans="1:14" x14ac:dyDescent="0.45">
      <c r="A657" t="s">
        <v>2359</v>
      </c>
      <c r="B657" t="s">
        <v>2360</v>
      </c>
      <c r="C657" t="s">
        <v>2350</v>
      </c>
      <c r="D657" t="s">
        <v>2351</v>
      </c>
      <c r="E657" t="s">
        <v>288</v>
      </c>
      <c r="F657" t="s">
        <v>289</v>
      </c>
      <c r="G657" t="s">
        <v>750</v>
      </c>
      <c r="H657" t="s">
        <v>1003</v>
      </c>
      <c r="I657" t="s">
        <v>199</v>
      </c>
      <c r="J657" t="s">
        <v>293</v>
      </c>
      <c r="M657">
        <v>1</v>
      </c>
      <c r="N657">
        <v>1</v>
      </c>
    </row>
    <row r="658" spans="1:14" x14ac:dyDescent="0.45">
      <c r="A658" t="s">
        <v>2361</v>
      </c>
      <c r="B658" t="s">
        <v>2362</v>
      </c>
      <c r="C658" t="s">
        <v>2350</v>
      </c>
      <c r="D658" t="s">
        <v>2351</v>
      </c>
      <c r="E658" t="s">
        <v>288</v>
      </c>
      <c r="F658" t="s">
        <v>289</v>
      </c>
      <c r="G658" t="s">
        <v>750</v>
      </c>
      <c r="H658" t="s">
        <v>1003</v>
      </c>
      <c r="I658" t="s">
        <v>199</v>
      </c>
      <c r="J658" t="s">
        <v>293</v>
      </c>
      <c r="M658">
        <v>1</v>
      </c>
      <c r="N658">
        <v>1</v>
      </c>
    </row>
    <row r="659" spans="1:14" x14ac:dyDescent="0.45">
      <c r="A659" t="s">
        <v>2363</v>
      </c>
      <c r="B659" t="s">
        <v>2364</v>
      </c>
      <c r="C659" t="s">
        <v>2350</v>
      </c>
      <c r="D659" t="s">
        <v>2351</v>
      </c>
      <c r="E659" t="s">
        <v>288</v>
      </c>
      <c r="F659" t="s">
        <v>289</v>
      </c>
      <c r="G659" t="s">
        <v>750</v>
      </c>
      <c r="H659" t="s">
        <v>1003</v>
      </c>
      <c r="I659" t="s">
        <v>199</v>
      </c>
      <c r="J659" t="s">
        <v>293</v>
      </c>
      <c r="M659">
        <v>1</v>
      </c>
      <c r="N659">
        <v>1</v>
      </c>
    </row>
    <row r="660" spans="1:14" x14ac:dyDescent="0.45">
      <c r="A660" t="s">
        <v>2365</v>
      </c>
      <c r="B660" t="s">
        <v>2366</v>
      </c>
      <c r="C660" t="s">
        <v>2350</v>
      </c>
      <c r="D660" t="s">
        <v>2351</v>
      </c>
      <c r="E660" t="s">
        <v>288</v>
      </c>
      <c r="F660" t="s">
        <v>289</v>
      </c>
      <c r="G660" t="s">
        <v>750</v>
      </c>
      <c r="H660" t="s">
        <v>1003</v>
      </c>
      <c r="I660" t="s">
        <v>199</v>
      </c>
      <c r="J660" t="s">
        <v>293</v>
      </c>
      <c r="M660">
        <v>1</v>
      </c>
      <c r="N660">
        <v>1</v>
      </c>
    </row>
    <row r="661" spans="1:14" x14ac:dyDescent="0.45">
      <c r="A661" t="s">
        <v>1088</v>
      </c>
      <c r="B661" t="s">
        <v>2369</v>
      </c>
      <c r="C661" t="s">
        <v>2350</v>
      </c>
      <c r="D661" t="s">
        <v>2351</v>
      </c>
      <c r="E661" t="s">
        <v>288</v>
      </c>
      <c r="F661" t="s">
        <v>289</v>
      </c>
      <c r="G661" t="s">
        <v>750</v>
      </c>
      <c r="H661" t="s">
        <v>1003</v>
      </c>
      <c r="I661" t="s">
        <v>199</v>
      </c>
      <c r="J661" t="s">
        <v>293</v>
      </c>
      <c r="M661">
        <v>1</v>
      </c>
      <c r="N661">
        <v>1</v>
      </c>
    </row>
    <row r="662" spans="1:14" x14ac:dyDescent="0.45">
      <c r="A662" t="s">
        <v>2371</v>
      </c>
      <c r="B662" t="s">
        <v>2372</v>
      </c>
      <c r="C662" t="s">
        <v>2373</v>
      </c>
      <c r="D662" t="s">
        <v>2374</v>
      </c>
      <c r="E662" t="s">
        <v>288</v>
      </c>
      <c r="F662" t="s">
        <v>289</v>
      </c>
      <c r="G662" t="s">
        <v>750</v>
      </c>
      <c r="H662" t="s">
        <v>1003</v>
      </c>
      <c r="I662" t="s">
        <v>199</v>
      </c>
      <c r="J662" t="s">
        <v>293</v>
      </c>
      <c r="M662">
        <v>1</v>
      </c>
      <c r="N662">
        <v>1</v>
      </c>
    </row>
    <row r="663" spans="1:14" x14ac:dyDescent="0.45">
      <c r="A663" t="s">
        <v>2375</v>
      </c>
      <c r="B663" t="s">
        <v>2376</v>
      </c>
      <c r="C663" t="s">
        <v>2373</v>
      </c>
      <c r="D663" t="s">
        <v>2374</v>
      </c>
      <c r="E663" t="s">
        <v>288</v>
      </c>
      <c r="F663" t="s">
        <v>289</v>
      </c>
      <c r="G663" t="s">
        <v>750</v>
      </c>
      <c r="H663" t="s">
        <v>1003</v>
      </c>
      <c r="I663" t="s">
        <v>199</v>
      </c>
      <c r="J663" t="s">
        <v>293</v>
      </c>
      <c r="M663">
        <v>1</v>
      </c>
      <c r="N663">
        <v>1</v>
      </c>
    </row>
    <row r="664" spans="1:14" x14ac:dyDescent="0.45">
      <c r="A664" t="s">
        <v>2377</v>
      </c>
      <c r="B664" t="s">
        <v>2378</v>
      </c>
      <c r="C664" t="s">
        <v>2373</v>
      </c>
      <c r="D664" t="s">
        <v>2374</v>
      </c>
      <c r="E664" t="s">
        <v>288</v>
      </c>
      <c r="F664" t="s">
        <v>289</v>
      </c>
      <c r="G664" t="s">
        <v>750</v>
      </c>
      <c r="H664" t="s">
        <v>1003</v>
      </c>
      <c r="I664" t="s">
        <v>199</v>
      </c>
      <c r="J664" t="s">
        <v>293</v>
      </c>
      <c r="M664">
        <v>1</v>
      </c>
      <c r="N664">
        <v>1</v>
      </c>
    </row>
    <row r="665" spans="1:14" x14ac:dyDescent="0.45">
      <c r="A665" t="s">
        <v>2379</v>
      </c>
      <c r="B665" t="s">
        <v>2380</v>
      </c>
      <c r="C665" t="s">
        <v>2373</v>
      </c>
      <c r="D665" t="s">
        <v>2374</v>
      </c>
      <c r="E665" t="s">
        <v>288</v>
      </c>
      <c r="F665" t="s">
        <v>289</v>
      </c>
      <c r="G665" t="s">
        <v>750</v>
      </c>
      <c r="H665" t="s">
        <v>1003</v>
      </c>
      <c r="I665" t="s">
        <v>199</v>
      </c>
      <c r="J665" t="s">
        <v>293</v>
      </c>
      <c r="M665">
        <v>1</v>
      </c>
      <c r="N665">
        <v>1</v>
      </c>
    </row>
    <row r="666" spans="1:14" x14ac:dyDescent="0.45">
      <c r="A666" t="s">
        <v>2381</v>
      </c>
      <c r="B666" t="s">
        <v>2382</v>
      </c>
      <c r="C666" t="s">
        <v>2373</v>
      </c>
      <c r="D666" t="s">
        <v>2374</v>
      </c>
      <c r="E666" t="s">
        <v>288</v>
      </c>
      <c r="F666" t="s">
        <v>289</v>
      </c>
      <c r="G666" t="s">
        <v>750</v>
      </c>
      <c r="H666" t="s">
        <v>1003</v>
      </c>
      <c r="I666" t="s">
        <v>199</v>
      </c>
      <c r="J666" t="s">
        <v>293</v>
      </c>
      <c r="M666">
        <v>1</v>
      </c>
      <c r="N666">
        <v>1</v>
      </c>
    </row>
    <row r="667" spans="1:14" x14ac:dyDescent="0.45">
      <c r="A667" t="s">
        <v>2383</v>
      </c>
      <c r="B667" t="s">
        <v>2384</v>
      </c>
      <c r="C667" t="s">
        <v>2373</v>
      </c>
      <c r="D667" t="s">
        <v>2374</v>
      </c>
      <c r="E667" t="s">
        <v>288</v>
      </c>
      <c r="F667" t="s">
        <v>289</v>
      </c>
      <c r="G667" t="s">
        <v>750</v>
      </c>
      <c r="H667" t="s">
        <v>1003</v>
      </c>
      <c r="I667" t="s">
        <v>199</v>
      </c>
      <c r="J667" t="s">
        <v>293</v>
      </c>
      <c r="M667">
        <v>1</v>
      </c>
      <c r="N667">
        <v>1</v>
      </c>
    </row>
    <row r="668" spans="1:14" x14ac:dyDescent="0.45">
      <c r="A668" t="s">
        <v>2385</v>
      </c>
      <c r="B668" t="s">
        <v>2386</v>
      </c>
      <c r="C668" t="s">
        <v>2373</v>
      </c>
      <c r="D668" t="s">
        <v>2374</v>
      </c>
      <c r="E668" t="s">
        <v>288</v>
      </c>
      <c r="F668" t="s">
        <v>289</v>
      </c>
      <c r="G668" t="s">
        <v>750</v>
      </c>
      <c r="H668" t="s">
        <v>1003</v>
      </c>
      <c r="I668" t="s">
        <v>199</v>
      </c>
      <c r="J668" t="s">
        <v>293</v>
      </c>
      <c r="M668">
        <v>1</v>
      </c>
      <c r="N668">
        <v>1</v>
      </c>
    </row>
    <row r="669" spans="1:14" x14ac:dyDescent="0.45">
      <c r="A669" t="s">
        <v>2387</v>
      </c>
      <c r="B669" t="s">
        <v>2388</v>
      </c>
      <c r="C669" t="s">
        <v>2373</v>
      </c>
      <c r="D669" t="s">
        <v>2374</v>
      </c>
      <c r="E669" t="s">
        <v>288</v>
      </c>
      <c r="F669" t="s">
        <v>289</v>
      </c>
      <c r="G669" t="s">
        <v>750</v>
      </c>
      <c r="H669" t="s">
        <v>1003</v>
      </c>
      <c r="I669" t="s">
        <v>199</v>
      </c>
      <c r="J669" t="s">
        <v>293</v>
      </c>
      <c r="M669">
        <v>1</v>
      </c>
      <c r="N669">
        <v>1</v>
      </c>
    </row>
    <row r="670" spans="1:14" x14ac:dyDescent="0.45">
      <c r="A670" t="s">
        <v>2389</v>
      </c>
      <c r="B670" t="s">
        <v>2390</v>
      </c>
      <c r="C670" t="s">
        <v>2373</v>
      </c>
      <c r="D670" t="s">
        <v>2374</v>
      </c>
      <c r="E670" t="s">
        <v>288</v>
      </c>
      <c r="F670" t="s">
        <v>289</v>
      </c>
      <c r="G670" t="s">
        <v>750</v>
      </c>
      <c r="H670" t="s">
        <v>1003</v>
      </c>
      <c r="I670" t="s">
        <v>199</v>
      </c>
      <c r="J670" t="s">
        <v>293</v>
      </c>
      <c r="M670">
        <v>1</v>
      </c>
      <c r="N670">
        <v>1</v>
      </c>
    </row>
    <row r="671" spans="1:14" x14ac:dyDescent="0.45">
      <c r="A671" t="s">
        <v>1272</v>
      </c>
      <c r="B671" t="s">
        <v>2391</v>
      </c>
      <c r="C671" t="s">
        <v>2373</v>
      </c>
      <c r="D671" t="s">
        <v>2374</v>
      </c>
      <c r="E671" t="s">
        <v>288</v>
      </c>
      <c r="F671" t="s">
        <v>289</v>
      </c>
      <c r="G671" t="s">
        <v>750</v>
      </c>
      <c r="H671" t="s">
        <v>1003</v>
      </c>
      <c r="I671" t="s">
        <v>199</v>
      </c>
      <c r="J671" t="s">
        <v>293</v>
      </c>
      <c r="M671">
        <v>1</v>
      </c>
      <c r="N671">
        <v>1</v>
      </c>
    </row>
    <row r="672" spans="1:14" x14ac:dyDescent="0.45">
      <c r="A672" t="s">
        <v>2392</v>
      </c>
      <c r="B672" t="s">
        <v>2393</v>
      </c>
      <c r="C672" t="s">
        <v>2373</v>
      </c>
      <c r="D672" t="s">
        <v>2374</v>
      </c>
      <c r="E672" t="s">
        <v>288</v>
      </c>
      <c r="F672" t="s">
        <v>289</v>
      </c>
      <c r="G672" t="s">
        <v>750</v>
      </c>
      <c r="H672" t="s">
        <v>1003</v>
      </c>
      <c r="I672" t="s">
        <v>199</v>
      </c>
      <c r="J672" t="s">
        <v>293</v>
      </c>
      <c r="M672">
        <v>1</v>
      </c>
      <c r="N672">
        <v>1</v>
      </c>
    </row>
    <row r="673" spans="1:14" x14ac:dyDescent="0.45">
      <c r="A673" t="s">
        <v>2394</v>
      </c>
      <c r="B673" t="s">
        <v>2395</v>
      </c>
      <c r="C673" t="s">
        <v>2373</v>
      </c>
      <c r="D673" t="s">
        <v>2374</v>
      </c>
      <c r="E673" t="s">
        <v>288</v>
      </c>
      <c r="F673" t="s">
        <v>289</v>
      </c>
      <c r="G673" t="s">
        <v>750</v>
      </c>
      <c r="H673" t="s">
        <v>1003</v>
      </c>
      <c r="I673" t="s">
        <v>199</v>
      </c>
      <c r="J673" t="s">
        <v>293</v>
      </c>
      <c r="M673">
        <v>1</v>
      </c>
      <c r="N673">
        <v>1</v>
      </c>
    </row>
    <row r="674" spans="1:14" x14ac:dyDescent="0.45">
      <c r="A674" t="s">
        <v>2396</v>
      </c>
      <c r="B674" t="s">
        <v>2397</v>
      </c>
      <c r="C674" t="s">
        <v>2373</v>
      </c>
      <c r="D674" t="s">
        <v>2374</v>
      </c>
      <c r="E674" t="s">
        <v>288</v>
      </c>
      <c r="F674" t="s">
        <v>289</v>
      </c>
      <c r="G674" t="s">
        <v>750</v>
      </c>
      <c r="H674" t="s">
        <v>1003</v>
      </c>
      <c r="I674" t="s">
        <v>199</v>
      </c>
      <c r="J674" t="s">
        <v>293</v>
      </c>
      <c r="M674">
        <v>1</v>
      </c>
      <c r="N674">
        <v>1</v>
      </c>
    </row>
    <row r="675" spans="1:14" x14ac:dyDescent="0.45">
      <c r="A675" t="s">
        <v>1703</v>
      </c>
      <c r="B675" t="s">
        <v>2403</v>
      </c>
      <c r="C675" t="s">
        <v>2399</v>
      </c>
      <c r="D675" t="s">
        <v>2400</v>
      </c>
      <c r="E675" t="s">
        <v>288</v>
      </c>
      <c r="F675" t="s">
        <v>289</v>
      </c>
      <c r="G675" t="s">
        <v>750</v>
      </c>
      <c r="H675" t="s">
        <v>1003</v>
      </c>
      <c r="I675" t="s">
        <v>199</v>
      </c>
      <c r="J675" t="s">
        <v>293</v>
      </c>
      <c r="M675">
        <v>1</v>
      </c>
      <c r="N675">
        <v>1</v>
      </c>
    </row>
    <row r="676" spans="1:14" x14ac:dyDescent="0.45">
      <c r="A676" t="s">
        <v>1263</v>
      </c>
      <c r="B676" t="s">
        <v>2408</v>
      </c>
      <c r="C676" t="s">
        <v>2399</v>
      </c>
      <c r="D676" t="s">
        <v>2400</v>
      </c>
      <c r="E676" t="s">
        <v>288</v>
      </c>
      <c r="F676" t="s">
        <v>289</v>
      </c>
      <c r="G676" t="s">
        <v>750</v>
      </c>
      <c r="H676" t="s">
        <v>1003</v>
      </c>
      <c r="I676" t="s">
        <v>199</v>
      </c>
      <c r="J676" t="s">
        <v>293</v>
      </c>
      <c r="M676">
        <v>1</v>
      </c>
      <c r="N676">
        <v>1</v>
      </c>
    </row>
    <row r="677" spans="1:14" x14ac:dyDescent="0.45">
      <c r="A677" t="s">
        <v>2412</v>
      </c>
      <c r="B677" t="s">
        <v>2413</v>
      </c>
      <c r="C677" t="s">
        <v>2399</v>
      </c>
      <c r="D677" t="s">
        <v>2400</v>
      </c>
      <c r="E677" t="s">
        <v>288</v>
      </c>
      <c r="F677" t="s">
        <v>289</v>
      </c>
      <c r="G677" t="s">
        <v>750</v>
      </c>
      <c r="H677" t="s">
        <v>1003</v>
      </c>
      <c r="I677" t="s">
        <v>199</v>
      </c>
      <c r="J677" t="s">
        <v>293</v>
      </c>
      <c r="M677">
        <v>1</v>
      </c>
      <c r="N677">
        <v>1</v>
      </c>
    </row>
    <row r="678" spans="1:14" x14ac:dyDescent="0.45">
      <c r="A678" t="s">
        <v>2416</v>
      </c>
      <c r="B678" t="s">
        <v>2417</v>
      </c>
      <c r="C678" t="s">
        <v>2399</v>
      </c>
      <c r="D678" t="s">
        <v>2400</v>
      </c>
      <c r="E678" t="s">
        <v>288</v>
      </c>
      <c r="F678" t="s">
        <v>289</v>
      </c>
      <c r="G678" t="s">
        <v>750</v>
      </c>
      <c r="H678" t="s">
        <v>1003</v>
      </c>
      <c r="I678" t="s">
        <v>199</v>
      </c>
      <c r="J678" t="s">
        <v>293</v>
      </c>
      <c r="M678">
        <v>1</v>
      </c>
      <c r="N678">
        <v>1</v>
      </c>
    </row>
    <row r="679" spans="1:14" x14ac:dyDescent="0.45">
      <c r="A679" t="s">
        <v>2418</v>
      </c>
      <c r="B679" t="s">
        <v>2419</v>
      </c>
      <c r="C679" t="s">
        <v>2399</v>
      </c>
      <c r="D679" t="s">
        <v>2400</v>
      </c>
      <c r="E679" t="s">
        <v>288</v>
      </c>
      <c r="F679" t="s">
        <v>289</v>
      </c>
      <c r="G679" t="s">
        <v>750</v>
      </c>
      <c r="H679" t="s">
        <v>1003</v>
      </c>
      <c r="I679" t="s">
        <v>199</v>
      </c>
      <c r="J679" t="s">
        <v>293</v>
      </c>
      <c r="M679">
        <v>1</v>
      </c>
      <c r="N679">
        <v>1</v>
      </c>
    </row>
    <row r="680" spans="1:14" x14ac:dyDescent="0.45">
      <c r="A680" t="s">
        <v>2426</v>
      </c>
      <c r="B680" t="s">
        <v>2427</v>
      </c>
      <c r="C680" t="s">
        <v>2399</v>
      </c>
      <c r="D680" t="s">
        <v>2400</v>
      </c>
      <c r="E680" t="s">
        <v>288</v>
      </c>
      <c r="F680" t="s">
        <v>289</v>
      </c>
      <c r="G680" t="s">
        <v>750</v>
      </c>
      <c r="H680" t="s">
        <v>1003</v>
      </c>
      <c r="I680" t="s">
        <v>199</v>
      </c>
      <c r="J680" t="s">
        <v>293</v>
      </c>
      <c r="M680">
        <v>1</v>
      </c>
      <c r="N680">
        <v>1</v>
      </c>
    </row>
    <row r="681" spans="1:14" x14ac:dyDescent="0.45">
      <c r="A681" t="s">
        <v>2428</v>
      </c>
      <c r="B681" t="s">
        <v>2429</v>
      </c>
      <c r="C681" t="s">
        <v>2399</v>
      </c>
      <c r="D681" t="s">
        <v>2400</v>
      </c>
      <c r="E681" t="s">
        <v>288</v>
      </c>
      <c r="F681" t="s">
        <v>289</v>
      </c>
      <c r="G681" t="s">
        <v>750</v>
      </c>
      <c r="H681" t="s">
        <v>1003</v>
      </c>
      <c r="I681" t="s">
        <v>199</v>
      </c>
      <c r="J681" t="s">
        <v>293</v>
      </c>
      <c r="M681">
        <v>1</v>
      </c>
      <c r="N681">
        <v>1</v>
      </c>
    </row>
    <row r="682" spans="1:14" x14ac:dyDescent="0.45">
      <c r="A682" t="s">
        <v>2434</v>
      </c>
      <c r="B682" t="s">
        <v>2435</v>
      </c>
      <c r="C682" t="s">
        <v>2436</v>
      </c>
      <c r="D682" t="s">
        <v>2437</v>
      </c>
      <c r="E682" t="s">
        <v>288</v>
      </c>
      <c r="F682" t="s">
        <v>289</v>
      </c>
      <c r="G682" t="s">
        <v>750</v>
      </c>
      <c r="H682" t="s">
        <v>1003</v>
      </c>
      <c r="I682" t="s">
        <v>199</v>
      </c>
      <c r="J682" t="s">
        <v>293</v>
      </c>
      <c r="M682">
        <v>1</v>
      </c>
      <c r="N682">
        <v>1</v>
      </c>
    </row>
    <row r="683" spans="1:14" x14ac:dyDescent="0.45">
      <c r="A683" t="s">
        <v>2438</v>
      </c>
      <c r="B683" t="s">
        <v>2439</v>
      </c>
      <c r="C683" t="s">
        <v>2436</v>
      </c>
      <c r="D683" t="s">
        <v>2437</v>
      </c>
      <c r="E683" t="s">
        <v>288</v>
      </c>
      <c r="F683" t="s">
        <v>289</v>
      </c>
      <c r="G683" t="s">
        <v>750</v>
      </c>
      <c r="H683" t="s">
        <v>1003</v>
      </c>
      <c r="I683" t="s">
        <v>199</v>
      </c>
      <c r="J683" t="s">
        <v>293</v>
      </c>
      <c r="M683">
        <v>1</v>
      </c>
      <c r="N683">
        <v>1</v>
      </c>
    </row>
    <row r="684" spans="1:14" x14ac:dyDescent="0.45">
      <c r="A684" t="s">
        <v>2440</v>
      </c>
      <c r="B684" t="s">
        <v>2441</v>
      </c>
      <c r="C684" t="s">
        <v>2436</v>
      </c>
      <c r="D684" t="s">
        <v>2437</v>
      </c>
      <c r="E684" t="s">
        <v>288</v>
      </c>
      <c r="F684" t="s">
        <v>289</v>
      </c>
      <c r="G684" t="s">
        <v>750</v>
      </c>
      <c r="H684" t="s">
        <v>1003</v>
      </c>
      <c r="I684" t="s">
        <v>199</v>
      </c>
      <c r="J684" t="s">
        <v>293</v>
      </c>
      <c r="M684">
        <v>1</v>
      </c>
      <c r="N684">
        <v>1</v>
      </c>
    </row>
    <row r="685" spans="1:14" x14ac:dyDescent="0.45">
      <c r="A685" t="s">
        <v>2442</v>
      </c>
      <c r="B685" t="s">
        <v>2443</v>
      </c>
      <c r="C685" t="s">
        <v>2436</v>
      </c>
      <c r="D685" t="s">
        <v>2437</v>
      </c>
      <c r="E685" t="s">
        <v>288</v>
      </c>
      <c r="F685" t="s">
        <v>289</v>
      </c>
      <c r="G685" t="s">
        <v>750</v>
      </c>
      <c r="H685" t="s">
        <v>1003</v>
      </c>
      <c r="I685" t="s">
        <v>199</v>
      </c>
      <c r="J685" t="s">
        <v>293</v>
      </c>
      <c r="M685">
        <v>1</v>
      </c>
      <c r="N685">
        <v>1</v>
      </c>
    </row>
    <row r="686" spans="1:14" x14ac:dyDescent="0.45">
      <c r="A686" t="s">
        <v>2444</v>
      </c>
      <c r="B686" t="s">
        <v>2445</v>
      </c>
      <c r="C686" t="s">
        <v>2436</v>
      </c>
      <c r="D686" t="s">
        <v>2437</v>
      </c>
      <c r="E686" t="s">
        <v>288</v>
      </c>
      <c r="F686" t="s">
        <v>289</v>
      </c>
      <c r="G686" t="s">
        <v>750</v>
      </c>
      <c r="H686" t="s">
        <v>1003</v>
      </c>
      <c r="I686" t="s">
        <v>199</v>
      </c>
      <c r="J686" t="s">
        <v>293</v>
      </c>
      <c r="M686">
        <v>1</v>
      </c>
      <c r="N686">
        <v>1</v>
      </c>
    </row>
    <row r="687" spans="1:14" x14ac:dyDescent="0.45">
      <c r="A687" t="s">
        <v>2446</v>
      </c>
      <c r="B687" t="s">
        <v>2447</v>
      </c>
      <c r="C687" t="s">
        <v>2436</v>
      </c>
      <c r="D687" t="s">
        <v>2437</v>
      </c>
      <c r="E687" t="s">
        <v>288</v>
      </c>
      <c r="F687" t="s">
        <v>289</v>
      </c>
      <c r="G687" t="s">
        <v>750</v>
      </c>
      <c r="H687" t="s">
        <v>1003</v>
      </c>
      <c r="I687" t="s">
        <v>199</v>
      </c>
      <c r="J687" t="s">
        <v>293</v>
      </c>
      <c r="M687">
        <v>1</v>
      </c>
      <c r="N687">
        <v>1</v>
      </c>
    </row>
    <row r="688" spans="1:14" x14ac:dyDescent="0.45">
      <c r="A688" t="s">
        <v>2422</v>
      </c>
      <c r="B688" t="s">
        <v>2448</v>
      </c>
      <c r="C688" t="s">
        <v>2436</v>
      </c>
      <c r="D688" t="s">
        <v>2437</v>
      </c>
      <c r="E688" t="s">
        <v>288</v>
      </c>
      <c r="F688" t="s">
        <v>289</v>
      </c>
      <c r="G688" t="s">
        <v>750</v>
      </c>
      <c r="H688" t="s">
        <v>1003</v>
      </c>
      <c r="I688" t="s">
        <v>199</v>
      </c>
      <c r="J688" t="s">
        <v>293</v>
      </c>
      <c r="M688">
        <v>1</v>
      </c>
      <c r="N688">
        <v>1</v>
      </c>
    </row>
    <row r="689" spans="1:14" x14ac:dyDescent="0.45">
      <c r="A689" t="s">
        <v>2449</v>
      </c>
      <c r="B689" t="s">
        <v>2450</v>
      </c>
      <c r="C689" t="s">
        <v>2436</v>
      </c>
      <c r="D689" t="s">
        <v>2437</v>
      </c>
      <c r="E689" t="s">
        <v>288</v>
      </c>
      <c r="F689" t="s">
        <v>289</v>
      </c>
      <c r="G689" t="s">
        <v>750</v>
      </c>
      <c r="H689" t="s">
        <v>1003</v>
      </c>
      <c r="I689" t="s">
        <v>199</v>
      </c>
      <c r="J689" t="s">
        <v>293</v>
      </c>
      <c r="M689">
        <v>1</v>
      </c>
      <c r="N689">
        <v>1</v>
      </c>
    </row>
    <row r="690" spans="1:14" x14ac:dyDescent="0.45">
      <c r="A690" t="s">
        <v>288</v>
      </c>
      <c r="B690" t="s">
        <v>2411</v>
      </c>
      <c r="C690" t="s">
        <v>2399</v>
      </c>
      <c r="D690" t="s">
        <v>2400</v>
      </c>
      <c r="E690" t="s">
        <v>288</v>
      </c>
      <c r="F690" t="s">
        <v>289</v>
      </c>
      <c r="G690" t="s">
        <v>750</v>
      </c>
      <c r="H690" t="s">
        <v>1644</v>
      </c>
      <c r="I690" t="s">
        <v>196</v>
      </c>
      <c r="J690" t="s">
        <v>295</v>
      </c>
      <c r="K690">
        <v>1</v>
      </c>
      <c r="M690">
        <v>1</v>
      </c>
      <c r="N690">
        <v>1</v>
      </c>
    </row>
    <row r="691" spans="1:14" x14ac:dyDescent="0.45">
      <c r="A691" t="s">
        <v>2451</v>
      </c>
      <c r="B691" t="s">
        <v>2452</v>
      </c>
      <c r="C691" t="s">
        <v>2453</v>
      </c>
      <c r="D691" t="s">
        <v>2454</v>
      </c>
      <c r="E691" t="s">
        <v>296</v>
      </c>
      <c r="F691" t="s">
        <v>297</v>
      </c>
      <c r="G691" t="s">
        <v>750</v>
      </c>
      <c r="H691" t="s">
        <v>751</v>
      </c>
      <c r="I691" t="s">
        <v>199</v>
      </c>
      <c r="J691" t="s">
        <v>298</v>
      </c>
      <c r="M691">
        <v>1</v>
      </c>
      <c r="N691">
        <v>1</v>
      </c>
    </row>
    <row r="692" spans="1:14" x14ac:dyDescent="0.45">
      <c r="A692" t="s">
        <v>1343</v>
      </c>
      <c r="B692" t="s">
        <v>2455</v>
      </c>
      <c r="C692" t="s">
        <v>2453</v>
      </c>
      <c r="D692" t="s">
        <v>2454</v>
      </c>
      <c r="E692" t="s">
        <v>296</v>
      </c>
      <c r="F692" t="s">
        <v>297</v>
      </c>
      <c r="G692" t="s">
        <v>750</v>
      </c>
      <c r="H692" t="s">
        <v>751</v>
      </c>
      <c r="I692" t="s">
        <v>199</v>
      </c>
      <c r="J692" t="s">
        <v>298</v>
      </c>
      <c r="M692">
        <v>1</v>
      </c>
      <c r="N692">
        <v>1</v>
      </c>
    </row>
    <row r="693" spans="1:14" x14ac:dyDescent="0.45">
      <c r="A693" t="s">
        <v>2456</v>
      </c>
      <c r="B693" t="s">
        <v>2457</v>
      </c>
      <c r="C693" t="s">
        <v>2453</v>
      </c>
      <c r="D693" t="s">
        <v>2454</v>
      </c>
      <c r="E693" t="s">
        <v>296</v>
      </c>
      <c r="F693" t="s">
        <v>297</v>
      </c>
      <c r="G693" t="s">
        <v>750</v>
      </c>
      <c r="H693" t="s">
        <v>751</v>
      </c>
      <c r="I693" t="s">
        <v>199</v>
      </c>
      <c r="J693" t="s">
        <v>298</v>
      </c>
      <c r="M693">
        <v>1</v>
      </c>
      <c r="N693">
        <v>1</v>
      </c>
    </row>
    <row r="694" spans="1:14" x14ac:dyDescent="0.45">
      <c r="A694" t="s">
        <v>2040</v>
      </c>
      <c r="B694" t="s">
        <v>2458</v>
      </c>
      <c r="C694" t="s">
        <v>2453</v>
      </c>
      <c r="D694" t="s">
        <v>2454</v>
      </c>
      <c r="E694" t="s">
        <v>296</v>
      </c>
      <c r="F694" t="s">
        <v>297</v>
      </c>
      <c r="G694" t="s">
        <v>750</v>
      </c>
      <c r="H694" t="s">
        <v>751</v>
      </c>
      <c r="I694" t="s">
        <v>199</v>
      </c>
      <c r="J694" t="s">
        <v>298</v>
      </c>
      <c r="M694">
        <v>1</v>
      </c>
      <c r="N694">
        <v>1</v>
      </c>
    </row>
    <row r="695" spans="1:14" x14ac:dyDescent="0.45">
      <c r="A695" t="s">
        <v>870</v>
      </c>
      <c r="B695" t="s">
        <v>2459</v>
      </c>
      <c r="C695" t="s">
        <v>2453</v>
      </c>
      <c r="D695" t="s">
        <v>2454</v>
      </c>
      <c r="E695" t="s">
        <v>296</v>
      </c>
      <c r="F695" t="s">
        <v>297</v>
      </c>
      <c r="G695" t="s">
        <v>750</v>
      </c>
      <c r="H695" t="s">
        <v>751</v>
      </c>
      <c r="I695" t="s">
        <v>199</v>
      </c>
      <c r="J695" t="s">
        <v>298</v>
      </c>
      <c r="M695">
        <v>1</v>
      </c>
      <c r="N695">
        <v>1</v>
      </c>
    </row>
    <row r="696" spans="1:14" x14ac:dyDescent="0.45">
      <c r="A696" t="s">
        <v>2460</v>
      </c>
      <c r="B696" t="s">
        <v>2461</v>
      </c>
      <c r="C696" t="s">
        <v>2453</v>
      </c>
      <c r="D696" t="s">
        <v>2454</v>
      </c>
      <c r="E696" t="s">
        <v>296</v>
      </c>
      <c r="F696" t="s">
        <v>297</v>
      </c>
      <c r="G696" t="s">
        <v>750</v>
      </c>
      <c r="H696" t="s">
        <v>751</v>
      </c>
      <c r="I696" t="s">
        <v>199</v>
      </c>
      <c r="J696" t="s">
        <v>298</v>
      </c>
      <c r="M696">
        <v>1</v>
      </c>
      <c r="N696">
        <v>1</v>
      </c>
    </row>
    <row r="697" spans="1:14" x14ac:dyDescent="0.45">
      <c r="A697" t="s">
        <v>2462</v>
      </c>
      <c r="B697" t="s">
        <v>2463</v>
      </c>
      <c r="C697" t="s">
        <v>2453</v>
      </c>
      <c r="D697" t="s">
        <v>2454</v>
      </c>
      <c r="E697" t="s">
        <v>296</v>
      </c>
      <c r="F697" t="s">
        <v>297</v>
      </c>
      <c r="G697" t="s">
        <v>750</v>
      </c>
      <c r="H697" t="s">
        <v>751</v>
      </c>
      <c r="I697" t="s">
        <v>199</v>
      </c>
      <c r="J697" t="s">
        <v>298</v>
      </c>
      <c r="M697">
        <v>1</v>
      </c>
      <c r="N697">
        <v>1</v>
      </c>
    </row>
    <row r="698" spans="1:14" x14ac:dyDescent="0.45">
      <c r="A698" t="s">
        <v>288</v>
      </c>
      <c r="B698" t="s">
        <v>2464</v>
      </c>
      <c r="C698" t="s">
        <v>2453</v>
      </c>
      <c r="D698" t="s">
        <v>2454</v>
      </c>
      <c r="E698" t="s">
        <v>296</v>
      </c>
      <c r="F698" t="s">
        <v>297</v>
      </c>
      <c r="G698" t="s">
        <v>750</v>
      </c>
      <c r="H698" t="s">
        <v>751</v>
      </c>
      <c r="I698" t="s">
        <v>199</v>
      </c>
      <c r="J698" t="s">
        <v>298</v>
      </c>
      <c r="M698">
        <v>1</v>
      </c>
      <c r="N698">
        <v>1</v>
      </c>
    </row>
    <row r="699" spans="1:14" x14ac:dyDescent="0.45">
      <c r="A699" t="s">
        <v>2465</v>
      </c>
      <c r="B699" t="s">
        <v>2466</v>
      </c>
      <c r="C699" t="s">
        <v>2453</v>
      </c>
      <c r="D699" t="s">
        <v>2454</v>
      </c>
      <c r="E699" t="s">
        <v>296</v>
      </c>
      <c r="F699" t="s">
        <v>297</v>
      </c>
      <c r="G699" t="s">
        <v>750</v>
      </c>
      <c r="H699" t="s">
        <v>751</v>
      </c>
      <c r="I699" t="s">
        <v>199</v>
      </c>
      <c r="J699" t="s">
        <v>298</v>
      </c>
      <c r="M699">
        <v>1</v>
      </c>
      <c r="N699">
        <v>1</v>
      </c>
    </row>
    <row r="700" spans="1:14" x14ac:dyDescent="0.45">
      <c r="A700" t="s">
        <v>2467</v>
      </c>
      <c r="B700" t="s">
        <v>2468</v>
      </c>
      <c r="C700" t="s">
        <v>2453</v>
      </c>
      <c r="D700" t="s">
        <v>2454</v>
      </c>
      <c r="E700" t="s">
        <v>296</v>
      </c>
      <c r="F700" t="s">
        <v>297</v>
      </c>
      <c r="G700" t="s">
        <v>750</v>
      </c>
      <c r="H700" t="s">
        <v>751</v>
      </c>
      <c r="I700" t="s">
        <v>199</v>
      </c>
      <c r="J700" t="s">
        <v>298</v>
      </c>
      <c r="M700">
        <v>1</v>
      </c>
      <c r="N700">
        <v>1</v>
      </c>
    </row>
    <row r="701" spans="1:14" x14ac:dyDescent="0.45">
      <c r="A701" t="s">
        <v>2469</v>
      </c>
      <c r="B701" t="s">
        <v>2470</v>
      </c>
      <c r="C701" t="s">
        <v>2453</v>
      </c>
      <c r="D701" t="s">
        <v>2454</v>
      </c>
      <c r="E701" t="s">
        <v>296</v>
      </c>
      <c r="F701" t="s">
        <v>297</v>
      </c>
      <c r="G701" t="s">
        <v>750</v>
      </c>
      <c r="H701" t="s">
        <v>751</v>
      </c>
      <c r="I701" t="s">
        <v>199</v>
      </c>
      <c r="J701" t="s">
        <v>298</v>
      </c>
      <c r="M701">
        <v>1</v>
      </c>
      <c r="N701">
        <v>1</v>
      </c>
    </row>
    <row r="702" spans="1:14" x14ac:dyDescent="0.45">
      <c r="A702" t="s">
        <v>2471</v>
      </c>
      <c r="B702" t="s">
        <v>2472</v>
      </c>
      <c r="C702" t="s">
        <v>2453</v>
      </c>
      <c r="D702" t="s">
        <v>2454</v>
      </c>
      <c r="E702" t="s">
        <v>296</v>
      </c>
      <c r="F702" t="s">
        <v>297</v>
      </c>
      <c r="G702" t="s">
        <v>750</v>
      </c>
      <c r="H702" t="s">
        <v>751</v>
      </c>
      <c r="I702" t="s">
        <v>199</v>
      </c>
      <c r="J702" t="s">
        <v>298</v>
      </c>
      <c r="M702">
        <v>1</v>
      </c>
      <c r="N702">
        <v>1</v>
      </c>
    </row>
    <row r="703" spans="1:14" x14ac:dyDescent="0.45">
      <c r="A703" t="s">
        <v>2473</v>
      </c>
      <c r="B703" t="s">
        <v>2474</v>
      </c>
      <c r="C703" t="s">
        <v>2453</v>
      </c>
      <c r="D703" t="s">
        <v>2454</v>
      </c>
      <c r="E703" t="s">
        <v>296</v>
      </c>
      <c r="F703" t="s">
        <v>297</v>
      </c>
      <c r="G703" t="s">
        <v>750</v>
      </c>
      <c r="H703" t="s">
        <v>751</v>
      </c>
      <c r="I703" t="s">
        <v>199</v>
      </c>
      <c r="J703" t="s">
        <v>298</v>
      </c>
      <c r="M703">
        <v>1</v>
      </c>
      <c r="N703">
        <v>1</v>
      </c>
    </row>
    <row r="704" spans="1:14" x14ac:dyDescent="0.45">
      <c r="A704" t="s">
        <v>2475</v>
      </c>
      <c r="B704" t="s">
        <v>2476</v>
      </c>
      <c r="C704" t="s">
        <v>2453</v>
      </c>
      <c r="D704" t="s">
        <v>2454</v>
      </c>
      <c r="E704" t="s">
        <v>296</v>
      </c>
      <c r="F704" t="s">
        <v>297</v>
      </c>
      <c r="G704" t="s">
        <v>750</v>
      </c>
      <c r="H704" t="s">
        <v>751</v>
      </c>
      <c r="I704" t="s">
        <v>199</v>
      </c>
      <c r="J704" t="s">
        <v>298</v>
      </c>
      <c r="M704">
        <v>1</v>
      </c>
      <c r="N704">
        <v>1</v>
      </c>
    </row>
    <row r="705" spans="1:14" x14ac:dyDescent="0.45">
      <c r="A705" t="s">
        <v>2477</v>
      </c>
      <c r="B705" t="s">
        <v>2478</v>
      </c>
      <c r="C705" t="s">
        <v>2453</v>
      </c>
      <c r="D705" t="s">
        <v>2454</v>
      </c>
      <c r="E705" t="s">
        <v>296</v>
      </c>
      <c r="F705" t="s">
        <v>297</v>
      </c>
      <c r="G705" t="s">
        <v>750</v>
      </c>
      <c r="H705" t="s">
        <v>751</v>
      </c>
      <c r="I705" t="s">
        <v>199</v>
      </c>
      <c r="J705" t="s">
        <v>298</v>
      </c>
      <c r="M705">
        <v>1</v>
      </c>
      <c r="N705">
        <v>1</v>
      </c>
    </row>
    <row r="706" spans="1:14" x14ac:dyDescent="0.45">
      <c r="A706" t="s">
        <v>2479</v>
      </c>
      <c r="B706" t="s">
        <v>2480</v>
      </c>
      <c r="C706" t="s">
        <v>2453</v>
      </c>
      <c r="D706" t="s">
        <v>2454</v>
      </c>
      <c r="E706" t="s">
        <v>296</v>
      </c>
      <c r="F706" t="s">
        <v>297</v>
      </c>
      <c r="G706" t="s">
        <v>750</v>
      </c>
      <c r="H706" t="s">
        <v>751</v>
      </c>
      <c r="I706" t="s">
        <v>199</v>
      </c>
      <c r="J706" t="s">
        <v>298</v>
      </c>
      <c r="M706">
        <v>1</v>
      </c>
      <c r="N706">
        <v>1</v>
      </c>
    </row>
    <row r="707" spans="1:14" x14ac:dyDescent="0.45">
      <c r="A707" t="s">
        <v>2481</v>
      </c>
      <c r="B707" t="s">
        <v>2482</v>
      </c>
      <c r="C707" t="s">
        <v>2483</v>
      </c>
      <c r="D707" t="s">
        <v>2484</v>
      </c>
      <c r="E707" t="s">
        <v>296</v>
      </c>
      <c r="F707" t="s">
        <v>297</v>
      </c>
      <c r="G707" t="s">
        <v>750</v>
      </c>
      <c r="H707" t="s">
        <v>751</v>
      </c>
      <c r="I707" t="s">
        <v>199</v>
      </c>
      <c r="J707" t="s">
        <v>298</v>
      </c>
      <c r="M707">
        <v>1</v>
      </c>
      <c r="N707">
        <v>1</v>
      </c>
    </row>
    <row r="708" spans="1:14" x14ac:dyDescent="0.45">
      <c r="A708" t="s">
        <v>2485</v>
      </c>
      <c r="B708" t="s">
        <v>2486</v>
      </c>
      <c r="C708" t="s">
        <v>2483</v>
      </c>
      <c r="D708" t="s">
        <v>2484</v>
      </c>
      <c r="E708" t="s">
        <v>296</v>
      </c>
      <c r="F708" t="s">
        <v>297</v>
      </c>
      <c r="G708" t="s">
        <v>750</v>
      </c>
      <c r="H708" t="s">
        <v>751</v>
      </c>
      <c r="I708" t="s">
        <v>199</v>
      </c>
      <c r="J708" t="s">
        <v>298</v>
      </c>
      <c r="M708">
        <v>1</v>
      </c>
      <c r="N708">
        <v>1</v>
      </c>
    </row>
    <row r="709" spans="1:14" x14ac:dyDescent="0.45">
      <c r="A709" t="s">
        <v>2487</v>
      </c>
      <c r="B709" t="s">
        <v>2488</v>
      </c>
      <c r="C709" t="s">
        <v>2483</v>
      </c>
      <c r="D709" t="s">
        <v>2484</v>
      </c>
      <c r="E709" t="s">
        <v>296</v>
      </c>
      <c r="F709" t="s">
        <v>297</v>
      </c>
      <c r="G709" t="s">
        <v>750</v>
      </c>
      <c r="H709" t="s">
        <v>751</v>
      </c>
      <c r="I709" t="s">
        <v>199</v>
      </c>
      <c r="J709" t="s">
        <v>298</v>
      </c>
      <c r="M709">
        <v>1</v>
      </c>
      <c r="N709">
        <v>1</v>
      </c>
    </row>
    <row r="710" spans="1:14" x14ac:dyDescent="0.45">
      <c r="A710" t="s">
        <v>2489</v>
      </c>
      <c r="B710" t="s">
        <v>2490</v>
      </c>
      <c r="C710" t="s">
        <v>2483</v>
      </c>
      <c r="D710" t="s">
        <v>2484</v>
      </c>
      <c r="E710" t="s">
        <v>296</v>
      </c>
      <c r="F710" t="s">
        <v>297</v>
      </c>
      <c r="G710" t="s">
        <v>750</v>
      </c>
      <c r="H710" t="s">
        <v>751</v>
      </c>
      <c r="I710" t="s">
        <v>199</v>
      </c>
      <c r="J710" t="s">
        <v>298</v>
      </c>
      <c r="M710">
        <v>1</v>
      </c>
      <c r="N710">
        <v>1</v>
      </c>
    </row>
    <row r="711" spans="1:14" x14ac:dyDescent="0.45">
      <c r="A711" t="s">
        <v>1267</v>
      </c>
      <c r="B711" t="s">
        <v>2491</v>
      </c>
      <c r="C711" t="s">
        <v>2483</v>
      </c>
      <c r="D711" t="s">
        <v>2484</v>
      </c>
      <c r="E711" t="s">
        <v>296</v>
      </c>
      <c r="F711" t="s">
        <v>297</v>
      </c>
      <c r="G711" t="s">
        <v>750</v>
      </c>
      <c r="H711" t="s">
        <v>751</v>
      </c>
      <c r="I711" t="s">
        <v>199</v>
      </c>
      <c r="J711" t="s">
        <v>298</v>
      </c>
      <c r="M711">
        <v>1</v>
      </c>
      <c r="N711">
        <v>1</v>
      </c>
    </row>
    <row r="712" spans="1:14" x14ac:dyDescent="0.45">
      <c r="A712" t="s">
        <v>2492</v>
      </c>
      <c r="B712" t="s">
        <v>2493</v>
      </c>
      <c r="C712" t="s">
        <v>2483</v>
      </c>
      <c r="D712" t="s">
        <v>2484</v>
      </c>
      <c r="E712" t="s">
        <v>296</v>
      </c>
      <c r="F712" t="s">
        <v>297</v>
      </c>
      <c r="G712" t="s">
        <v>750</v>
      </c>
      <c r="H712" t="s">
        <v>751</v>
      </c>
      <c r="I712" t="s">
        <v>199</v>
      </c>
      <c r="J712" t="s">
        <v>298</v>
      </c>
      <c r="M712">
        <v>1</v>
      </c>
      <c r="N712">
        <v>1</v>
      </c>
    </row>
    <row r="713" spans="1:14" x14ac:dyDescent="0.45">
      <c r="A713" t="s">
        <v>2494</v>
      </c>
      <c r="B713" t="s">
        <v>2495</v>
      </c>
      <c r="C713" t="s">
        <v>2483</v>
      </c>
      <c r="D713" t="s">
        <v>2484</v>
      </c>
      <c r="E713" t="s">
        <v>296</v>
      </c>
      <c r="F713" t="s">
        <v>297</v>
      </c>
      <c r="G713" t="s">
        <v>750</v>
      </c>
      <c r="H713" t="s">
        <v>751</v>
      </c>
      <c r="I713" t="s">
        <v>199</v>
      </c>
      <c r="J713" t="s">
        <v>298</v>
      </c>
      <c r="M713">
        <v>1</v>
      </c>
      <c r="N713">
        <v>1</v>
      </c>
    </row>
    <row r="714" spans="1:14" x14ac:dyDescent="0.45">
      <c r="A714" t="s">
        <v>1163</v>
      </c>
      <c r="B714" t="s">
        <v>2496</v>
      </c>
      <c r="C714" t="s">
        <v>2483</v>
      </c>
      <c r="D714" t="s">
        <v>2484</v>
      </c>
      <c r="E714" t="s">
        <v>296</v>
      </c>
      <c r="F714" t="s">
        <v>297</v>
      </c>
      <c r="G714" t="s">
        <v>750</v>
      </c>
      <c r="H714" t="s">
        <v>751</v>
      </c>
      <c r="I714" t="s">
        <v>199</v>
      </c>
      <c r="J714" t="s">
        <v>298</v>
      </c>
      <c r="M714">
        <v>1</v>
      </c>
      <c r="N714">
        <v>1</v>
      </c>
    </row>
    <row r="715" spans="1:14" x14ac:dyDescent="0.45">
      <c r="A715" t="s">
        <v>2497</v>
      </c>
      <c r="B715" t="s">
        <v>2498</v>
      </c>
      <c r="C715" t="s">
        <v>2483</v>
      </c>
      <c r="D715" t="s">
        <v>2484</v>
      </c>
      <c r="E715" t="s">
        <v>296</v>
      </c>
      <c r="F715" t="s">
        <v>297</v>
      </c>
      <c r="G715" t="s">
        <v>750</v>
      </c>
      <c r="H715" t="s">
        <v>751</v>
      </c>
      <c r="I715" t="s">
        <v>199</v>
      </c>
      <c r="J715" t="s">
        <v>298</v>
      </c>
      <c r="M715">
        <v>1</v>
      </c>
      <c r="N715">
        <v>1</v>
      </c>
    </row>
    <row r="716" spans="1:14" x14ac:dyDescent="0.45">
      <c r="A716" t="s">
        <v>2499</v>
      </c>
      <c r="B716" t="s">
        <v>2500</v>
      </c>
      <c r="C716" t="s">
        <v>2483</v>
      </c>
      <c r="D716" t="s">
        <v>2484</v>
      </c>
      <c r="E716" t="s">
        <v>296</v>
      </c>
      <c r="F716" t="s">
        <v>297</v>
      </c>
      <c r="G716" t="s">
        <v>750</v>
      </c>
      <c r="H716" t="s">
        <v>751</v>
      </c>
      <c r="I716" t="s">
        <v>199</v>
      </c>
      <c r="J716" t="s">
        <v>298</v>
      </c>
      <c r="M716">
        <v>1</v>
      </c>
      <c r="N716">
        <v>1</v>
      </c>
    </row>
    <row r="717" spans="1:14" x14ac:dyDescent="0.45">
      <c r="A717" t="s">
        <v>2501</v>
      </c>
      <c r="B717" t="s">
        <v>2502</v>
      </c>
      <c r="C717" t="s">
        <v>2483</v>
      </c>
      <c r="D717" t="s">
        <v>2484</v>
      </c>
      <c r="E717" t="s">
        <v>296</v>
      </c>
      <c r="F717" t="s">
        <v>297</v>
      </c>
      <c r="G717" t="s">
        <v>750</v>
      </c>
      <c r="H717" t="s">
        <v>751</v>
      </c>
      <c r="I717" t="s">
        <v>199</v>
      </c>
      <c r="J717" t="s">
        <v>298</v>
      </c>
      <c r="M717">
        <v>1</v>
      </c>
      <c r="N717">
        <v>1</v>
      </c>
    </row>
    <row r="718" spans="1:14" x14ac:dyDescent="0.45">
      <c r="A718" t="s">
        <v>2503</v>
      </c>
      <c r="B718" t="s">
        <v>2504</v>
      </c>
      <c r="C718" t="s">
        <v>2483</v>
      </c>
      <c r="D718" t="s">
        <v>2484</v>
      </c>
      <c r="E718" t="s">
        <v>296</v>
      </c>
      <c r="F718" t="s">
        <v>297</v>
      </c>
      <c r="G718" t="s">
        <v>750</v>
      </c>
      <c r="H718" t="s">
        <v>751</v>
      </c>
      <c r="I718" t="s">
        <v>199</v>
      </c>
      <c r="J718" t="s">
        <v>298</v>
      </c>
      <c r="M718">
        <v>1</v>
      </c>
      <c r="N718">
        <v>1</v>
      </c>
    </row>
    <row r="719" spans="1:14" x14ac:dyDescent="0.45">
      <c r="A719" t="s">
        <v>2505</v>
      </c>
      <c r="B719" t="s">
        <v>2506</v>
      </c>
      <c r="C719" t="s">
        <v>2483</v>
      </c>
      <c r="D719" t="s">
        <v>2484</v>
      </c>
      <c r="E719" t="s">
        <v>296</v>
      </c>
      <c r="F719" t="s">
        <v>297</v>
      </c>
      <c r="G719" t="s">
        <v>750</v>
      </c>
      <c r="H719" t="s">
        <v>751</v>
      </c>
      <c r="I719" t="s">
        <v>199</v>
      </c>
      <c r="J719" t="s">
        <v>298</v>
      </c>
      <c r="M719">
        <v>1</v>
      </c>
      <c r="N719">
        <v>1</v>
      </c>
    </row>
    <row r="720" spans="1:14" x14ac:dyDescent="0.45">
      <c r="A720" t="s">
        <v>2507</v>
      </c>
      <c r="B720" t="s">
        <v>2508</v>
      </c>
      <c r="C720" t="s">
        <v>2483</v>
      </c>
      <c r="D720" t="s">
        <v>2484</v>
      </c>
      <c r="E720" t="s">
        <v>296</v>
      </c>
      <c r="F720" t="s">
        <v>297</v>
      </c>
      <c r="G720" t="s">
        <v>750</v>
      </c>
      <c r="H720" t="s">
        <v>751</v>
      </c>
      <c r="I720" t="s">
        <v>199</v>
      </c>
      <c r="J720" t="s">
        <v>298</v>
      </c>
      <c r="M720">
        <v>1</v>
      </c>
      <c r="N720">
        <v>1</v>
      </c>
    </row>
    <row r="721" spans="1:14" x14ac:dyDescent="0.45">
      <c r="A721" t="s">
        <v>2509</v>
      </c>
      <c r="B721" t="s">
        <v>2510</v>
      </c>
      <c r="C721" t="s">
        <v>2483</v>
      </c>
      <c r="D721" t="s">
        <v>2484</v>
      </c>
      <c r="E721" t="s">
        <v>296</v>
      </c>
      <c r="F721" t="s">
        <v>297</v>
      </c>
      <c r="G721" t="s">
        <v>750</v>
      </c>
      <c r="H721" t="s">
        <v>751</v>
      </c>
      <c r="I721" t="s">
        <v>199</v>
      </c>
      <c r="J721" t="s">
        <v>298</v>
      </c>
      <c r="M721">
        <v>1</v>
      </c>
      <c r="N721">
        <v>1</v>
      </c>
    </row>
    <row r="722" spans="1:14" x14ac:dyDescent="0.45">
      <c r="A722" t="s">
        <v>2511</v>
      </c>
      <c r="B722" t="s">
        <v>2512</v>
      </c>
      <c r="C722" t="s">
        <v>2483</v>
      </c>
      <c r="D722" t="s">
        <v>2484</v>
      </c>
      <c r="E722" t="s">
        <v>296</v>
      </c>
      <c r="F722" t="s">
        <v>297</v>
      </c>
      <c r="G722" t="s">
        <v>750</v>
      </c>
      <c r="H722" t="s">
        <v>751</v>
      </c>
      <c r="I722" t="s">
        <v>199</v>
      </c>
      <c r="J722" t="s">
        <v>298</v>
      </c>
      <c r="M722">
        <v>1</v>
      </c>
      <c r="N722">
        <v>1</v>
      </c>
    </row>
    <row r="723" spans="1:14" x14ac:dyDescent="0.45">
      <c r="A723" t="s">
        <v>2513</v>
      </c>
      <c r="B723" t="s">
        <v>2514</v>
      </c>
      <c r="C723" t="s">
        <v>2515</v>
      </c>
      <c r="D723" t="s">
        <v>2516</v>
      </c>
      <c r="E723" t="s">
        <v>296</v>
      </c>
      <c r="F723" t="s">
        <v>297</v>
      </c>
      <c r="G723" t="s">
        <v>750</v>
      </c>
      <c r="H723" t="s">
        <v>751</v>
      </c>
      <c r="I723" t="s">
        <v>199</v>
      </c>
      <c r="J723" t="s">
        <v>298</v>
      </c>
      <c r="M723">
        <v>1</v>
      </c>
      <c r="N723">
        <v>1</v>
      </c>
    </row>
    <row r="724" spans="1:14" x14ac:dyDescent="0.45">
      <c r="A724" t="s">
        <v>2517</v>
      </c>
      <c r="B724" t="s">
        <v>2518</v>
      </c>
      <c r="C724" t="s">
        <v>2515</v>
      </c>
      <c r="D724" t="s">
        <v>2516</v>
      </c>
      <c r="E724" t="s">
        <v>296</v>
      </c>
      <c r="F724" t="s">
        <v>297</v>
      </c>
      <c r="G724" t="s">
        <v>750</v>
      </c>
      <c r="H724" t="s">
        <v>751</v>
      </c>
      <c r="I724" t="s">
        <v>199</v>
      </c>
      <c r="J724" t="s">
        <v>298</v>
      </c>
      <c r="M724">
        <v>1</v>
      </c>
      <c r="N724">
        <v>1</v>
      </c>
    </row>
    <row r="725" spans="1:14" x14ac:dyDescent="0.45">
      <c r="A725" t="s">
        <v>2519</v>
      </c>
      <c r="B725" t="s">
        <v>2520</v>
      </c>
      <c r="C725" t="s">
        <v>2515</v>
      </c>
      <c r="D725" t="s">
        <v>2516</v>
      </c>
      <c r="E725" t="s">
        <v>296</v>
      </c>
      <c r="F725" t="s">
        <v>297</v>
      </c>
      <c r="G725" t="s">
        <v>750</v>
      </c>
      <c r="H725" t="s">
        <v>751</v>
      </c>
      <c r="I725" t="s">
        <v>199</v>
      </c>
      <c r="J725" t="s">
        <v>298</v>
      </c>
      <c r="M725">
        <v>1</v>
      </c>
      <c r="N725">
        <v>1</v>
      </c>
    </row>
    <row r="726" spans="1:14" x14ac:dyDescent="0.45">
      <c r="A726" t="s">
        <v>1614</v>
      </c>
      <c r="B726" t="s">
        <v>2521</v>
      </c>
      <c r="C726" t="s">
        <v>2515</v>
      </c>
      <c r="D726" t="s">
        <v>2516</v>
      </c>
      <c r="E726" t="s">
        <v>296</v>
      </c>
      <c r="F726" t="s">
        <v>297</v>
      </c>
      <c r="G726" t="s">
        <v>750</v>
      </c>
      <c r="H726" t="s">
        <v>751</v>
      </c>
      <c r="I726" t="s">
        <v>199</v>
      </c>
      <c r="J726" t="s">
        <v>298</v>
      </c>
      <c r="M726">
        <v>1</v>
      </c>
      <c r="N726">
        <v>1</v>
      </c>
    </row>
    <row r="727" spans="1:14" x14ac:dyDescent="0.45">
      <c r="A727" t="s">
        <v>2522</v>
      </c>
      <c r="B727" t="s">
        <v>2523</v>
      </c>
      <c r="C727" t="s">
        <v>2515</v>
      </c>
      <c r="D727" t="s">
        <v>2516</v>
      </c>
      <c r="E727" t="s">
        <v>296</v>
      </c>
      <c r="F727" t="s">
        <v>297</v>
      </c>
      <c r="G727" t="s">
        <v>750</v>
      </c>
      <c r="H727" t="s">
        <v>751</v>
      </c>
      <c r="I727" t="s">
        <v>199</v>
      </c>
      <c r="J727" t="s">
        <v>298</v>
      </c>
      <c r="M727">
        <v>1</v>
      </c>
      <c r="N727">
        <v>1</v>
      </c>
    </row>
    <row r="728" spans="1:14" x14ac:dyDescent="0.45">
      <c r="A728" t="s">
        <v>2524</v>
      </c>
      <c r="B728" t="s">
        <v>2525</v>
      </c>
      <c r="C728" t="s">
        <v>2515</v>
      </c>
      <c r="D728" t="s">
        <v>2516</v>
      </c>
      <c r="E728" t="s">
        <v>296</v>
      </c>
      <c r="F728" t="s">
        <v>297</v>
      </c>
      <c r="G728" t="s">
        <v>750</v>
      </c>
      <c r="H728" t="s">
        <v>751</v>
      </c>
      <c r="I728" t="s">
        <v>199</v>
      </c>
      <c r="J728" t="s">
        <v>298</v>
      </c>
      <c r="M728">
        <v>1</v>
      </c>
      <c r="N728">
        <v>1</v>
      </c>
    </row>
    <row r="729" spans="1:14" x14ac:dyDescent="0.45">
      <c r="A729" t="s">
        <v>2526</v>
      </c>
      <c r="B729" t="s">
        <v>2527</v>
      </c>
      <c r="C729" t="s">
        <v>2515</v>
      </c>
      <c r="D729" t="s">
        <v>2516</v>
      </c>
      <c r="E729" t="s">
        <v>296</v>
      </c>
      <c r="F729" t="s">
        <v>297</v>
      </c>
      <c r="G729" t="s">
        <v>750</v>
      </c>
      <c r="H729" t="s">
        <v>751</v>
      </c>
      <c r="I729" t="s">
        <v>199</v>
      </c>
      <c r="J729" t="s">
        <v>298</v>
      </c>
      <c r="M729">
        <v>1</v>
      </c>
      <c r="N729">
        <v>1</v>
      </c>
    </row>
    <row r="730" spans="1:14" x14ac:dyDescent="0.45">
      <c r="A730" t="s">
        <v>902</v>
      </c>
      <c r="B730" t="s">
        <v>2528</v>
      </c>
      <c r="C730" t="s">
        <v>2515</v>
      </c>
      <c r="D730" t="s">
        <v>2516</v>
      </c>
      <c r="E730" t="s">
        <v>296</v>
      </c>
      <c r="F730" t="s">
        <v>297</v>
      </c>
      <c r="G730" t="s">
        <v>750</v>
      </c>
      <c r="H730" t="s">
        <v>751</v>
      </c>
      <c r="I730" t="s">
        <v>199</v>
      </c>
      <c r="J730" t="s">
        <v>298</v>
      </c>
      <c r="M730">
        <v>1</v>
      </c>
      <c r="N730">
        <v>1</v>
      </c>
    </row>
    <row r="731" spans="1:14" x14ac:dyDescent="0.45">
      <c r="A731" t="s">
        <v>2529</v>
      </c>
      <c r="B731" t="s">
        <v>2530</v>
      </c>
      <c r="C731" t="s">
        <v>2515</v>
      </c>
      <c r="D731" t="s">
        <v>2516</v>
      </c>
      <c r="E731" t="s">
        <v>296</v>
      </c>
      <c r="F731" t="s">
        <v>297</v>
      </c>
      <c r="G731" t="s">
        <v>750</v>
      </c>
      <c r="H731" t="s">
        <v>751</v>
      </c>
      <c r="I731" t="s">
        <v>199</v>
      </c>
      <c r="J731" t="s">
        <v>298</v>
      </c>
      <c r="M731">
        <v>1</v>
      </c>
      <c r="N731">
        <v>1</v>
      </c>
    </row>
    <row r="732" spans="1:14" x14ac:dyDescent="0.45">
      <c r="A732" t="s">
        <v>805</v>
      </c>
      <c r="B732" t="s">
        <v>2531</v>
      </c>
      <c r="C732" t="s">
        <v>2515</v>
      </c>
      <c r="D732" t="s">
        <v>2516</v>
      </c>
      <c r="E732" t="s">
        <v>296</v>
      </c>
      <c r="F732" t="s">
        <v>297</v>
      </c>
      <c r="G732" t="s">
        <v>750</v>
      </c>
      <c r="H732" t="s">
        <v>751</v>
      </c>
      <c r="I732" t="s">
        <v>199</v>
      </c>
      <c r="J732" t="s">
        <v>298</v>
      </c>
      <c r="M732">
        <v>1</v>
      </c>
      <c r="N732">
        <v>1</v>
      </c>
    </row>
    <row r="733" spans="1:14" x14ac:dyDescent="0.45">
      <c r="A733" t="s">
        <v>2532</v>
      </c>
      <c r="B733" t="s">
        <v>2533</v>
      </c>
      <c r="C733" t="s">
        <v>2534</v>
      </c>
      <c r="D733" t="s">
        <v>2535</v>
      </c>
      <c r="E733" t="s">
        <v>296</v>
      </c>
      <c r="F733" t="s">
        <v>297</v>
      </c>
      <c r="G733" t="s">
        <v>750</v>
      </c>
      <c r="H733" t="s">
        <v>751</v>
      </c>
      <c r="I733" t="s">
        <v>199</v>
      </c>
      <c r="J733" t="s">
        <v>298</v>
      </c>
      <c r="M733">
        <v>1</v>
      </c>
      <c r="N733">
        <v>1</v>
      </c>
    </row>
    <row r="734" spans="1:14" x14ac:dyDescent="0.45">
      <c r="A734" t="s">
        <v>2536</v>
      </c>
      <c r="B734" t="s">
        <v>2537</v>
      </c>
      <c r="C734" t="s">
        <v>2534</v>
      </c>
      <c r="D734" t="s">
        <v>2535</v>
      </c>
      <c r="E734" t="s">
        <v>296</v>
      </c>
      <c r="F734" t="s">
        <v>297</v>
      </c>
      <c r="G734" t="s">
        <v>750</v>
      </c>
      <c r="H734" t="s">
        <v>751</v>
      </c>
      <c r="I734" t="s">
        <v>199</v>
      </c>
      <c r="J734" t="s">
        <v>298</v>
      </c>
      <c r="M734">
        <v>1</v>
      </c>
      <c r="N734">
        <v>1</v>
      </c>
    </row>
    <row r="735" spans="1:14" x14ac:dyDescent="0.45">
      <c r="A735" t="s">
        <v>2538</v>
      </c>
      <c r="B735" t="s">
        <v>2539</v>
      </c>
      <c r="C735" t="s">
        <v>2534</v>
      </c>
      <c r="D735" t="s">
        <v>2535</v>
      </c>
      <c r="E735" t="s">
        <v>296</v>
      </c>
      <c r="F735" t="s">
        <v>297</v>
      </c>
      <c r="G735" t="s">
        <v>750</v>
      </c>
      <c r="H735" t="s">
        <v>751</v>
      </c>
      <c r="I735" t="s">
        <v>199</v>
      </c>
      <c r="J735" t="s">
        <v>298</v>
      </c>
      <c r="M735">
        <v>1</v>
      </c>
      <c r="N735">
        <v>1</v>
      </c>
    </row>
    <row r="736" spans="1:14" x14ac:dyDescent="0.45">
      <c r="A736" t="s">
        <v>2540</v>
      </c>
      <c r="B736" t="s">
        <v>2541</v>
      </c>
      <c r="C736" t="s">
        <v>2534</v>
      </c>
      <c r="D736" t="s">
        <v>2535</v>
      </c>
      <c r="E736" t="s">
        <v>296</v>
      </c>
      <c r="F736" t="s">
        <v>297</v>
      </c>
      <c r="G736" t="s">
        <v>750</v>
      </c>
      <c r="H736" t="s">
        <v>751</v>
      </c>
      <c r="I736" t="s">
        <v>199</v>
      </c>
      <c r="J736" t="s">
        <v>298</v>
      </c>
      <c r="M736">
        <v>1</v>
      </c>
      <c r="N736">
        <v>1</v>
      </c>
    </row>
    <row r="737" spans="1:14" x14ac:dyDescent="0.45">
      <c r="A737" t="s">
        <v>2542</v>
      </c>
      <c r="B737" t="s">
        <v>2543</v>
      </c>
      <c r="C737" t="s">
        <v>2534</v>
      </c>
      <c r="D737" t="s">
        <v>2535</v>
      </c>
      <c r="E737" t="s">
        <v>296</v>
      </c>
      <c r="F737" t="s">
        <v>297</v>
      </c>
      <c r="G737" t="s">
        <v>750</v>
      </c>
      <c r="H737" t="s">
        <v>751</v>
      </c>
      <c r="I737" t="s">
        <v>199</v>
      </c>
      <c r="J737" t="s">
        <v>298</v>
      </c>
      <c r="M737">
        <v>1</v>
      </c>
      <c r="N737">
        <v>1</v>
      </c>
    </row>
    <row r="738" spans="1:14" x14ac:dyDescent="0.45">
      <c r="A738" t="s">
        <v>2544</v>
      </c>
      <c r="B738" t="s">
        <v>2545</v>
      </c>
      <c r="C738" t="s">
        <v>2534</v>
      </c>
      <c r="D738" t="s">
        <v>2535</v>
      </c>
      <c r="E738" t="s">
        <v>296</v>
      </c>
      <c r="F738" t="s">
        <v>297</v>
      </c>
      <c r="G738" t="s">
        <v>750</v>
      </c>
      <c r="H738" t="s">
        <v>751</v>
      </c>
      <c r="I738" t="s">
        <v>199</v>
      </c>
      <c r="J738" t="s">
        <v>298</v>
      </c>
      <c r="M738">
        <v>1</v>
      </c>
      <c r="N738">
        <v>1</v>
      </c>
    </row>
    <row r="739" spans="1:14" x14ac:dyDescent="0.45">
      <c r="A739" t="s">
        <v>2546</v>
      </c>
      <c r="B739" t="s">
        <v>2547</v>
      </c>
      <c r="C739" t="s">
        <v>2548</v>
      </c>
      <c r="D739" t="s">
        <v>2549</v>
      </c>
      <c r="E739" t="s">
        <v>296</v>
      </c>
      <c r="F739" t="s">
        <v>297</v>
      </c>
      <c r="G739" t="s">
        <v>750</v>
      </c>
      <c r="H739" t="s">
        <v>751</v>
      </c>
      <c r="I739" t="s">
        <v>199</v>
      </c>
      <c r="J739" t="s">
        <v>298</v>
      </c>
      <c r="M739">
        <v>1</v>
      </c>
      <c r="N739">
        <v>1</v>
      </c>
    </row>
    <row r="740" spans="1:14" x14ac:dyDescent="0.45">
      <c r="A740" t="s">
        <v>2550</v>
      </c>
      <c r="B740" t="s">
        <v>2551</v>
      </c>
      <c r="C740" t="s">
        <v>2548</v>
      </c>
      <c r="D740" t="s">
        <v>2549</v>
      </c>
      <c r="E740" t="s">
        <v>296</v>
      </c>
      <c r="F740" t="s">
        <v>297</v>
      </c>
      <c r="G740" t="s">
        <v>750</v>
      </c>
      <c r="H740" t="s">
        <v>751</v>
      </c>
      <c r="I740" t="s">
        <v>199</v>
      </c>
      <c r="J740" t="s">
        <v>298</v>
      </c>
      <c r="M740">
        <v>1</v>
      </c>
      <c r="N740">
        <v>1</v>
      </c>
    </row>
    <row r="741" spans="1:14" x14ac:dyDescent="0.45">
      <c r="A741" t="s">
        <v>2552</v>
      </c>
      <c r="B741" t="s">
        <v>2553</v>
      </c>
      <c r="C741" t="s">
        <v>2548</v>
      </c>
      <c r="D741" t="s">
        <v>2549</v>
      </c>
      <c r="E741" t="s">
        <v>296</v>
      </c>
      <c r="F741" t="s">
        <v>297</v>
      </c>
      <c r="G741" t="s">
        <v>750</v>
      </c>
      <c r="H741" t="s">
        <v>751</v>
      </c>
      <c r="I741" t="s">
        <v>199</v>
      </c>
      <c r="J741" t="s">
        <v>298</v>
      </c>
      <c r="M741">
        <v>1</v>
      </c>
      <c r="N741">
        <v>1</v>
      </c>
    </row>
    <row r="742" spans="1:14" x14ac:dyDescent="0.45">
      <c r="A742" t="s">
        <v>2554</v>
      </c>
      <c r="B742" t="s">
        <v>2555</v>
      </c>
      <c r="C742" t="s">
        <v>2548</v>
      </c>
      <c r="D742" t="s">
        <v>2549</v>
      </c>
      <c r="E742" t="s">
        <v>296</v>
      </c>
      <c r="F742" t="s">
        <v>297</v>
      </c>
      <c r="G742" t="s">
        <v>750</v>
      </c>
      <c r="H742" t="s">
        <v>751</v>
      </c>
      <c r="I742" t="s">
        <v>199</v>
      </c>
      <c r="J742" t="s">
        <v>298</v>
      </c>
      <c r="M742">
        <v>1</v>
      </c>
      <c r="N742">
        <v>1</v>
      </c>
    </row>
    <row r="743" spans="1:14" x14ac:dyDescent="0.45">
      <c r="A743" t="s">
        <v>2556</v>
      </c>
      <c r="B743" t="s">
        <v>2557</v>
      </c>
      <c r="C743" t="s">
        <v>2548</v>
      </c>
      <c r="D743" t="s">
        <v>2549</v>
      </c>
      <c r="E743" t="s">
        <v>296</v>
      </c>
      <c r="F743" t="s">
        <v>297</v>
      </c>
      <c r="G743" t="s">
        <v>750</v>
      </c>
      <c r="H743" t="s">
        <v>751</v>
      </c>
      <c r="I743" t="s">
        <v>199</v>
      </c>
      <c r="J743" t="s">
        <v>298</v>
      </c>
      <c r="M743">
        <v>1</v>
      </c>
      <c r="N743">
        <v>1</v>
      </c>
    </row>
    <row r="744" spans="1:14" x14ac:dyDescent="0.45">
      <c r="A744" t="s">
        <v>2558</v>
      </c>
      <c r="B744" t="s">
        <v>2559</v>
      </c>
      <c r="C744" t="s">
        <v>2548</v>
      </c>
      <c r="D744" t="s">
        <v>2549</v>
      </c>
      <c r="E744" t="s">
        <v>296</v>
      </c>
      <c r="F744" t="s">
        <v>297</v>
      </c>
      <c r="G744" t="s">
        <v>750</v>
      </c>
      <c r="H744" t="s">
        <v>751</v>
      </c>
      <c r="I744" t="s">
        <v>199</v>
      </c>
      <c r="J744" t="s">
        <v>298</v>
      </c>
      <c r="M744">
        <v>1</v>
      </c>
      <c r="N744">
        <v>1</v>
      </c>
    </row>
    <row r="745" spans="1:14" x14ac:dyDescent="0.45">
      <c r="A745" t="s">
        <v>2560</v>
      </c>
      <c r="B745" t="s">
        <v>2561</v>
      </c>
      <c r="C745" t="s">
        <v>2548</v>
      </c>
      <c r="D745" t="s">
        <v>2549</v>
      </c>
      <c r="E745" t="s">
        <v>296</v>
      </c>
      <c r="F745" t="s">
        <v>297</v>
      </c>
      <c r="G745" t="s">
        <v>750</v>
      </c>
      <c r="H745" t="s">
        <v>751</v>
      </c>
      <c r="I745" t="s">
        <v>199</v>
      </c>
      <c r="J745" t="s">
        <v>298</v>
      </c>
      <c r="M745">
        <v>1</v>
      </c>
      <c r="N745">
        <v>1</v>
      </c>
    </row>
    <row r="746" spans="1:14" x14ac:dyDescent="0.45">
      <c r="A746" t="s">
        <v>2562</v>
      </c>
      <c r="B746" t="s">
        <v>2563</v>
      </c>
      <c r="C746" t="s">
        <v>2548</v>
      </c>
      <c r="D746" t="s">
        <v>2549</v>
      </c>
      <c r="E746" t="s">
        <v>296</v>
      </c>
      <c r="F746" t="s">
        <v>297</v>
      </c>
      <c r="G746" t="s">
        <v>750</v>
      </c>
      <c r="H746" t="s">
        <v>751</v>
      </c>
      <c r="I746" t="s">
        <v>199</v>
      </c>
      <c r="J746" t="s">
        <v>298</v>
      </c>
      <c r="M746">
        <v>1</v>
      </c>
      <c r="N746">
        <v>1</v>
      </c>
    </row>
    <row r="747" spans="1:14" x14ac:dyDescent="0.45">
      <c r="A747" t="s">
        <v>2564</v>
      </c>
      <c r="B747" t="s">
        <v>2565</v>
      </c>
      <c r="C747" t="s">
        <v>2548</v>
      </c>
      <c r="D747" t="s">
        <v>2549</v>
      </c>
      <c r="E747" t="s">
        <v>296</v>
      </c>
      <c r="F747" t="s">
        <v>297</v>
      </c>
      <c r="G747" t="s">
        <v>750</v>
      </c>
      <c r="H747" t="s">
        <v>751</v>
      </c>
      <c r="I747" t="s">
        <v>199</v>
      </c>
      <c r="J747" t="s">
        <v>298</v>
      </c>
      <c r="M747">
        <v>1</v>
      </c>
      <c r="N747">
        <v>1</v>
      </c>
    </row>
    <row r="748" spans="1:14" x14ac:dyDescent="0.45">
      <c r="A748" t="s">
        <v>2566</v>
      </c>
      <c r="B748" t="s">
        <v>2567</v>
      </c>
      <c r="C748" t="s">
        <v>2548</v>
      </c>
      <c r="D748" t="s">
        <v>2549</v>
      </c>
      <c r="E748" t="s">
        <v>296</v>
      </c>
      <c r="F748" t="s">
        <v>297</v>
      </c>
      <c r="G748" t="s">
        <v>750</v>
      </c>
      <c r="H748" t="s">
        <v>751</v>
      </c>
      <c r="I748" t="s">
        <v>199</v>
      </c>
      <c r="J748" t="s">
        <v>298</v>
      </c>
      <c r="M748">
        <v>1</v>
      </c>
      <c r="N748">
        <v>1</v>
      </c>
    </row>
    <row r="749" spans="1:14" x14ac:dyDescent="0.45">
      <c r="A749" t="s">
        <v>2568</v>
      </c>
      <c r="B749" t="s">
        <v>2569</v>
      </c>
      <c r="C749" t="s">
        <v>2548</v>
      </c>
      <c r="D749" t="s">
        <v>2549</v>
      </c>
      <c r="E749" t="s">
        <v>296</v>
      </c>
      <c r="F749" t="s">
        <v>297</v>
      </c>
      <c r="G749" t="s">
        <v>750</v>
      </c>
      <c r="H749" t="s">
        <v>751</v>
      </c>
      <c r="I749" t="s">
        <v>199</v>
      </c>
      <c r="J749" t="s">
        <v>298</v>
      </c>
      <c r="M749">
        <v>1</v>
      </c>
      <c r="N749">
        <v>1</v>
      </c>
    </row>
    <row r="750" spans="1:14" x14ac:dyDescent="0.45">
      <c r="A750" t="s">
        <v>2570</v>
      </c>
      <c r="B750" t="s">
        <v>2571</v>
      </c>
      <c r="C750" t="s">
        <v>2548</v>
      </c>
      <c r="D750" t="s">
        <v>2549</v>
      </c>
      <c r="E750" t="s">
        <v>296</v>
      </c>
      <c r="F750" t="s">
        <v>297</v>
      </c>
      <c r="G750" t="s">
        <v>750</v>
      </c>
      <c r="H750" t="s">
        <v>751</v>
      </c>
      <c r="I750" t="s">
        <v>199</v>
      </c>
      <c r="J750" t="s">
        <v>298</v>
      </c>
      <c r="M750">
        <v>1</v>
      </c>
      <c r="N750">
        <v>1</v>
      </c>
    </row>
    <row r="751" spans="1:14" x14ac:dyDescent="0.45">
      <c r="A751" t="s">
        <v>2572</v>
      </c>
      <c r="B751" t="s">
        <v>2573</v>
      </c>
      <c r="C751" t="s">
        <v>2548</v>
      </c>
      <c r="D751" t="s">
        <v>2549</v>
      </c>
      <c r="E751" t="s">
        <v>296</v>
      </c>
      <c r="F751" t="s">
        <v>297</v>
      </c>
      <c r="G751" t="s">
        <v>750</v>
      </c>
      <c r="H751" t="s">
        <v>751</v>
      </c>
      <c r="I751" t="s">
        <v>199</v>
      </c>
      <c r="J751" t="s">
        <v>298</v>
      </c>
      <c r="M751">
        <v>1</v>
      </c>
      <c r="N751">
        <v>1</v>
      </c>
    </row>
    <row r="752" spans="1:14" x14ac:dyDescent="0.45">
      <c r="A752" t="s">
        <v>296</v>
      </c>
      <c r="B752" t="s">
        <v>2574</v>
      </c>
      <c r="C752" t="s">
        <v>2548</v>
      </c>
      <c r="D752" t="s">
        <v>2549</v>
      </c>
      <c r="E752" t="s">
        <v>296</v>
      </c>
      <c r="F752" t="s">
        <v>297</v>
      </c>
      <c r="G752" t="s">
        <v>750</v>
      </c>
      <c r="H752" t="s">
        <v>751</v>
      </c>
      <c r="I752" t="s">
        <v>199</v>
      </c>
      <c r="J752" t="s">
        <v>298</v>
      </c>
      <c r="M752">
        <v>1</v>
      </c>
      <c r="N752">
        <v>1</v>
      </c>
    </row>
    <row r="753" spans="1:14" x14ac:dyDescent="0.45">
      <c r="A753" t="s">
        <v>2575</v>
      </c>
      <c r="B753" t="s">
        <v>2576</v>
      </c>
      <c r="C753" t="s">
        <v>2548</v>
      </c>
      <c r="D753" t="s">
        <v>2549</v>
      </c>
      <c r="E753" t="s">
        <v>296</v>
      </c>
      <c r="F753" t="s">
        <v>297</v>
      </c>
      <c r="G753" t="s">
        <v>750</v>
      </c>
      <c r="H753" t="s">
        <v>751</v>
      </c>
      <c r="I753" t="s">
        <v>199</v>
      </c>
      <c r="J753" t="s">
        <v>298</v>
      </c>
      <c r="M753">
        <v>1</v>
      </c>
      <c r="N753">
        <v>1</v>
      </c>
    </row>
    <row r="754" spans="1:14" x14ac:dyDescent="0.45">
      <c r="A754" t="s">
        <v>2577</v>
      </c>
      <c r="B754" t="s">
        <v>2578</v>
      </c>
      <c r="C754" t="s">
        <v>2548</v>
      </c>
      <c r="D754" t="s">
        <v>2549</v>
      </c>
      <c r="E754" t="s">
        <v>296</v>
      </c>
      <c r="F754" t="s">
        <v>297</v>
      </c>
      <c r="G754" t="s">
        <v>750</v>
      </c>
      <c r="H754" t="s">
        <v>751</v>
      </c>
      <c r="I754" t="s">
        <v>199</v>
      </c>
      <c r="J754" t="s">
        <v>298</v>
      </c>
      <c r="M754">
        <v>1</v>
      </c>
      <c r="N754">
        <v>1</v>
      </c>
    </row>
    <row r="755" spans="1:14" x14ac:dyDescent="0.45">
      <c r="A755" t="s">
        <v>2579</v>
      </c>
      <c r="B755" t="s">
        <v>2580</v>
      </c>
      <c r="C755" t="s">
        <v>2548</v>
      </c>
      <c r="D755" t="s">
        <v>2549</v>
      </c>
      <c r="E755" t="s">
        <v>296</v>
      </c>
      <c r="F755" t="s">
        <v>297</v>
      </c>
      <c r="G755" t="s">
        <v>750</v>
      </c>
      <c r="H755" t="s">
        <v>751</v>
      </c>
      <c r="I755" t="s">
        <v>199</v>
      </c>
      <c r="J755" t="s">
        <v>298</v>
      </c>
      <c r="M755">
        <v>1</v>
      </c>
      <c r="N755">
        <v>1</v>
      </c>
    </row>
    <row r="756" spans="1:14" x14ac:dyDescent="0.45">
      <c r="A756" t="s">
        <v>2581</v>
      </c>
      <c r="B756" t="s">
        <v>2582</v>
      </c>
      <c r="C756" t="s">
        <v>2548</v>
      </c>
      <c r="D756" t="s">
        <v>2549</v>
      </c>
      <c r="E756" t="s">
        <v>296</v>
      </c>
      <c r="F756" t="s">
        <v>297</v>
      </c>
      <c r="G756" t="s">
        <v>750</v>
      </c>
      <c r="H756" t="s">
        <v>751</v>
      </c>
      <c r="I756" t="s">
        <v>199</v>
      </c>
      <c r="J756" t="s">
        <v>298</v>
      </c>
      <c r="M756">
        <v>1</v>
      </c>
      <c r="N756">
        <v>1</v>
      </c>
    </row>
    <row r="757" spans="1:14" x14ac:dyDescent="0.45">
      <c r="A757" t="s">
        <v>2430</v>
      </c>
      <c r="B757" t="s">
        <v>2583</v>
      </c>
      <c r="C757" t="s">
        <v>2548</v>
      </c>
      <c r="D757" t="s">
        <v>2549</v>
      </c>
      <c r="E757" t="s">
        <v>296</v>
      </c>
      <c r="F757" t="s">
        <v>297</v>
      </c>
      <c r="G757" t="s">
        <v>750</v>
      </c>
      <c r="H757" t="s">
        <v>751</v>
      </c>
      <c r="I757" t="s">
        <v>199</v>
      </c>
      <c r="J757" t="s">
        <v>298</v>
      </c>
      <c r="M757">
        <v>1</v>
      </c>
      <c r="N757">
        <v>1</v>
      </c>
    </row>
    <row r="758" spans="1:14" x14ac:dyDescent="0.45">
      <c r="A758" t="s">
        <v>2430</v>
      </c>
      <c r="B758" t="s">
        <v>2584</v>
      </c>
      <c r="C758" t="s">
        <v>2548</v>
      </c>
      <c r="D758" t="s">
        <v>2549</v>
      </c>
      <c r="E758" t="s">
        <v>296</v>
      </c>
      <c r="F758" t="s">
        <v>297</v>
      </c>
      <c r="G758" t="s">
        <v>750</v>
      </c>
      <c r="H758" t="s">
        <v>751</v>
      </c>
      <c r="I758" t="s">
        <v>199</v>
      </c>
      <c r="J758" t="s">
        <v>298</v>
      </c>
      <c r="M758">
        <v>1</v>
      </c>
      <c r="N758">
        <v>1</v>
      </c>
    </row>
    <row r="759" spans="1:14" x14ac:dyDescent="0.45">
      <c r="A759" t="s">
        <v>2585</v>
      </c>
      <c r="B759" t="s">
        <v>2586</v>
      </c>
      <c r="C759" t="s">
        <v>2548</v>
      </c>
      <c r="D759" t="s">
        <v>2549</v>
      </c>
      <c r="E759" t="s">
        <v>296</v>
      </c>
      <c r="F759" t="s">
        <v>297</v>
      </c>
      <c r="G759" t="s">
        <v>750</v>
      </c>
      <c r="H759" t="s">
        <v>751</v>
      </c>
      <c r="I759" t="s">
        <v>199</v>
      </c>
      <c r="J759" t="s">
        <v>298</v>
      </c>
      <c r="M759">
        <v>1</v>
      </c>
      <c r="N759">
        <v>1</v>
      </c>
    </row>
    <row r="760" spans="1:14" x14ac:dyDescent="0.45">
      <c r="A760" t="s">
        <v>2587</v>
      </c>
      <c r="B760" t="s">
        <v>2588</v>
      </c>
      <c r="C760" t="s">
        <v>2548</v>
      </c>
      <c r="D760" t="s">
        <v>2549</v>
      </c>
      <c r="E760" t="s">
        <v>296</v>
      </c>
      <c r="F760" t="s">
        <v>297</v>
      </c>
      <c r="G760" t="s">
        <v>750</v>
      </c>
      <c r="H760" t="s">
        <v>751</v>
      </c>
      <c r="I760" t="s">
        <v>199</v>
      </c>
      <c r="J760" t="s">
        <v>298</v>
      </c>
      <c r="M760">
        <v>1</v>
      </c>
      <c r="N760">
        <v>1</v>
      </c>
    </row>
    <row r="761" spans="1:14" x14ac:dyDescent="0.45">
      <c r="A761" t="s">
        <v>2589</v>
      </c>
      <c r="B761" t="s">
        <v>2590</v>
      </c>
      <c r="C761" t="s">
        <v>2591</v>
      </c>
      <c r="D761" t="s">
        <v>2592</v>
      </c>
      <c r="E761" t="s">
        <v>296</v>
      </c>
      <c r="F761" t="s">
        <v>297</v>
      </c>
      <c r="G761" t="s">
        <v>750</v>
      </c>
      <c r="H761" t="s">
        <v>751</v>
      </c>
      <c r="I761" t="s">
        <v>199</v>
      </c>
      <c r="J761" t="s">
        <v>298</v>
      </c>
      <c r="M761">
        <v>1</v>
      </c>
      <c r="N761">
        <v>1</v>
      </c>
    </row>
    <row r="762" spans="1:14" x14ac:dyDescent="0.45">
      <c r="A762" t="s">
        <v>2593</v>
      </c>
      <c r="B762" t="s">
        <v>2594</v>
      </c>
      <c r="C762" t="s">
        <v>2591</v>
      </c>
      <c r="D762" t="s">
        <v>2592</v>
      </c>
      <c r="E762" t="s">
        <v>296</v>
      </c>
      <c r="F762" t="s">
        <v>297</v>
      </c>
      <c r="G762" t="s">
        <v>750</v>
      </c>
      <c r="H762" t="s">
        <v>751</v>
      </c>
      <c r="I762" t="s">
        <v>199</v>
      </c>
      <c r="J762" t="s">
        <v>298</v>
      </c>
      <c r="M762">
        <v>1</v>
      </c>
      <c r="N762">
        <v>1</v>
      </c>
    </row>
    <row r="763" spans="1:14" x14ac:dyDescent="0.45">
      <c r="A763" t="s">
        <v>1641</v>
      </c>
      <c r="B763" t="s">
        <v>2595</v>
      </c>
      <c r="C763" t="s">
        <v>2591</v>
      </c>
      <c r="D763" t="s">
        <v>2592</v>
      </c>
      <c r="E763" t="s">
        <v>296</v>
      </c>
      <c r="F763" t="s">
        <v>297</v>
      </c>
      <c r="G763" t="s">
        <v>750</v>
      </c>
      <c r="H763" t="s">
        <v>751</v>
      </c>
      <c r="I763" t="s">
        <v>199</v>
      </c>
      <c r="J763" t="s">
        <v>298</v>
      </c>
      <c r="M763">
        <v>1</v>
      </c>
      <c r="N763">
        <v>1</v>
      </c>
    </row>
    <row r="764" spans="1:14" x14ac:dyDescent="0.45">
      <c r="A764" t="s">
        <v>2596</v>
      </c>
      <c r="B764" t="s">
        <v>2597</v>
      </c>
      <c r="C764" t="s">
        <v>2591</v>
      </c>
      <c r="D764" t="s">
        <v>2592</v>
      </c>
      <c r="E764" t="s">
        <v>296</v>
      </c>
      <c r="F764" t="s">
        <v>297</v>
      </c>
      <c r="G764" t="s">
        <v>750</v>
      </c>
      <c r="H764" t="s">
        <v>751</v>
      </c>
      <c r="I764" t="s">
        <v>199</v>
      </c>
      <c r="J764" t="s">
        <v>298</v>
      </c>
      <c r="M764">
        <v>1</v>
      </c>
      <c r="N764">
        <v>1</v>
      </c>
    </row>
    <row r="765" spans="1:14" x14ac:dyDescent="0.45">
      <c r="A765" t="s">
        <v>2598</v>
      </c>
      <c r="B765" t="s">
        <v>2599</v>
      </c>
      <c r="C765" t="s">
        <v>2591</v>
      </c>
      <c r="D765" t="s">
        <v>2592</v>
      </c>
      <c r="E765" t="s">
        <v>296</v>
      </c>
      <c r="F765" t="s">
        <v>297</v>
      </c>
      <c r="G765" t="s">
        <v>750</v>
      </c>
      <c r="H765" t="s">
        <v>751</v>
      </c>
      <c r="I765" t="s">
        <v>199</v>
      </c>
      <c r="J765" t="s">
        <v>298</v>
      </c>
      <c r="M765">
        <v>1</v>
      </c>
      <c r="N765">
        <v>1</v>
      </c>
    </row>
    <row r="766" spans="1:14" x14ac:dyDescent="0.45">
      <c r="A766" t="s">
        <v>2600</v>
      </c>
      <c r="B766" t="s">
        <v>2601</v>
      </c>
      <c r="C766" t="s">
        <v>2591</v>
      </c>
      <c r="D766" t="s">
        <v>2592</v>
      </c>
      <c r="E766" t="s">
        <v>296</v>
      </c>
      <c r="F766" t="s">
        <v>297</v>
      </c>
      <c r="G766" t="s">
        <v>750</v>
      </c>
      <c r="H766" t="s">
        <v>751</v>
      </c>
      <c r="I766" t="s">
        <v>199</v>
      </c>
      <c r="J766" t="s">
        <v>298</v>
      </c>
      <c r="M766">
        <v>1</v>
      </c>
      <c r="N766">
        <v>1</v>
      </c>
    </row>
    <row r="767" spans="1:14" x14ac:dyDescent="0.45">
      <c r="A767" t="s">
        <v>2602</v>
      </c>
      <c r="B767" t="s">
        <v>2603</v>
      </c>
      <c r="C767" t="s">
        <v>2591</v>
      </c>
      <c r="D767" t="s">
        <v>2592</v>
      </c>
      <c r="E767" t="s">
        <v>296</v>
      </c>
      <c r="F767" t="s">
        <v>297</v>
      </c>
      <c r="G767" t="s">
        <v>750</v>
      </c>
      <c r="H767" t="s">
        <v>751</v>
      </c>
      <c r="I767" t="s">
        <v>199</v>
      </c>
      <c r="J767" t="s">
        <v>298</v>
      </c>
      <c r="M767">
        <v>1</v>
      </c>
      <c r="N767">
        <v>1</v>
      </c>
    </row>
    <row r="768" spans="1:14" x14ac:dyDescent="0.45">
      <c r="A768" t="s">
        <v>2604</v>
      </c>
      <c r="B768" t="s">
        <v>2605</v>
      </c>
      <c r="C768" t="s">
        <v>2591</v>
      </c>
      <c r="D768" t="s">
        <v>2592</v>
      </c>
      <c r="E768" t="s">
        <v>296</v>
      </c>
      <c r="F768" t="s">
        <v>297</v>
      </c>
      <c r="G768" t="s">
        <v>750</v>
      </c>
      <c r="H768" t="s">
        <v>751</v>
      </c>
      <c r="I768" t="s">
        <v>199</v>
      </c>
      <c r="J768" t="s">
        <v>298</v>
      </c>
      <c r="M768">
        <v>1</v>
      </c>
      <c r="N768">
        <v>1</v>
      </c>
    </row>
    <row r="769" spans="1:14" x14ac:dyDescent="0.45">
      <c r="A769" t="s">
        <v>854</v>
      </c>
      <c r="B769" t="s">
        <v>2606</v>
      </c>
      <c r="C769" t="s">
        <v>2591</v>
      </c>
      <c r="D769" t="s">
        <v>2592</v>
      </c>
      <c r="E769" t="s">
        <v>296</v>
      </c>
      <c r="F769" t="s">
        <v>297</v>
      </c>
      <c r="G769" t="s">
        <v>750</v>
      </c>
      <c r="H769" t="s">
        <v>751</v>
      </c>
      <c r="I769" t="s">
        <v>199</v>
      </c>
      <c r="J769" t="s">
        <v>298</v>
      </c>
      <c r="M769">
        <v>1</v>
      </c>
      <c r="N769">
        <v>1</v>
      </c>
    </row>
    <row r="770" spans="1:14" x14ac:dyDescent="0.45">
      <c r="A770" t="s">
        <v>2607</v>
      </c>
      <c r="B770" t="s">
        <v>2608</v>
      </c>
      <c r="C770" t="s">
        <v>2591</v>
      </c>
      <c r="D770" t="s">
        <v>2592</v>
      </c>
      <c r="E770" t="s">
        <v>296</v>
      </c>
      <c r="F770" t="s">
        <v>297</v>
      </c>
      <c r="G770" t="s">
        <v>750</v>
      </c>
      <c r="H770" t="s">
        <v>751</v>
      </c>
      <c r="I770" t="s">
        <v>199</v>
      </c>
      <c r="J770" t="s">
        <v>298</v>
      </c>
      <c r="M770">
        <v>1</v>
      </c>
      <c r="N770">
        <v>1</v>
      </c>
    </row>
    <row r="771" spans="1:14" x14ac:dyDescent="0.45">
      <c r="A771" t="s">
        <v>2609</v>
      </c>
      <c r="B771" t="s">
        <v>2610</v>
      </c>
      <c r="C771" t="s">
        <v>2591</v>
      </c>
      <c r="D771" t="s">
        <v>2592</v>
      </c>
      <c r="E771" t="s">
        <v>296</v>
      </c>
      <c r="F771" t="s">
        <v>297</v>
      </c>
      <c r="G771" t="s">
        <v>750</v>
      </c>
      <c r="H771" t="s">
        <v>751</v>
      </c>
      <c r="I771" t="s">
        <v>199</v>
      </c>
      <c r="J771" t="s">
        <v>298</v>
      </c>
      <c r="M771">
        <v>1</v>
      </c>
      <c r="N771">
        <v>1</v>
      </c>
    </row>
    <row r="772" spans="1:14" x14ac:dyDescent="0.45">
      <c r="A772" t="s">
        <v>2611</v>
      </c>
      <c r="B772" t="s">
        <v>2612</v>
      </c>
      <c r="C772" t="s">
        <v>2591</v>
      </c>
      <c r="D772" t="s">
        <v>2592</v>
      </c>
      <c r="E772" t="s">
        <v>296</v>
      </c>
      <c r="F772" t="s">
        <v>297</v>
      </c>
      <c r="G772" t="s">
        <v>750</v>
      </c>
      <c r="H772" t="s">
        <v>751</v>
      </c>
      <c r="I772" t="s">
        <v>199</v>
      </c>
      <c r="J772" t="s">
        <v>298</v>
      </c>
      <c r="M772">
        <v>1</v>
      </c>
      <c r="N772">
        <v>1</v>
      </c>
    </row>
    <row r="773" spans="1:14" x14ac:dyDescent="0.45">
      <c r="A773" t="s">
        <v>1146</v>
      </c>
      <c r="B773" t="s">
        <v>2613</v>
      </c>
      <c r="C773" t="s">
        <v>2614</v>
      </c>
      <c r="D773" t="s">
        <v>2615</v>
      </c>
      <c r="E773" t="s">
        <v>296</v>
      </c>
      <c r="F773" t="s">
        <v>297</v>
      </c>
      <c r="G773" t="s">
        <v>750</v>
      </c>
      <c r="H773" t="s">
        <v>751</v>
      </c>
      <c r="I773" t="s">
        <v>199</v>
      </c>
      <c r="J773" t="s">
        <v>298</v>
      </c>
      <c r="M773">
        <v>1</v>
      </c>
      <c r="N773">
        <v>1</v>
      </c>
    </row>
    <row r="774" spans="1:14" x14ac:dyDescent="0.45">
      <c r="A774" t="s">
        <v>2616</v>
      </c>
      <c r="B774" t="s">
        <v>2617</v>
      </c>
      <c r="C774" t="s">
        <v>2614</v>
      </c>
      <c r="D774" t="s">
        <v>2615</v>
      </c>
      <c r="E774" t="s">
        <v>296</v>
      </c>
      <c r="F774" t="s">
        <v>297</v>
      </c>
      <c r="G774" t="s">
        <v>750</v>
      </c>
      <c r="H774" t="s">
        <v>751</v>
      </c>
      <c r="I774" t="s">
        <v>199</v>
      </c>
      <c r="J774" t="s">
        <v>298</v>
      </c>
      <c r="M774">
        <v>1</v>
      </c>
      <c r="N774">
        <v>1</v>
      </c>
    </row>
    <row r="775" spans="1:14" x14ac:dyDescent="0.45">
      <c r="A775" t="s">
        <v>2618</v>
      </c>
      <c r="B775" t="s">
        <v>2619</v>
      </c>
      <c r="C775" t="s">
        <v>2614</v>
      </c>
      <c r="D775" t="s">
        <v>2615</v>
      </c>
      <c r="E775" t="s">
        <v>296</v>
      </c>
      <c r="F775" t="s">
        <v>297</v>
      </c>
      <c r="G775" t="s">
        <v>750</v>
      </c>
      <c r="H775" t="s">
        <v>751</v>
      </c>
      <c r="I775" t="s">
        <v>199</v>
      </c>
      <c r="J775" t="s">
        <v>298</v>
      </c>
      <c r="M775">
        <v>1</v>
      </c>
      <c r="N775">
        <v>1</v>
      </c>
    </row>
    <row r="776" spans="1:14" x14ac:dyDescent="0.45">
      <c r="A776" t="s">
        <v>2620</v>
      </c>
      <c r="B776" t="s">
        <v>2621</v>
      </c>
      <c r="C776" t="s">
        <v>2614</v>
      </c>
      <c r="D776" t="s">
        <v>2615</v>
      </c>
      <c r="E776" t="s">
        <v>296</v>
      </c>
      <c r="F776" t="s">
        <v>297</v>
      </c>
      <c r="G776" t="s">
        <v>750</v>
      </c>
      <c r="H776" t="s">
        <v>751</v>
      </c>
      <c r="I776" t="s">
        <v>199</v>
      </c>
      <c r="J776" t="s">
        <v>298</v>
      </c>
      <c r="M776">
        <v>1</v>
      </c>
      <c r="N776">
        <v>1</v>
      </c>
    </row>
    <row r="777" spans="1:14" x14ac:dyDescent="0.45">
      <c r="A777" t="s">
        <v>1267</v>
      </c>
      <c r="B777" t="s">
        <v>2622</v>
      </c>
      <c r="C777" t="s">
        <v>2614</v>
      </c>
      <c r="D777" t="s">
        <v>2615</v>
      </c>
      <c r="E777" t="s">
        <v>296</v>
      </c>
      <c r="F777" t="s">
        <v>297</v>
      </c>
      <c r="G777" t="s">
        <v>750</v>
      </c>
      <c r="H777" t="s">
        <v>751</v>
      </c>
      <c r="I777" t="s">
        <v>199</v>
      </c>
      <c r="J777" t="s">
        <v>298</v>
      </c>
      <c r="M777">
        <v>1</v>
      </c>
      <c r="N777">
        <v>1</v>
      </c>
    </row>
    <row r="778" spans="1:14" x14ac:dyDescent="0.45">
      <c r="A778" t="s">
        <v>2623</v>
      </c>
      <c r="B778" t="s">
        <v>2624</v>
      </c>
      <c r="C778" t="s">
        <v>2614</v>
      </c>
      <c r="D778" t="s">
        <v>2615</v>
      </c>
      <c r="E778" t="s">
        <v>296</v>
      </c>
      <c r="F778" t="s">
        <v>297</v>
      </c>
      <c r="G778" t="s">
        <v>750</v>
      </c>
      <c r="H778" t="s">
        <v>751</v>
      </c>
      <c r="I778" t="s">
        <v>199</v>
      </c>
      <c r="J778" t="s">
        <v>298</v>
      </c>
      <c r="M778">
        <v>1</v>
      </c>
      <c r="N778">
        <v>1</v>
      </c>
    </row>
    <row r="779" spans="1:14" x14ac:dyDescent="0.45">
      <c r="A779" t="s">
        <v>2625</v>
      </c>
      <c r="B779" t="s">
        <v>2626</v>
      </c>
      <c r="C779" t="s">
        <v>2614</v>
      </c>
      <c r="D779" t="s">
        <v>2615</v>
      </c>
      <c r="E779" t="s">
        <v>296</v>
      </c>
      <c r="F779" t="s">
        <v>297</v>
      </c>
      <c r="G779" t="s">
        <v>750</v>
      </c>
      <c r="H779" t="s">
        <v>751</v>
      </c>
      <c r="I779" t="s">
        <v>199</v>
      </c>
      <c r="J779" t="s">
        <v>298</v>
      </c>
      <c r="M779">
        <v>1</v>
      </c>
      <c r="N779">
        <v>1</v>
      </c>
    </row>
    <row r="780" spans="1:14" x14ac:dyDescent="0.45">
      <c r="A780" t="s">
        <v>2627</v>
      </c>
      <c r="B780" t="s">
        <v>2628</v>
      </c>
      <c r="C780" t="s">
        <v>2614</v>
      </c>
      <c r="D780" t="s">
        <v>2615</v>
      </c>
      <c r="E780" t="s">
        <v>296</v>
      </c>
      <c r="F780" t="s">
        <v>297</v>
      </c>
      <c r="G780" t="s">
        <v>750</v>
      </c>
      <c r="H780" t="s">
        <v>751</v>
      </c>
      <c r="I780" t="s">
        <v>199</v>
      </c>
      <c r="J780" t="s">
        <v>298</v>
      </c>
      <c r="M780">
        <v>1</v>
      </c>
      <c r="N780">
        <v>1</v>
      </c>
    </row>
    <row r="781" spans="1:14" x14ac:dyDescent="0.45">
      <c r="A781" t="s">
        <v>2629</v>
      </c>
      <c r="B781" t="s">
        <v>2630</v>
      </c>
      <c r="C781" t="s">
        <v>2614</v>
      </c>
      <c r="D781" t="s">
        <v>2615</v>
      </c>
      <c r="E781" t="s">
        <v>296</v>
      </c>
      <c r="F781" t="s">
        <v>297</v>
      </c>
      <c r="G781" t="s">
        <v>750</v>
      </c>
      <c r="H781" t="s">
        <v>751</v>
      </c>
      <c r="I781" t="s">
        <v>199</v>
      </c>
      <c r="J781" t="s">
        <v>298</v>
      </c>
      <c r="M781">
        <v>1</v>
      </c>
      <c r="N781">
        <v>1</v>
      </c>
    </row>
    <row r="782" spans="1:14" x14ac:dyDescent="0.45">
      <c r="A782" t="s">
        <v>2631</v>
      </c>
      <c r="B782" t="s">
        <v>2632</v>
      </c>
      <c r="C782" t="s">
        <v>2633</v>
      </c>
      <c r="D782" t="s">
        <v>2634</v>
      </c>
      <c r="E782" t="s">
        <v>299</v>
      </c>
      <c r="F782" t="s">
        <v>300</v>
      </c>
      <c r="G782" t="s">
        <v>750</v>
      </c>
      <c r="H782" t="s">
        <v>751</v>
      </c>
      <c r="I782" t="s">
        <v>199</v>
      </c>
      <c r="J782" t="s">
        <v>301</v>
      </c>
      <c r="M782">
        <v>1</v>
      </c>
      <c r="N782">
        <v>1</v>
      </c>
    </row>
    <row r="783" spans="1:14" x14ac:dyDescent="0.45">
      <c r="A783" t="s">
        <v>2635</v>
      </c>
      <c r="B783" t="s">
        <v>2636</v>
      </c>
      <c r="C783" t="s">
        <v>2633</v>
      </c>
      <c r="D783" t="s">
        <v>2634</v>
      </c>
      <c r="E783" t="s">
        <v>299</v>
      </c>
      <c r="F783" t="s">
        <v>300</v>
      </c>
      <c r="G783" t="s">
        <v>750</v>
      </c>
      <c r="H783" t="s">
        <v>751</v>
      </c>
      <c r="I783" t="s">
        <v>199</v>
      </c>
      <c r="J783" t="s">
        <v>301</v>
      </c>
      <c r="M783">
        <v>1</v>
      </c>
      <c r="N783">
        <v>1</v>
      </c>
    </row>
    <row r="784" spans="1:14" x14ac:dyDescent="0.45">
      <c r="A784" t="s">
        <v>2637</v>
      </c>
      <c r="B784" t="s">
        <v>2638</v>
      </c>
      <c r="C784" t="s">
        <v>2633</v>
      </c>
      <c r="D784" t="s">
        <v>2634</v>
      </c>
      <c r="E784" t="s">
        <v>299</v>
      </c>
      <c r="F784" t="s">
        <v>300</v>
      </c>
      <c r="G784" t="s">
        <v>750</v>
      </c>
      <c r="H784" t="s">
        <v>751</v>
      </c>
      <c r="I784" t="s">
        <v>199</v>
      </c>
      <c r="J784" t="s">
        <v>301</v>
      </c>
      <c r="M784">
        <v>1</v>
      </c>
      <c r="N784">
        <v>1</v>
      </c>
    </row>
    <row r="785" spans="1:14" x14ac:dyDescent="0.45">
      <c r="A785" t="s">
        <v>2639</v>
      </c>
      <c r="B785" t="s">
        <v>2640</v>
      </c>
      <c r="C785" t="s">
        <v>2633</v>
      </c>
      <c r="D785" t="s">
        <v>2634</v>
      </c>
      <c r="E785" t="s">
        <v>299</v>
      </c>
      <c r="F785" t="s">
        <v>300</v>
      </c>
      <c r="G785" t="s">
        <v>750</v>
      </c>
      <c r="H785" t="s">
        <v>751</v>
      </c>
      <c r="I785" t="s">
        <v>199</v>
      </c>
      <c r="J785" t="s">
        <v>301</v>
      </c>
      <c r="M785">
        <v>1</v>
      </c>
      <c r="N785">
        <v>1</v>
      </c>
    </row>
    <row r="786" spans="1:14" x14ac:dyDescent="0.45">
      <c r="A786" t="s">
        <v>2641</v>
      </c>
      <c r="B786" t="s">
        <v>2642</v>
      </c>
      <c r="C786" t="s">
        <v>2633</v>
      </c>
      <c r="D786" t="s">
        <v>2634</v>
      </c>
      <c r="E786" t="s">
        <v>299</v>
      </c>
      <c r="F786" t="s">
        <v>300</v>
      </c>
      <c r="G786" t="s">
        <v>750</v>
      </c>
      <c r="H786" t="s">
        <v>751</v>
      </c>
      <c r="I786" t="s">
        <v>199</v>
      </c>
      <c r="J786" t="s">
        <v>301</v>
      </c>
      <c r="M786">
        <v>1</v>
      </c>
      <c r="N786">
        <v>1</v>
      </c>
    </row>
    <row r="787" spans="1:14" x14ac:dyDescent="0.45">
      <c r="A787" t="s">
        <v>2643</v>
      </c>
      <c r="B787" t="s">
        <v>2644</v>
      </c>
      <c r="C787" t="s">
        <v>2633</v>
      </c>
      <c r="D787" t="s">
        <v>2634</v>
      </c>
      <c r="E787" t="s">
        <v>299</v>
      </c>
      <c r="F787" t="s">
        <v>300</v>
      </c>
      <c r="G787" t="s">
        <v>750</v>
      </c>
      <c r="H787" t="s">
        <v>751</v>
      </c>
      <c r="I787" t="s">
        <v>199</v>
      </c>
      <c r="J787" t="s">
        <v>301</v>
      </c>
      <c r="M787">
        <v>1</v>
      </c>
      <c r="N787">
        <v>1</v>
      </c>
    </row>
    <row r="788" spans="1:14" x14ac:dyDescent="0.45">
      <c r="A788" t="s">
        <v>2645</v>
      </c>
      <c r="B788" t="s">
        <v>2646</v>
      </c>
      <c r="C788" t="s">
        <v>2633</v>
      </c>
      <c r="D788" t="s">
        <v>2634</v>
      </c>
      <c r="E788" t="s">
        <v>299</v>
      </c>
      <c r="F788" t="s">
        <v>300</v>
      </c>
      <c r="G788" t="s">
        <v>750</v>
      </c>
      <c r="H788" t="s">
        <v>751</v>
      </c>
      <c r="I788" t="s">
        <v>199</v>
      </c>
      <c r="J788" t="s">
        <v>301</v>
      </c>
      <c r="M788">
        <v>1</v>
      </c>
      <c r="N788">
        <v>1</v>
      </c>
    </row>
    <row r="789" spans="1:14" x14ac:dyDescent="0.45">
      <c r="A789" t="s">
        <v>2647</v>
      </c>
      <c r="B789" t="s">
        <v>2648</v>
      </c>
      <c r="C789" t="s">
        <v>2633</v>
      </c>
      <c r="D789" t="s">
        <v>2634</v>
      </c>
      <c r="E789" t="s">
        <v>299</v>
      </c>
      <c r="F789" t="s">
        <v>300</v>
      </c>
      <c r="G789" t="s">
        <v>750</v>
      </c>
      <c r="H789" t="s">
        <v>751</v>
      </c>
      <c r="I789" t="s">
        <v>199</v>
      </c>
      <c r="J789" t="s">
        <v>301</v>
      </c>
      <c r="M789">
        <v>1</v>
      </c>
      <c r="N789">
        <v>1</v>
      </c>
    </row>
    <row r="790" spans="1:14" x14ac:dyDescent="0.45">
      <c r="A790" t="s">
        <v>2649</v>
      </c>
      <c r="B790" t="s">
        <v>2650</v>
      </c>
      <c r="C790" t="s">
        <v>2633</v>
      </c>
      <c r="D790" t="s">
        <v>2634</v>
      </c>
      <c r="E790" t="s">
        <v>299</v>
      </c>
      <c r="F790" t="s">
        <v>300</v>
      </c>
      <c r="G790" t="s">
        <v>750</v>
      </c>
      <c r="H790" t="s">
        <v>751</v>
      </c>
      <c r="I790" t="s">
        <v>199</v>
      </c>
      <c r="J790" t="s">
        <v>301</v>
      </c>
      <c r="M790">
        <v>1</v>
      </c>
      <c r="N790">
        <v>1</v>
      </c>
    </row>
    <row r="791" spans="1:14" x14ac:dyDescent="0.45">
      <c r="A791" t="s">
        <v>854</v>
      </c>
      <c r="B791" t="s">
        <v>2651</v>
      </c>
      <c r="C791" t="s">
        <v>2633</v>
      </c>
      <c r="D791" t="s">
        <v>2634</v>
      </c>
      <c r="E791" t="s">
        <v>299</v>
      </c>
      <c r="F791" t="s">
        <v>300</v>
      </c>
      <c r="G791" t="s">
        <v>750</v>
      </c>
      <c r="H791" t="s">
        <v>751</v>
      </c>
      <c r="I791" t="s">
        <v>199</v>
      </c>
      <c r="J791" t="s">
        <v>301</v>
      </c>
      <c r="M791">
        <v>1</v>
      </c>
      <c r="N791">
        <v>1</v>
      </c>
    </row>
    <row r="792" spans="1:14" x14ac:dyDescent="0.45">
      <c r="A792" t="s">
        <v>2652</v>
      </c>
      <c r="B792" t="s">
        <v>2653</v>
      </c>
      <c r="C792" t="s">
        <v>2633</v>
      </c>
      <c r="D792" t="s">
        <v>2634</v>
      </c>
      <c r="E792" t="s">
        <v>299</v>
      </c>
      <c r="F792" t="s">
        <v>300</v>
      </c>
      <c r="G792" t="s">
        <v>750</v>
      </c>
      <c r="H792" t="s">
        <v>751</v>
      </c>
      <c r="I792" t="s">
        <v>199</v>
      </c>
      <c r="J792" t="s">
        <v>301</v>
      </c>
      <c r="M792">
        <v>1</v>
      </c>
      <c r="N792">
        <v>1</v>
      </c>
    </row>
    <row r="793" spans="1:14" x14ac:dyDescent="0.45">
      <c r="A793" t="s">
        <v>1333</v>
      </c>
      <c r="B793" t="s">
        <v>2654</v>
      </c>
      <c r="C793" t="s">
        <v>2633</v>
      </c>
      <c r="D793" t="s">
        <v>2634</v>
      </c>
      <c r="E793" t="s">
        <v>299</v>
      </c>
      <c r="F793" t="s">
        <v>300</v>
      </c>
      <c r="G793" t="s">
        <v>750</v>
      </c>
      <c r="H793" t="s">
        <v>751</v>
      </c>
      <c r="I793" t="s">
        <v>199</v>
      </c>
      <c r="J793" t="s">
        <v>301</v>
      </c>
      <c r="M793">
        <v>1</v>
      </c>
      <c r="N793">
        <v>1</v>
      </c>
    </row>
    <row r="794" spans="1:14" x14ac:dyDescent="0.45">
      <c r="A794" t="s">
        <v>1867</v>
      </c>
      <c r="B794" t="s">
        <v>2655</v>
      </c>
      <c r="C794" t="s">
        <v>2656</v>
      </c>
      <c r="D794" t="s">
        <v>2657</v>
      </c>
      <c r="E794" t="s">
        <v>299</v>
      </c>
      <c r="F794" t="s">
        <v>300</v>
      </c>
      <c r="G794" t="s">
        <v>750</v>
      </c>
      <c r="H794" t="s">
        <v>751</v>
      </c>
      <c r="I794" t="s">
        <v>199</v>
      </c>
      <c r="J794" t="s">
        <v>301</v>
      </c>
      <c r="M794">
        <v>1</v>
      </c>
      <c r="N794">
        <v>1</v>
      </c>
    </row>
    <row r="795" spans="1:14" x14ac:dyDescent="0.45">
      <c r="A795" t="s">
        <v>2658</v>
      </c>
      <c r="B795" t="s">
        <v>2659</v>
      </c>
      <c r="C795" t="s">
        <v>2656</v>
      </c>
      <c r="D795" t="s">
        <v>2657</v>
      </c>
      <c r="E795" t="s">
        <v>299</v>
      </c>
      <c r="F795" t="s">
        <v>300</v>
      </c>
      <c r="G795" t="s">
        <v>750</v>
      </c>
      <c r="H795" t="s">
        <v>751</v>
      </c>
      <c r="I795" t="s">
        <v>199</v>
      </c>
      <c r="J795" t="s">
        <v>301</v>
      </c>
      <c r="M795">
        <v>1</v>
      </c>
      <c r="N795">
        <v>1</v>
      </c>
    </row>
    <row r="796" spans="1:14" x14ac:dyDescent="0.45">
      <c r="A796" t="s">
        <v>2660</v>
      </c>
      <c r="B796" t="s">
        <v>2661</v>
      </c>
      <c r="C796" t="s">
        <v>2656</v>
      </c>
      <c r="D796" t="s">
        <v>2657</v>
      </c>
      <c r="E796" t="s">
        <v>299</v>
      </c>
      <c r="F796" t="s">
        <v>300</v>
      </c>
      <c r="G796" t="s">
        <v>750</v>
      </c>
      <c r="H796" t="s">
        <v>751</v>
      </c>
      <c r="I796" t="s">
        <v>199</v>
      </c>
      <c r="J796" t="s">
        <v>301</v>
      </c>
      <c r="M796">
        <v>1</v>
      </c>
      <c r="N796">
        <v>1</v>
      </c>
    </row>
    <row r="797" spans="1:14" x14ac:dyDescent="0.45">
      <c r="A797" t="s">
        <v>2662</v>
      </c>
      <c r="B797" t="s">
        <v>2663</v>
      </c>
      <c r="C797" t="s">
        <v>2656</v>
      </c>
      <c r="D797" t="s">
        <v>2657</v>
      </c>
      <c r="E797" t="s">
        <v>299</v>
      </c>
      <c r="F797" t="s">
        <v>300</v>
      </c>
      <c r="G797" t="s">
        <v>750</v>
      </c>
      <c r="H797" t="s">
        <v>751</v>
      </c>
      <c r="I797" t="s">
        <v>199</v>
      </c>
      <c r="J797" t="s">
        <v>301</v>
      </c>
      <c r="M797">
        <v>1</v>
      </c>
      <c r="N797">
        <v>1</v>
      </c>
    </row>
    <row r="798" spans="1:14" x14ac:dyDescent="0.45">
      <c r="A798" t="s">
        <v>2664</v>
      </c>
      <c r="B798" t="s">
        <v>2665</v>
      </c>
      <c r="C798" t="s">
        <v>2656</v>
      </c>
      <c r="D798" t="s">
        <v>2657</v>
      </c>
      <c r="E798" t="s">
        <v>299</v>
      </c>
      <c r="F798" t="s">
        <v>300</v>
      </c>
      <c r="G798" t="s">
        <v>750</v>
      </c>
      <c r="H798" t="s">
        <v>751</v>
      </c>
      <c r="I798" t="s">
        <v>199</v>
      </c>
      <c r="J798" t="s">
        <v>301</v>
      </c>
      <c r="M798">
        <v>1</v>
      </c>
      <c r="N798">
        <v>1</v>
      </c>
    </row>
    <row r="799" spans="1:14" x14ac:dyDescent="0.45">
      <c r="A799" t="s">
        <v>2666</v>
      </c>
      <c r="B799" t="s">
        <v>2667</v>
      </c>
      <c r="C799" t="s">
        <v>2656</v>
      </c>
      <c r="D799" t="s">
        <v>2657</v>
      </c>
      <c r="E799" t="s">
        <v>299</v>
      </c>
      <c r="F799" t="s">
        <v>300</v>
      </c>
      <c r="G799" t="s">
        <v>750</v>
      </c>
      <c r="H799" t="s">
        <v>751</v>
      </c>
      <c r="I799" t="s">
        <v>199</v>
      </c>
      <c r="J799" t="s">
        <v>301</v>
      </c>
      <c r="M799">
        <v>1</v>
      </c>
      <c r="N799">
        <v>1</v>
      </c>
    </row>
    <row r="800" spans="1:14" x14ac:dyDescent="0.45">
      <c r="A800" t="s">
        <v>2668</v>
      </c>
      <c r="B800" t="s">
        <v>2669</v>
      </c>
      <c r="C800" t="s">
        <v>2656</v>
      </c>
      <c r="D800" t="s">
        <v>2657</v>
      </c>
      <c r="E800" t="s">
        <v>299</v>
      </c>
      <c r="F800" t="s">
        <v>300</v>
      </c>
      <c r="G800" t="s">
        <v>750</v>
      </c>
      <c r="H800" t="s">
        <v>751</v>
      </c>
      <c r="I800" t="s">
        <v>199</v>
      </c>
      <c r="J800" t="s">
        <v>301</v>
      </c>
      <c r="M800">
        <v>1</v>
      </c>
      <c r="N800">
        <v>1</v>
      </c>
    </row>
    <row r="801" spans="1:14" x14ac:dyDescent="0.45">
      <c r="A801" t="s">
        <v>1861</v>
      </c>
      <c r="B801" t="s">
        <v>2670</v>
      </c>
      <c r="C801" t="s">
        <v>2671</v>
      </c>
      <c r="D801" t="s">
        <v>2672</v>
      </c>
      <c r="E801" t="s">
        <v>299</v>
      </c>
      <c r="F801" t="s">
        <v>300</v>
      </c>
      <c r="G801" t="s">
        <v>750</v>
      </c>
      <c r="H801" t="s">
        <v>751</v>
      </c>
      <c r="I801" t="s">
        <v>199</v>
      </c>
      <c r="J801" t="s">
        <v>301</v>
      </c>
      <c r="M801">
        <v>1</v>
      </c>
      <c r="N801">
        <v>1</v>
      </c>
    </row>
    <row r="802" spans="1:14" x14ac:dyDescent="0.45">
      <c r="A802" t="s">
        <v>2673</v>
      </c>
      <c r="B802" t="s">
        <v>2674</v>
      </c>
      <c r="C802" t="s">
        <v>2671</v>
      </c>
      <c r="D802" t="s">
        <v>2672</v>
      </c>
      <c r="E802" t="s">
        <v>299</v>
      </c>
      <c r="F802" t="s">
        <v>300</v>
      </c>
      <c r="G802" t="s">
        <v>750</v>
      </c>
      <c r="H802" t="s">
        <v>751</v>
      </c>
      <c r="I802" t="s">
        <v>199</v>
      </c>
      <c r="J802" t="s">
        <v>301</v>
      </c>
      <c r="M802">
        <v>1</v>
      </c>
      <c r="N802">
        <v>1</v>
      </c>
    </row>
    <row r="803" spans="1:14" x14ac:dyDescent="0.45">
      <c r="A803" t="s">
        <v>2675</v>
      </c>
      <c r="B803" t="s">
        <v>2676</v>
      </c>
      <c r="C803" t="s">
        <v>2671</v>
      </c>
      <c r="D803" t="s">
        <v>2672</v>
      </c>
      <c r="E803" t="s">
        <v>299</v>
      </c>
      <c r="F803" t="s">
        <v>300</v>
      </c>
      <c r="G803" t="s">
        <v>750</v>
      </c>
      <c r="H803" t="s">
        <v>751</v>
      </c>
      <c r="I803" t="s">
        <v>199</v>
      </c>
      <c r="J803" t="s">
        <v>301</v>
      </c>
      <c r="M803">
        <v>1</v>
      </c>
      <c r="N803">
        <v>1</v>
      </c>
    </row>
    <row r="804" spans="1:14" x14ac:dyDescent="0.45">
      <c r="A804" t="s">
        <v>2677</v>
      </c>
      <c r="B804" t="s">
        <v>2678</v>
      </c>
      <c r="C804" t="s">
        <v>2671</v>
      </c>
      <c r="D804" t="s">
        <v>2672</v>
      </c>
      <c r="E804" t="s">
        <v>299</v>
      </c>
      <c r="F804" t="s">
        <v>300</v>
      </c>
      <c r="G804" t="s">
        <v>750</v>
      </c>
      <c r="H804" t="s">
        <v>751</v>
      </c>
      <c r="I804" t="s">
        <v>199</v>
      </c>
      <c r="J804" t="s">
        <v>301</v>
      </c>
      <c r="M804">
        <v>1</v>
      </c>
      <c r="N804">
        <v>1</v>
      </c>
    </row>
    <row r="805" spans="1:14" x14ac:dyDescent="0.45">
      <c r="A805" t="s">
        <v>2679</v>
      </c>
      <c r="B805" t="s">
        <v>2680</v>
      </c>
      <c r="C805" t="s">
        <v>2671</v>
      </c>
      <c r="D805" t="s">
        <v>2672</v>
      </c>
      <c r="E805" t="s">
        <v>299</v>
      </c>
      <c r="F805" t="s">
        <v>300</v>
      </c>
      <c r="G805" t="s">
        <v>750</v>
      </c>
      <c r="H805" t="s">
        <v>751</v>
      </c>
      <c r="I805" t="s">
        <v>199</v>
      </c>
      <c r="J805" t="s">
        <v>301</v>
      </c>
      <c r="M805">
        <v>1</v>
      </c>
      <c r="N805">
        <v>1</v>
      </c>
    </row>
    <row r="806" spans="1:14" x14ac:dyDescent="0.45">
      <c r="A806" t="s">
        <v>2681</v>
      </c>
      <c r="B806" t="s">
        <v>2682</v>
      </c>
      <c r="C806" t="s">
        <v>2671</v>
      </c>
      <c r="D806" t="s">
        <v>2672</v>
      </c>
      <c r="E806" t="s">
        <v>299</v>
      </c>
      <c r="F806" t="s">
        <v>300</v>
      </c>
      <c r="G806" t="s">
        <v>750</v>
      </c>
      <c r="H806" t="s">
        <v>751</v>
      </c>
      <c r="I806" t="s">
        <v>199</v>
      </c>
      <c r="J806" t="s">
        <v>301</v>
      </c>
      <c r="M806">
        <v>1</v>
      </c>
      <c r="N806">
        <v>1</v>
      </c>
    </row>
    <row r="807" spans="1:14" x14ac:dyDescent="0.45">
      <c r="A807" t="s">
        <v>2683</v>
      </c>
      <c r="B807" t="s">
        <v>2684</v>
      </c>
      <c r="C807" t="s">
        <v>2671</v>
      </c>
      <c r="D807" t="s">
        <v>2672</v>
      </c>
      <c r="E807" t="s">
        <v>299</v>
      </c>
      <c r="F807" t="s">
        <v>300</v>
      </c>
      <c r="G807" t="s">
        <v>750</v>
      </c>
      <c r="H807" t="s">
        <v>751</v>
      </c>
      <c r="I807" t="s">
        <v>199</v>
      </c>
      <c r="J807" t="s">
        <v>301</v>
      </c>
      <c r="M807">
        <v>1</v>
      </c>
      <c r="N807">
        <v>1</v>
      </c>
    </row>
    <row r="808" spans="1:14" x14ac:dyDescent="0.45">
      <c r="A808" t="s">
        <v>2685</v>
      </c>
      <c r="B808" t="s">
        <v>2686</v>
      </c>
      <c r="C808" t="s">
        <v>2671</v>
      </c>
      <c r="D808" t="s">
        <v>2672</v>
      </c>
      <c r="E808" t="s">
        <v>299</v>
      </c>
      <c r="F808" t="s">
        <v>300</v>
      </c>
      <c r="G808" t="s">
        <v>750</v>
      </c>
      <c r="H808" t="s">
        <v>751</v>
      </c>
      <c r="I808" t="s">
        <v>199</v>
      </c>
      <c r="J808" t="s">
        <v>301</v>
      </c>
      <c r="M808">
        <v>1</v>
      </c>
      <c r="N808">
        <v>1</v>
      </c>
    </row>
    <row r="809" spans="1:14" x14ac:dyDescent="0.45">
      <c r="A809" t="s">
        <v>2687</v>
      </c>
      <c r="B809" t="s">
        <v>2688</v>
      </c>
      <c r="C809" t="s">
        <v>2671</v>
      </c>
      <c r="D809" t="s">
        <v>2672</v>
      </c>
      <c r="E809" t="s">
        <v>299</v>
      </c>
      <c r="F809" t="s">
        <v>300</v>
      </c>
      <c r="G809" t="s">
        <v>750</v>
      </c>
      <c r="H809" t="s">
        <v>751</v>
      </c>
      <c r="I809" t="s">
        <v>199</v>
      </c>
      <c r="J809" t="s">
        <v>301</v>
      </c>
      <c r="M809">
        <v>1</v>
      </c>
      <c r="N809">
        <v>1</v>
      </c>
    </row>
    <row r="810" spans="1:14" x14ac:dyDescent="0.45">
      <c r="A810" t="s">
        <v>2689</v>
      </c>
      <c r="B810" t="s">
        <v>2690</v>
      </c>
      <c r="C810" t="s">
        <v>2671</v>
      </c>
      <c r="D810" t="s">
        <v>2672</v>
      </c>
      <c r="E810" t="s">
        <v>299</v>
      </c>
      <c r="F810" t="s">
        <v>300</v>
      </c>
      <c r="G810" t="s">
        <v>750</v>
      </c>
      <c r="H810" t="s">
        <v>751</v>
      </c>
      <c r="I810" t="s">
        <v>199</v>
      </c>
      <c r="J810" t="s">
        <v>301</v>
      </c>
      <c r="M810">
        <v>1</v>
      </c>
      <c r="N810">
        <v>1</v>
      </c>
    </row>
    <row r="811" spans="1:14" x14ac:dyDescent="0.45">
      <c r="A811" t="s">
        <v>2691</v>
      </c>
      <c r="B811" t="s">
        <v>2692</v>
      </c>
      <c r="C811" t="s">
        <v>2671</v>
      </c>
      <c r="D811" t="s">
        <v>2672</v>
      </c>
      <c r="E811" t="s">
        <v>299</v>
      </c>
      <c r="F811" t="s">
        <v>300</v>
      </c>
      <c r="G811" t="s">
        <v>750</v>
      </c>
      <c r="H811" t="s">
        <v>751</v>
      </c>
      <c r="I811" t="s">
        <v>199</v>
      </c>
      <c r="J811" t="s">
        <v>301</v>
      </c>
      <c r="M811">
        <v>1</v>
      </c>
      <c r="N811">
        <v>1</v>
      </c>
    </row>
    <row r="812" spans="1:14" x14ac:dyDescent="0.45">
      <c r="A812" t="s">
        <v>2693</v>
      </c>
      <c r="B812" t="s">
        <v>2694</v>
      </c>
      <c r="C812" t="s">
        <v>2671</v>
      </c>
      <c r="D812" t="s">
        <v>2672</v>
      </c>
      <c r="E812" t="s">
        <v>299</v>
      </c>
      <c r="F812" t="s">
        <v>300</v>
      </c>
      <c r="G812" t="s">
        <v>750</v>
      </c>
      <c r="H812" t="s">
        <v>751</v>
      </c>
      <c r="I812" t="s">
        <v>199</v>
      </c>
      <c r="J812" t="s">
        <v>301</v>
      </c>
      <c r="M812">
        <v>1</v>
      </c>
      <c r="N812">
        <v>1</v>
      </c>
    </row>
    <row r="813" spans="1:14" x14ac:dyDescent="0.45">
      <c r="A813" t="s">
        <v>2695</v>
      </c>
      <c r="B813" t="s">
        <v>2696</v>
      </c>
      <c r="C813" t="s">
        <v>2671</v>
      </c>
      <c r="D813" t="s">
        <v>2672</v>
      </c>
      <c r="E813" t="s">
        <v>299</v>
      </c>
      <c r="F813" t="s">
        <v>300</v>
      </c>
      <c r="G813" t="s">
        <v>750</v>
      </c>
      <c r="H813" t="s">
        <v>751</v>
      </c>
      <c r="I813" t="s">
        <v>199</v>
      </c>
      <c r="J813" t="s">
        <v>301</v>
      </c>
      <c r="M813">
        <v>1</v>
      </c>
      <c r="N813">
        <v>1</v>
      </c>
    </row>
    <row r="814" spans="1:14" x14ac:dyDescent="0.45">
      <c r="A814" t="s">
        <v>2697</v>
      </c>
      <c r="B814" t="s">
        <v>2698</v>
      </c>
      <c r="C814" t="s">
        <v>2671</v>
      </c>
      <c r="D814" t="s">
        <v>2672</v>
      </c>
      <c r="E814" t="s">
        <v>299</v>
      </c>
      <c r="F814" t="s">
        <v>300</v>
      </c>
      <c r="G814" t="s">
        <v>750</v>
      </c>
      <c r="H814" t="s">
        <v>751</v>
      </c>
      <c r="I814" t="s">
        <v>199</v>
      </c>
      <c r="J814" t="s">
        <v>301</v>
      </c>
      <c r="M814">
        <v>1</v>
      </c>
      <c r="N814">
        <v>1</v>
      </c>
    </row>
    <row r="815" spans="1:14" x14ac:dyDescent="0.45">
      <c r="A815" t="s">
        <v>2699</v>
      </c>
      <c r="B815" t="s">
        <v>2700</v>
      </c>
      <c r="C815" t="s">
        <v>2671</v>
      </c>
      <c r="D815" t="s">
        <v>2672</v>
      </c>
      <c r="E815" t="s">
        <v>299</v>
      </c>
      <c r="F815" t="s">
        <v>300</v>
      </c>
      <c r="G815" t="s">
        <v>750</v>
      </c>
      <c r="H815" t="s">
        <v>751</v>
      </c>
      <c r="I815" t="s">
        <v>199</v>
      </c>
      <c r="J815" t="s">
        <v>301</v>
      </c>
      <c r="M815">
        <v>1</v>
      </c>
      <c r="N815">
        <v>1</v>
      </c>
    </row>
    <row r="816" spans="1:14" x14ac:dyDescent="0.45">
      <c r="A816" t="s">
        <v>2501</v>
      </c>
      <c r="B816" t="s">
        <v>2701</v>
      </c>
      <c r="C816" t="s">
        <v>2671</v>
      </c>
      <c r="D816" t="s">
        <v>2672</v>
      </c>
      <c r="E816" t="s">
        <v>299</v>
      </c>
      <c r="F816" t="s">
        <v>300</v>
      </c>
      <c r="G816" t="s">
        <v>750</v>
      </c>
      <c r="H816" t="s">
        <v>751</v>
      </c>
      <c r="I816" t="s">
        <v>199</v>
      </c>
      <c r="J816" t="s">
        <v>301</v>
      </c>
      <c r="M816">
        <v>1</v>
      </c>
      <c r="N816">
        <v>1</v>
      </c>
    </row>
    <row r="817" spans="1:14" x14ac:dyDescent="0.45">
      <c r="A817" t="s">
        <v>2702</v>
      </c>
      <c r="B817" t="s">
        <v>2703</v>
      </c>
      <c r="C817" t="s">
        <v>2671</v>
      </c>
      <c r="D817" t="s">
        <v>2672</v>
      </c>
      <c r="E817" t="s">
        <v>299</v>
      </c>
      <c r="F817" t="s">
        <v>300</v>
      </c>
      <c r="G817" t="s">
        <v>750</v>
      </c>
      <c r="H817" t="s">
        <v>751</v>
      </c>
      <c r="I817" t="s">
        <v>199</v>
      </c>
      <c r="J817" t="s">
        <v>301</v>
      </c>
      <c r="M817">
        <v>1</v>
      </c>
      <c r="N817">
        <v>1</v>
      </c>
    </row>
    <row r="818" spans="1:14" x14ac:dyDescent="0.45">
      <c r="A818" t="s">
        <v>2704</v>
      </c>
      <c r="B818" t="s">
        <v>2705</v>
      </c>
      <c r="C818" t="s">
        <v>2706</v>
      </c>
      <c r="D818" t="s">
        <v>2707</v>
      </c>
      <c r="E818" t="s">
        <v>299</v>
      </c>
      <c r="F818" t="s">
        <v>300</v>
      </c>
      <c r="G818" t="s">
        <v>750</v>
      </c>
      <c r="H818" t="s">
        <v>751</v>
      </c>
      <c r="I818" t="s">
        <v>199</v>
      </c>
      <c r="J818" t="s">
        <v>301</v>
      </c>
      <c r="M818">
        <v>1</v>
      </c>
      <c r="N818">
        <v>1</v>
      </c>
    </row>
    <row r="819" spans="1:14" x14ac:dyDescent="0.45">
      <c r="A819" t="s">
        <v>2708</v>
      </c>
      <c r="B819" t="s">
        <v>2709</v>
      </c>
      <c r="C819" t="s">
        <v>2706</v>
      </c>
      <c r="D819" t="s">
        <v>2707</v>
      </c>
      <c r="E819" t="s">
        <v>299</v>
      </c>
      <c r="F819" t="s">
        <v>300</v>
      </c>
      <c r="G819" t="s">
        <v>750</v>
      </c>
      <c r="H819" t="s">
        <v>751</v>
      </c>
      <c r="I819" t="s">
        <v>199</v>
      </c>
      <c r="J819" t="s">
        <v>301</v>
      </c>
      <c r="M819">
        <v>1</v>
      </c>
      <c r="N819">
        <v>1</v>
      </c>
    </row>
    <row r="820" spans="1:14" x14ac:dyDescent="0.45">
      <c r="A820" t="s">
        <v>2710</v>
      </c>
      <c r="B820" t="s">
        <v>2711</v>
      </c>
      <c r="C820" t="s">
        <v>2706</v>
      </c>
      <c r="D820" t="s">
        <v>2707</v>
      </c>
      <c r="E820" t="s">
        <v>299</v>
      </c>
      <c r="F820" t="s">
        <v>300</v>
      </c>
      <c r="G820" t="s">
        <v>750</v>
      </c>
      <c r="H820" t="s">
        <v>751</v>
      </c>
      <c r="I820" t="s">
        <v>199</v>
      </c>
      <c r="J820" t="s">
        <v>301</v>
      </c>
      <c r="M820">
        <v>1</v>
      </c>
      <c r="N820">
        <v>1</v>
      </c>
    </row>
    <row r="821" spans="1:14" x14ac:dyDescent="0.45">
      <c r="A821" t="s">
        <v>2712</v>
      </c>
      <c r="B821" t="s">
        <v>2713</v>
      </c>
      <c r="C821" t="s">
        <v>2706</v>
      </c>
      <c r="D821" t="s">
        <v>2707</v>
      </c>
      <c r="E821" t="s">
        <v>299</v>
      </c>
      <c r="F821" t="s">
        <v>300</v>
      </c>
      <c r="G821" t="s">
        <v>750</v>
      </c>
      <c r="H821" t="s">
        <v>751</v>
      </c>
      <c r="I821" t="s">
        <v>199</v>
      </c>
      <c r="J821" t="s">
        <v>301</v>
      </c>
      <c r="M821">
        <v>1</v>
      </c>
      <c r="N821">
        <v>1</v>
      </c>
    </row>
    <row r="822" spans="1:14" x14ac:dyDescent="0.45">
      <c r="A822" t="s">
        <v>2714</v>
      </c>
      <c r="B822" t="s">
        <v>2715</v>
      </c>
      <c r="C822" t="s">
        <v>2706</v>
      </c>
      <c r="D822" t="s">
        <v>2707</v>
      </c>
      <c r="E822" t="s">
        <v>299</v>
      </c>
      <c r="F822" t="s">
        <v>300</v>
      </c>
      <c r="G822" t="s">
        <v>750</v>
      </c>
      <c r="H822" t="s">
        <v>751</v>
      </c>
      <c r="I822" t="s">
        <v>199</v>
      </c>
      <c r="J822" t="s">
        <v>301</v>
      </c>
      <c r="M822">
        <v>1</v>
      </c>
      <c r="N822">
        <v>1</v>
      </c>
    </row>
    <row r="823" spans="1:14" x14ac:dyDescent="0.45">
      <c r="A823" t="s">
        <v>2716</v>
      </c>
      <c r="B823" t="s">
        <v>2717</v>
      </c>
      <c r="C823" t="s">
        <v>2706</v>
      </c>
      <c r="D823" t="s">
        <v>2707</v>
      </c>
      <c r="E823" t="s">
        <v>299</v>
      </c>
      <c r="F823" t="s">
        <v>300</v>
      </c>
      <c r="G823" t="s">
        <v>750</v>
      </c>
      <c r="H823" t="s">
        <v>751</v>
      </c>
      <c r="I823" t="s">
        <v>199</v>
      </c>
      <c r="J823" t="s">
        <v>301</v>
      </c>
      <c r="M823">
        <v>1</v>
      </c>
      <c r="N823">
        <v>1</v>
      </c>
    </row>
    <row r="824" spans="1:14" x14ac:dyDescent="0.45">
      <c r="A824" t="s">
        <v>2718</v>
      </c>
      <c r="B824" t="s">
        <v>2719</v>
      </c>
      <c r="C824" t="s">
        <v>2706</v>
      </c>
      <c r="D824" t="s">
        <v>2707</v>
      </c>
      <c r="E824" t="s">
        <v>299</v>
      </c>
      <c r="F824" t="s">
        <v>300</v>
      </c>
      <c r="G824" t="s">
        <v>750</v>
      </c>
      <c r="H824" t="s">
        <v>751</v>
      </c>
      <c r="I824" t="s">
        <v>199</v>
      </c>
      <c r="J824" t="s">
        <v>301</v>
      </c>
      <c r="M824">
        <v>1</v>
      </c>
      <c r="N824">
        <v>1</v>
      </c>
    </row>
    <row r="825" spans="1:14" x14ac:dyDescent="0.45">
      <c r="A825" t="s">
        <v>2720</v>
      </c>
      <c r="B825" t="s">
        <v>2721</v>
      </c>
      <c r="C825" t="s">
        <v>2706</v>
      </c>
      <c r="D825" t="s">
        <v>2707</v>
      </c>
      <c r="E825" t="s">
        <v>299</v>
      </c>
      <c r="F825" t="s">
        <v>300</v>
      </c>
      <c r="G825" t="s">
        <v>750</v>
      </c>
      <c r="H825" t="s">
        <v>751</v>
      </c>
      <c r="I825" t="s">
        <v>199</v>
      </c>
      <c r="J825" t="s">
        <v>301</v>
      </c>
      <c r="M825">
        <v>1</v>
      </c>
      <c r="N825">
        <v>1</v>
      </c>
    </row>
    <row r="826" spans="1:14" x14ac:dyDescent="0.45">
      <c r="A826" t="s">
        <v>2722</v>
      </c>
      <c r="B826" t="s">
        <v>2723</v>
      </c>
      <c r="C826" t="s">
        <v>2706</v>
      </c>
      <c r="D826" t="s">
        <v>2707</v>
      </c>
      <c r="E826" t="s">
        <v>299</v>
      </c>
      <c r="F826" t="s">
        <v>300</v>
      </c>
      <c r="G826" t="s">
        <v>750</v>
      </c>
      <c r="H826" t="s">
        <v>751</v>
      </c>
      <c r="I826" t="s">
        <v>199</v>
      </c>
      <c r="J826" t="s">
        <v>301</v>
      </c>
      <c r="M826">
        <v>1</v>
      </c>
      <c r="N826">
        <v>1</v>
      </c>
    </row>
    <row r="827" spans="1:14" x14ac:dyDescent="0.45">
      <c r="A827" t="s">
        <v>2724</v>
      </c>
      <c r="B827" t="s">
        <v>2725</v>
      </c>
      <c r="C827" t="s">
        <v>2706</v>
      </c>
      <c r="D827" t="s">
        <v>2707</v>
      </c>
      <c r="E827" t="s">
        <v>299</v>
      </c>
      <c r="F827" t="s">
        <v>300</v>
      </c>
      <c r="G827" t="s">
        <v>750</v>
      </c>
      <c r="H827" t="s">
        <v>751</v>
      </c>
      <c r="I827" t="s">
        <v>199</v>
      </c>
      <c r="J827" t="s">
        <v>301</v>
      </c>
      <c r="M827">
        <v>1</v>
      </c>
      <c r="N827">
        <v>1</v>
      </c>
    </row>
    <row r="828" spans="1:14" x14ac:dyDescent="0.45">
      <c r="A828" t="s">
        <v>2726</v>
      </c>
      <c r="B828" t="s">
        <v>2727</v>
      </c>
      <c r="C828" t="s">
        <v>2706</v>
      </c>
      <c r="D828" t="s">
        <v>2707</v>
      </c>
      <c r="E828" t="s">
        <v>299</v>
      </c>
      <c r="F828" t="s">
        <v>300</v>
      </c>
      <c r="G828" t="s">
        <v>750</v>
      </c>
      <c r="H828" t="s">
        <v>751</v>
      </c>
      <c r="I828" t="s">
        <v>199</v>
      </c>
      <c r="J828" t="s">
        <v>301</v>
      </c>
      <c r="M828">
        <v>1</v>
      </c>
      <c r="N828">
        <v>1</v>
      </c>
    </row>
    <row r="829" spans="1:14" x14ac:dyDescent="0.45">
      <c r="A829" t="s">
        <v>2728</v>
      </c>
      <c r="B829" t="s">
        <v>2729</v>
      </c>
      <c r="C829" t="s">
        <v>2706</v>
      </c>
      <c r="D829" t="s">
        <v>2707</v>
      </c>
      <c r="E829" t="s">
        <v>299</v>
      </c>
      <c r="F829" t="s">
        <v>300</v>
      </c>
      <c r="G829" t="s">
        <v>750</v>
      </c>
      <c r="H829" t="s">
        <v>751</v>
      </c>
      <c r="I829" t="s">
        <v>199</v>
      </c>
      <c r="J829" t="s">
        <v>301</v>
      </c>
      <c r="M829">
        <v>1</v>
      </c>
      <c r="N829">
        <v>1</v>
      </c>
    </row>
    <row r="830" spans="1:14" x14ac:dyDescent="0.45">
      <c r="A830" t="s">
        <v>2730</v>
      </c>
      <c r="B830" t="s">
        <v>2731</v>
      </c>
      <c r="C830" t="s">
        <v>2706</v>
      </c>
      <c r="D830" t="s">
        <v>2707</v>
      </c>
      <c r="E830" t="s">
        <v>299</v>
      </c>
      <c r="F830" t="s">
        <v>300</v>
      </c>
      <c r="G830" t="s">
        <v>750</v>
      </c>
      <c r="H830" t="s">
        <v>751</v>
      </c>
      <c r="I830" t="s">
        <v>199</v>
      </c>
      <c r="J830" t="s">
        <v>301</v>
      </c>
      <c r="M830">
        <v>1</v>
      </c>
      <c r="N830">
        <v>1</v>
      </c>
    </row>
    <row r="831" spans="1:14" x14ac:dyDescent="0.45">
      <c r="A831" t="s">
        <v>1628</v>
      </c>
      <c r="B831" t="s">
        <v>2732</v>
      </c>
      <c r="C831" t="s">
        <v>2706</v>
      </c>
      <c r="D831" t="s">
        <v>2707</v>
      </c>
      <c r="E831" t="s">
        <v>299</v>
      </c>
      <c r="F831" t="s">
        <v>300</v>
      </c>
      <c r="G831" t="s">
        <v>750</v>
      </c>
      <c r="H831" t="s">
        <v>751</v>
      </c>
      <c r="I831" t="s">
        <v>199</v>
      </c>
      <c r="J831" t="s">
        <v>301</v>
      </c>
      <c r="M831">
        <v>1</v>
      </c>
      <c r="N831">
        <v>1</v>
      </c>
    </row>
    <row r="832" spans="1:14" x14ac:dyDescent="0.45">
      <c r="A832" t="s">
        <v>2733</v>
      </c>
      <c r="B832" t="s">
        <v>2734</v>
      </c>
      <c r="C832" t="s">
        <v>2706</v>
      </c>
      <c r="D832" t="s">
        <v>2707</v>
      </c>
      <c r="E832" t="s">
        <v>299</v>
      </c>
      <c r="F832" t="s">
        <v>300</v>
      </c>
      <c r="G832" t="s">
        <v>750</v>
      </c>
      <c r="H832" t="s">
        <v>751</v>
      </c>
      <c r="I832" t="s">
        <v>199</v>
      </c>
      <c r="J832" t="s">
        <v>301</v>
      </c>
      <c r="M832">
        <v>1</v>
      </c>
      <c r="N832">
        <v>1</v>
      </c>
    </row>
    <row r="833" spans="1:14" x14ac:dyDescent="0.45">
      <c r="A833" t="s">
        <v>2735</v>
      </c>
      <c r="B833" t="s">
        <v>2736</v>
      </c>
      <c r="C833" t="s">
        <v>2706</v>
      </c>
      <c r="D833" t="s">
        <v>2707</v>
      </c>
      <c r="E833" t="s">
        <v>299</v>
      </c>
      <c r="F833" t="s">
        <v>300</v>
      </c>
      <c r="G833" t="s">
        <v>750</v>
      </c>
      <c r="H833" t="s">
        <v>751</v>
      </c>
      <c r="I833" t="s">
        <v>199</v>
      </c>
      <c r="J833" t="s">
        <v>301</v>
      </c>
      <c r="M833">
        <v>1</v>
      </c>
      <c r="N833">
        <v>1</v>
      </c>
    </row>
    <row r="834" spans="1:14" x14ac:dyDescent="0.45">
      <c r="A834" t="s">
        <v>2737</v>
      </c>
      <c r="B834" t="s">
        <v>2738</v>
      </c>
      <c r="C834" t="s">
        <v>2706</v>
      </c>
      <c r="D834" t="s">
        <v>2707</v>
      </c>
      <c r="E834" t="s">
        <v>299</v>
      </c>
      <c r="F834" t="s">
        <v>300</v>
      </c>
      <c r="G834" t="s">
        <v>750</v>
      </c>
      <c r="H834" t="s">
        <v>751</v>
      </c>
      <c r="I834" t="s">
        <v>199</v>
      </c>
      <c r="J834" t="s">
        <v>301</v>
      </c>
      <c r="M834">
        <v>1</v>
      </c>
      <c r="N834">
        <v>1</v>
      </c>
    </row>
    <row r="835" spans="1:14" x14ac:dyDescent="0.45">
      <c r="A835" t="s">
        <v>2739</v>
      </c>
      <c r="B835" t="s">
        <v>2740</v>
      </c>
      <c r="C835" t="s">
        <v>2706</v>
      </c>
      <c r="D835" t="s">
        <v>2707</v>
      </c>
      <c r="E835" t="s">
        <v>299</v>
      </c>
      <c r="F835" t="s">
        <v>300</v>
      </c>
      <c r="G835" t="s">
        <v>750</v>
      </c>
      <c r="H835" t="s">
        <v>751</v>
      </c>
      <c r="I835" t="s">
        <v>199</v>
      </c>
      <c r="J835" t="s">
        <v>301</v>
      </c>
      <c r="M835">
        <v>1</v>
      </c>
      <c r="N835">
        <v>1</v>
      </c>
    </row>
    <row r="836" spans="1:14" x14ac:dyDescent="0.45">
      <c r="A836" t="s">
        <v>299</v>
      </c>
      <c r="B836" t="s">
        <v>2741</v>
      </c>
      <c r="C836" t="s">
        <v>2706</v>
      </c>
      <c r="D836" t="s">
        <v>2707</v>
      </c>
      <c r="E836" t="s">
        <v>299</v>
      </c>
      <c r="F836" t="s">
        <v>300</v>
      </c>
      <c r="G836" t="s">
        <v>750</v>
      </c>
      <c r="H836" t="s">
        <v>751</v>
      </c>
      <c r="I836" t="s">
        <v>199</v>
      </c>
      <c r="J836" t="s">
        <v>301</v>
      </c>
      <c r="M836">
        <v>1</v>
      </c>
      <c r="N836">
        <v>1</v>
      </c>
    </row>
    <row r="837" spans="1:14" x14ac:dyDescent="0.45">
      <c r="A837" t="s">
        <v>2742</v>
      </c>
      <c r="B837" t="s">
        <v>2743</v>
      </c>
      <c r="C837" t="s">
        <v>2706</v>
      </c>
      <c r="D837" t="s">
        <v>2707</v>
      </c>
      <c r="E837" t="s">
        <v>299</v>
      </c>
      <c r="F837" t="s">
        <v>300</v>
      </c>
      <c r="G837" t="s">
        <v>750</v>
      </c>
      <c r="H837" t="s">
        <v>751</v>
      </c>
      <c r="I837" t="s">
        <v>199</v>
      </c>
      <c r="J837" t="s">
        <v>301</v>
      </c>
      <c r="M837">
        <v>1</v>
      </c>
      <c r="N837">
        <v>1</v>
      </c>
    </row>
    <row r="838" spans="1:14" x14ac:dyDescent="0.45">
      <c r="A838" t="s">
        <v>2744</v>
      </c>
      <c r="B838" t="s">
        <v>2745</v>
      </c>
      <c r="C838" t="s">
        <v>2706</v>
      </c>
      <c r="D838" t="s">
        <v>2707</v>
      </c>
      <c r="E838" t="s">
        <v>299</v>
      </c>
      <c r="F838" t="s">
        <v>300</v>
      </c>
      <c r="G838" t="s">
        <v>750</v>
      </c>
      <c r="H838" t="s">
        <v>751</v>
      </c>
      <c r="I838" t="s">
        <v>199</v>
      </c>
      <c r="J838" t="s">
        <v>301</v>
      </c>
      <c r="M838">
        <v>1</v>
      </c>
      <c r="N838">
        <v>1</v>
      </c>
    </row>
    <row r="839" spans="1:14" x14ac:dyDescent="0.45">
      <c r="A839" t="s">
        <v>2746</v>
      </c>
      <c r="B839" t="s">
        <v>2747</v>
      </c>
      <c r="C839" t="s">
        <v>2706</v>
      </c>
      <c r="D839" t="s">
        <v>2707</v>
      </c>
      <c r="E839" t="s">
        <v>299</v>
      </c>
      <c r="F839" t="s">
        <v>300</v>
      </c>
      <c r="G839" t="s">
        <v>750</v>
      </c>
      <c r="H839" t="s">
        <v>751</v>
      </c>
      <c r="I839" t="s">
        <v>199</v>
      </c>
      <c r="J839" t="s">
        <v>301</v>
      </c>
      <c r="M839">
        <v>1</v>
      </c>
      <c r="N839">
        <v>1</v>
      </c>
    </row>
    <row r="840" spans="1:14" x14ac:dyDescent="0.45">
      <c r="A840" t="s">
        <v>2748</v>
      </c>
      <c r="B840" t="s">
        <v>2749</v>
      </c>
      <c r="C840" t="s">
        <v>2706</v>
      </c>
      <c r="D840" t="s">
        <v>2707</v>
      </c>
      <c r="E840" t="s">
        <v>299</v>
      </c>
      <c r="F840" t="s">
        <v>300</v>
      </c>
      <c r="G840" t="s">
        <v>750</v>
      </c>
      <c r="H840" t="s">
        <v>751</v>
      </c>
      <c r="I840" t="s">
        <v>199</v>
      </c>
      <c r="J840" t="s">
        <v>301</v>
      </c>
      <c r="M840">
        <v>1</v>
      </c>
      <c r="N840">
        <v>1</v>
      </c>
    </row>
    <row r="841" spans="1:14" x14ac:dyDescent="0.45">
      <c r="A841" t="s">
        <v>2750</v>
      </c>
      <c r="B841" t="s">
        <v>2751</v>
      </c>
      <c r="C841" t="s">
        <v>2706</v>
      </c>
      <c r="D841" t="s">
        <v>2707</v>
      </c>
      <c r="E841" t="s">
        <v>299</v>
      </c>
      <c r="F841" t="s">
        <v>300</v>
      </c>
      <c r="G841" t="s">
        <v>750</v>
      </c>
      <c r="H841" t="s">
        <v>751</v>
      </c>
      <c r="I841" t="s">
        <v>199</v>
      </c>
      <c r="J841" t="s">
        <v>301</v>
      </c>
      <c r="M841">
        <v>1</v>
      </c>
      <c r="N841">
        <v>1</v>
      </c>
    </row>
    <row r="842" spans="1:14" x14ac:dyDescent="0.45">
      <c r="A842" t="s">
        <v>2752</v>
      </c>
      <c r="B842" t="s">
        <v>2753</v>
      </c>
      <c r="C842" t="s">
        <v>2754</v>
      </c>
      <c r="D842" t="s">
        <v>2755</v>
      </c>
      <c r="E842" t="s">
        <v>302</v>
      </c>
      <c r="F842" t="s">
        <v>303</v>
      </c>
      <c r="G842" t="s">
        <v>750</v>
      </c>
      <c r="H842" t="s">
        <v>751</v>
      </c>
      <c r="I842" t="s">
        <v>199</v>
      </c>
      <c r="J842" t="s">
        <v>304</v>
      </c>
      <c r="M842">
        <v>1</v>
      </c>
      <c r="N842">
        <v>1</v>
      </c>
    </row>
    <row r="843" spans="1:14" x14ac:dyDescent="0.45">
      <c r="A843" t="s">
        <v>2756</v>
      </c>
      <c r="B843" t="s">
        <v>2757</v>
      </c>
      <c r="C843" t="s">
        <v>2754</v>
      </c>
      <c r="D843" t="s">
        <v>2755</v>
      </c>
      <c r="E843" t="s">
        <v>302</v>
      </c>
      <c r="F843" t="s">
        <v>303</v>
      </c>
      <c r="G843" t="s">
        <v>750</v>
      </c>
      <c r="H843" t="s">
        <v>751</v>
      </c>
      <c r="I843" t="s">
        <v>199</v>
      </c>
      <c r="J843" t="s">
        <v>304</v>
      </c>
      <c r="M843">
        <v>1</v>
      </c>
      <c r="N843">
        <v>1</v>
      </c>
    </row>
    <row r="844" spans="1:14" x14ac:dyDescent="0.45">
      <c r="A844" t="s">
        <v>2758</v>
      </c>
      <c r="B844" t="s">
        <v>2759</v>
      </c>
      <c r="C844" t="s">
        <v>2754</v>
      </c>
      <c r="D844" t="s">
        <v>2755</v>
      </c>
      <c r="E844" t="s">
        <v>302</v>
      </c>
      <c r="F844" t="s">
        <v>303</v>
      </c>
      <c r="G844" t="s">
        <v>750</v>
      </c>
      <c r="H844" t="s">
        <v>751</v>
      </c>
      <c r="I844" t="s">
        <v>199</v>
      </c>
      <c r="J844" t="s">
        <v>304</v>
      </c>
      <c r="M844">
        <v>1</v>
      </c>
      <c r="N844">
        <v>1</v>
      </c>
    </row>
    <row r="845" spans="1:14" x14ac:dyDescent="0.45">
      <c r="A845" t="s">
        <v>2760</v>
      </c>
      <c r="B845" t="s">
        <v>2761</v>
      </c>
      <c r="C845" t="s">
        <v>2754</v>
      </c>
      <c r="D845" t="s">
        <v>2755</v>
      </c>
      <c r="E845" t="s">
        <v>302</v>
      </c>
      <c r="F845" t="s">
        <v>303</v>
      </c>
      <c r="G845" t="s">
        <v>750</v>
      </c>
      <c r="H845" t="s">
        <v>751</v>
      </c>
      <c r="I845" t="s">
        <v>199</v>
      </c>
      <c r="J845" t="s">
        <v>304</v>
      </c>
      <c r="M845">
        <v>1</v>
      </c>
      <c r="N845">
        <v>1</v>
      </c>
    </row>
    <row r="846" spans="1:14" x14ac:dyDescent="0.45">
      <c r="A846" t="s">
        <v>2762</v>
      </c>
      <c r="B846" t="s">
        <v>2763</v>
      </c>
      <c r="C846" t="s">
        <v>2754</v>
      </c>
      <c r="D846" t="s">
        <v>2755</v>
      </c>
      <c r="E846" t="s">
        <v>302</v>
      </c>
      <c r="F846" t="s">
        <v>303</v>
      </c>
      <c r="G846" t="s">
        <v>750</v>
      </c>
      <c r="H846" t="s">
        <v>751</v>
      </c>
      <c r="I846" t="s">
        <v>199</v>
      </c>
      <c r="J846" t="s">
        <v>304</v>
      </c>
      <c r="M846">
        <v>1</v>
      </c>
      <c r="N846">
        <v>1</v>
      </c>
    </row>
    <row r="847" spans="1:14" x14ac:dyDescent="0.45">
      <c r="A847" t="s">
        <v>2764</v>
      </c>
      <c r="B847" t="s">
        <v>2765</v>
      </c>
      <c r="C847" t="s">
        <v>2754</v>
      </c>
      <c r="D847" t="s">
        <v>2755</v>
      </c>
      <c r="E847" t="s">
        <v>302</v>
      </c>
      <c r="F847" t="s">
        <v>303</v>
      </c>
      <c r="G847" t="s">
        <v>750</v>
      </c>
      <c r="H847" t="s">
        <v>751</v>
      </c>
      <c r="I847" t="s">
        <v>199</v>
      </c>
      <c r="J847" t="s">
        <v>304</v>
      </c>
      <c r="M847">
        <v>1</v>
      </c>
      <c r="N847">
        <v>1</v>
      </c>
    </row>
    <row r="848" spans="1:14" x14ac:dyDescent="0.45">
      <c r="A848" t="s">
        <v>2766</v>
      </c>
      <c r="B848" t="s">
        <v>2767</v>
      </c>
      <c r="C848" t="s">
        <v>2754</v>
      </c>
      <c r="D848" t="s">
        <v>2755</v>
      </c>
      <c r="E848" t="s">
        <v>302</v>
      </c>
      <c r="F848" t="s">
        <v>303</v>
      </c>
      <c r="G848" t="s">
        <v>750</v>
      </c>
      <c r="H848" t="s">
        <v>751</v>
      </c>
      <c r="I848" t="s">
        <v>199</v>
      </c>
      <c r="J848" t="s">
        <v>304</v>
      </c>
      <c r="M848">
        <v>1</v>
      </c>
      <c r="N848">
        <v>1</v>
      </c>
    </row>
    <row r="849" spans="1:14" x14ac:dyDescent="0.45">
      <c r="A849" t="s">
        <v>2768</v>
      </c>
      <c r="B849" t="s">
        <v>2769</v>
      </c>
      <c r="C849" t="s">
        <v>2754</v>
      </c>
      <c r="D849" t="s">
        <v>2755</v>
      </c>
      <c r="E849" t="s">
        <v>302</v>
      </c>
      <c r="F849" t="s">
        <v>303</v>
      </c>
      <c r="G849" t="s">
        <v>750</v>
      </c>
      <c r="H849" t="s">
        <v>751</v>
      </c>
      <c r="I849" t="s">
        <v>199</v>
      </c>
      <c r="J849" t="s">
        <v>304</v>
      </c>
      <c r="M849">
        <v>1</v>
      </c>
      <c r="N849">
        <v>1</v>
      </c>
    </row>
    <row r="850" spans="1:14" x14ac:dyDescent="0.45">
      <c r="A850" t="s">
        <v>2770</v>
      </c>
      <c r="B850" t="s">
        <v>2771</v>
      </c>
      <c r="C850" t="s">
        <v>2772</v>
      </c>
      <c r="D850" t="s">
        <v>2773</v>
      </c>
      <c r="E850" t="s">
        <v>302</v>
      </c>
      <c r="F850" t="s">
        <v>303</v>
      </c>
      <c r="G850" t="s">
        <v>750</v>
      </c>
      <c r="H850" t="s">
        <v>751</v>
      </c>
      <c r="I850" t="s">
        <v>199</v>
      </c>
      <c r="J850" t="s">
        <v>304</v>
      </c>
      <c r="M850">
        <v>1</v>
      </c>
      <c r="N850">
        <v>1</v>
      </c>
    </row>
    <row r="851" spans="1:14" x14ac:dyDescent="0.45">
      <c r="A851" t="s">
        <v>2774</v>
      </c>
      <c r="B851" t="s">
        <v>2775</v>
      </c>
      <c r="C851" t="s">
        <v>2772</v>
      </c>
      <c r="D851" t="s">
        <v>2773</v>
      </c>
      <c r="E851" t="s">
        <v>302</v>
      </c>
      <c r="F851" t="s">
        <v>303</v>
      </c>
      <c r="G851" t="s">
        <v>750</v>
      </c>
      <c r="H851" t="s">
        <v>751</v>
      </c>
      <c r="I851" t="s">
        <v>199</v>
      </c>
      <c r="J851" t="s">
        <v>304</v>
      </c>
      <c r="M851">
        <v>1</v>
      </c>
      <c r="N851">
        <v>1</v>
      </c>
    </row>
    <row r="852" spans="1:14" x14ac:dyDescent="0.45">
      <c r="A852" t="s">
        <v>2776</v>
      </c>
      <c r="B852" t="s">
        <v>2777</v>
      </c>
      <c r="C852" t="s">
        <v>2772</v>
      </c>
      <c r="D852" t="s">
        <v>2773</v>
      </c>
      <c r="E852" t="s">
        <v>302</v>
      </c>
      <c r="F852" t="s">
        <v>303</v>
      </c>
      <c r="G852" t="s">
        <v>750</v>
      </c>
      <c r="H852" t="s">
        <v>751</v>
      </c>
      <c r="I852" t="s">
        <v>199</v>
      </c>
      <c r="J852" t="s">
        <v>304</v>
      </c>
      <c r="M852">
        <v>1</v>
      </c>
      <c r="N852">
        <v>1</v>
      </c>
    </row>
    <row r="853" spans="1:14" x14ac:dyDescent="0.45">
      <c r="A853" t="s">
        <v>2778</v>
      </c>
      <c r="B853" t="s">
        <v>2779</v>
      </c>
      <c r="C853" t="s">
        <v>2772</v>
      </c>
      <c r="D853" t="s">
        <v>2773</v>
      </c>
      <c r="E853" t="s">
        <v>302</v>
      </c>
      <c r="F853" t="s">
        <v>303</v>
      </c>
      <c r="G853" t="s">
        <v>750</v>
      </c>
      <c r="H853" t="s">
        <v>751</v>
      </c>
      <c r="I853" t="s">
        <v>199</v>
      </c>
      <c r="J853" t="s">
        <v>304</v>
      </c>
      <c r="M853">
        <v>1</v>
      </c>
      <c r="N853">
        <v>1</v>
      </c>
    </row>
    <row r="854" spans="1:14" x14ac:dyDescent="0.45">
      <c r="A854" t="s">
        <v>2780</v>
      </c>
      <c r="B854" t="s">
        <v>2781</v>
      </c>
      <c r="C854" t="s">
        <v>2772</v>
      </c>
      <c r="D854" t="s">
        <v>2773</v>
      </c>
      <c r="E854" t="s">
        <v>302</v>
      </c>
      <c r="F854" t="s">
        <v>303</v>
      </c>
      <c r="G854" t="s">
        <v>750</v>
      </c>
      <c r="H854" t="s">
        <v>751</v>
      </c>
      <c r="I854" t="s">
        <v>199</v>
      </c>
      <c r="J854" t="s">
        <v>304</v>
      </c>
      <c r="M854">
        <v>1</v>
      </c>
      <c r="N854">
        <v>1</v>
      </c>
    </row>
    <row r="855" spans="1:14" x14ac:dyDescent="0.45">
      <c r="A855" t="s">
        <v>2782</v>
      </c>
      <c r="B855" t="s">
        <v>2783</v>
      </c>
      <c r="C855" t="s">
        <v>2772</v>
      </c>
      <c r="D855" t="s">
        <v>2773</v>
      </c>
      <c r="E855" t="s">
        <v>302</v>
      </c>
      <c r="F855" t="s">
        <v>303</v>
      </c>
      <c r="G855" t="s">
        <v>750</v>
      </c>
      <c r="H855" t="s">
        <v>751</v>
      </c>
      <c r="I855" t="s">
        <v>199</v>
      </c>
      <c r="J855" t="s">
        <v>304</v>
      </c>
      <c r="M855">
        <v>1</v>
      </c>
      <c r="N855">
        <v>1</v>
      </c>
    </row>
    <row r="856" spans="1:14" x14ac:dyDescent="0.45">
      <c r="A856" t="s">
        <v>1979</v>
      </c>
      <c r="B856" t="s">
        <v>2784</v>
      </c>
      <c r="C856" t="s">
        <v>2772</v>
      </c>
      <c r="D856" t="s">
        <v>2773</v>
      </c>
      <c r="E856" t="s">
        <v>302</v>
      </c>
      <c r="F856" t="s">
        <v>303</v>
      </c>
      <c r="G856" t="s">
        <v>750</v>
      </c>
      <c r="H856" t="s">
        <v>751</v>
      </c>
      <c r="I856" t="s">
        <v>199</v>
      </c>
      <c r="J856" t="s">
        <v>304</v>
      </c>
      <c r="M856">
        <v>1</v>
      </c>
      <c r="N856">
        <v>1</v>
      </c>
    </row>
    <row r="857" spans="1:14" x14ac:dyDescent="0.45">
      <c r="A857" t="s">
        <v>2785</v>
      </c>
      <c r="B857" t="s">
        <v>2786</v>
      </c>
      <c r="C857" t="s">
        <v>2772</v>
      </c>
      <c r="D857" t="s">
        <v>2773</v>
      </c>
      <c r="E857" t="s">
        <v>302</v>
      </c>
      <c r="F857" t="s">
        <v>303</v>
      </c>
      <c r="G857" t="s">
        <v>750</v>
      </c>
      <c r="H857" t="s">
        <v>751</v>
      </c>
      <c r="I857" t="s">
        <v>199</v>
      </c>
      <c r="J857" t="s">
        <v>304</v>
      </c>
      <c r="M857">
        <v>1</v>
      </c>
      <c r="N857">
        <v>1</v>
      </c>
    </row>
    <row r="858" spans="1:14" x14ac:dyDescent="0.45">
      <c r="A858" t="s">
        <v>2787</v>
      </c>
      <c r="B858" t="s">
        <v>2788</v>
      </c>
      <c r="C858" t="s">
        <v>2772</v>
      </c>
      <c r="D858" t="s">
        <v>2773</v>
      </c>
      <c r="E858" t="s">
        <v>302</v>
      </c>
      <c r="F858" t="s">
        <v>303</v>
      </c>
      <c r="G858" t="s">
        <v>750</v>
      </c>
      <c r="H858" t="s">
        <v>751</v>
      </c>
      <c r="I858" t="s">
        <v>199</v>
      </c>
      <c r="J858" t="s">
        <v>304</v>
      </c>
      <c r="M858">
        <v>1</v>
      </c>
      <c r="N858">
        <v>1</v>
      </c>
    </row>
    <row r="859" spans="1:14" x14ac:dyDescent="0.45">
      <c r="A859" t="s">
        <v>2789</v>
      </c>
      <c r="B859" t="s">
        <v>2790</v>
      </c>
      <c r="C859" t="s">
        <v>2772</v>
      </c>
      <c r="D859" t="s">
        <v>2773</v>
      </c>
      <c r="E859" t="s">
        <v>302</v>
      </c>
      <c r="F859" t="s">
        <v>303</v>
      </c>
      <c r="G859" t="s">
        <v>750</v>
      </c>
      <c r="H859" t="s">
        <v>751</v>
      </c>
      <c r="I859" t="s">
        <v>199</v>
      </c>
      <c r="J859" t="s">
        <v>304</v>
      </c>
      <c r="M859">
        <v>1</v>
      </c>
      <c r="N859">
        <v>1</v>
      </c>
    </row>
    <row r="860" spans="1:14" x14ac:dyDescent="0.45">
      <c r="A860" t="s">
        <v>2791</v>
      </c>
      <c r="B860" t="s">
        <v>2792</v>
      </c>
      <c r="C860" t="s">
        <v>2772</v>
      </c>
      <c r="D860" t="s">
        <v>2773</v>
      </c>
      <c r="E860" t="s">
        <v>302</v>
      </c>
      <c r="F860" t="s">
        <v>303</v>
      </c>
      <c r="G860" t="s">
        <v>750</v>
      </c>
      <c r="H860" t="s">
        <v>751</v>
      </c>
      <c r="I860" t="s">
        <v>199</v>
      </c>
      <c r="J860" t="s">
        <v>304</v>
      </c>
      <c r="M860">
        <v>1</v>
      </c>
      <c r="N860">
        <v>1</v>
      </c>
    </row>
    <row r="861" spans="1:14" x14ac:dyDescent="0.45">
      <c r="A861" t="s">
        <v>2793</v>
      </c>
      <c r="B861" t="s">
        <v>2794</v>
      </c>
      <c r="C861" t="s">
        <v>2772</v>
      </c>
      <c r="D861" t="s">
        <v>2773</v>
      </c>
      <c r="E861" t="s">
        <v>302</v>
      </c>
      <c r="F861" t="s">
        <v>303</v>
      </c>
      <c r="G861" t="s">
        <v>750</v>
      </c>
      <c r="H861" t="s">
        <v>751</v>
      </c>
      <c r="I861" t="s">
        <v>199</v>
      </c>
      <c r="J861" t="s">
        <v>304</v>
      </c>
      <c r="M861">
        <v>1</v>
      </c>
      <c r="N861">
        <v>1</v>
      </c>
    </row>
    <row r="862" spans="1:14" x14ac:dyDescent="0.45">
      <c r="A862" t="s">
        <v>2795</v>
      </c>
      <c r="B862" t="s">
        <v>2796</v>
      </c>
      <c r="C862" t="s">
        <v>2772</v>
      </c>
      <c r="D862" t="s">
        <v>2773</v>
      </c>
      <c r="E862" t="s">
        <v>302</v>
      </c>
      <c r="F862" t="s">
        <v>303</v>
      </c>
      <c r="G862" t="s">
        <v>750</v>
      </c>
      <c r="H862" t="s">
        <v>751</v>
      </c>
      <c r="I862" t="s">
        <v>199</v>
      </c>
      <c r="J862" t="s">
        <v>304</v>
      </c>
      <c r="M862">
        <v>1</v>
      </c>
      <c r="N862">
        <v>1</v>
      </c>
    </row>
    <row r="863" spans="1:14" x14ac:dyDescent="0.45">
      <c r="A863" t="s">
        <v>2365</v>
      </c>
      <c r="B863" t="s">
        <v>2797</v>
      </c>
      <c r="C863" t="s">
        <v>2772</v>
      </c>
      <c r="D863" t="s">
        <v>2773</v>
      </c>
      <c r="E863" t="s">
        <v>302</v>
      </c>
      <c r="F863" t="s">
        <v>303</v>
      </c>
      <c r="G863" t="s">
        <v>750</v>
      </c>
      <c r="H863" t="s">
        <v>751</v>
      </c>
      <c r="I863" t="s">
        <v>199</v>
      </c>
      <c r="J863" t="s">
        <v>304</v>
      </c>
      <c r="M863">
        <v>1</v>
      </c>
      <c r="N863">
        <v>1</v>
      </c>
    </row>
    <row r="864" spans="1:14" x14ac:dyDescent="0.45">
      <c r="A864" t="s">
        <v>2798</v>
      </c>
      <c r="B864" t="s">
        <v>2799</v>
      </c>
      <c r="C864" t="s">
        <v>2772</v>
      </c>
      <c r="D864" t="s">
        <v>2773</v>
      </c>
      <c r="E864" t="s">
        <v>302</v>
      </c>
      <c r="F864" t="s">
        <v>303</v>
      </c>
      <c r="G864" t="s">
        <v>750</v>
      </c>
      <c r="H864" t="s">
        <v>751</v>
      </c>
      <c r="I864" t="s">
        <v>199</v>
      </c>
      <c r="J864" t="s">
        <v>304</v>
      </c>
      <c r="M864">
        <v>1</v>
      </c>
      <c r="N864">
        <v>1</v>
      </c>
    </row>
    <row r="865" spans="1:14" x14ac:dyDescent="0.45">
      <c r="A865" t="s">
        <v>2800</v>
      </c>
      <c r="B865" t="s">
        <v>2801</v>
      </c>
      <c r="C865" t="s">
        <v>2772</v>
      </c>
      <c r="D865" t="s">
        <v>2773</v>
      </c>
      <c r="E865" t="s">
        <v>302</v>
      </c>
      <c r="F865" t="s">
        <v>303</v>
      </c>
      <c r="G865" t="s">
        <v>750</v>
      </c>
      <c r="H865" t="s">
        <v>751</v>
      </c>
      <c r="I865" t="s">
        <v>199</v>
      </c>
      <c r="J865" t="s">
        <v>304</v>
      </c>
      <c r="M865">
        <v>1</v>
      </c>
      <c r="N865">
        <v>1</v>
      </c>
    </row>
    <row r="866" spans="1:14" x14ac:dyDescent="0.45">
      <c r="A866" t="s">
        <v>2802</v>
      </c>
      <c r="B866" t="s">
        <v>2803</v>
      </c>
      <c r="C866" t="s">
        <v>2772</v>
      </c>
      <c r="D866" t="s">
        <v>2773</v>
      </c>
      <c r="E866" t="s">
        <v>302</v>
      </c>
      <c r="F866" t="s">
        <v>303</v>
      </c>
      <c r="G866" t="s">
        <v>750</v>
      </c>
      <c r="H866" t="s">
        <v>751</v>
      </c>
      <c r="I866" t="s">
        <v>199</v>
      </c>
      <c r="J866" t="s">
        <v>304</v>
      </c>
      <c r="M866">
        <v>1</v>
      </c>
      <c r="N866">
        <v>1</v>
      </c>
    </row>
    <row r="867" spans="1:14" x14ac:dyDescent="0.45">
      <c r="A867" t="s">
        <v>2804</v>
      </c>
      <c r="B867" t="s">
        <v>2805</v>
      </c>
      <c r="C867" t="s">
        <v>2772</v>
      </c>
      <c r="D867" t="s">
        <v>2773</v>
      </c>
      <c r="E867" t="s">
        <v>302</v>
      </c>
      <c r="F867" t="s">
        <v>303</v>
      </c>
      <c r="G867" t="s">
        <v>750</v>
      </c>
      <c r="H867" t="s">
        <v>751</v>
      </c>
      <c r="I867" t="s">
        <v>199</v>
      </c>
      <c r="J867" t="s">
        <v>304</v>
      </c>
      <c r="M867">
        <v>1</v>
      </c>
      <c r="N867">
        <v>1</v>
      </c>
    </row>
    <row r="868" spans="1:14" x14ac:dyDescent="0.45">
      <c r="A868" t="s">
        <v>2806</v>
      </c>
      <c r="B868" t="s">
        <v>2807</v>
      </c>
      <c r="C868" t="s">
        <v>2772</v>
      </c>
      <c r="D868" t="s">
        <v>2773</v>
      </c>
      <c r="E868" t="s">
        <v>302</v>
      </c>
      <c r="F868" t="s">
        <v>303</v>
      </c>
      <c r="G868" t="s">
        <v>750</v>
      </c>
      <c r="H868" t="s">
        <v>751</v>
      </c>
      <c r="I868" t="s">
        <v>199</v>
      </c>
      <c r="J868" t="s">
        <v>304</v>
      </c>
      <c r="M868">
        <v>1</v>
      </c>
      <c r="N868">
        <v>1</v>
      </c>
    </row>
    <row r="869" spans="1:14" x14ac:dyDescent="0.45">
      <c r="A869" t="s">
        <v>2808</v>
      </c>
      <c r="B869" t="s">
        <v>2809</v>
      </c>
      <c r="C869" t="s">
        <v>2810</v>
      </c>
      <c r="D869" t="s">
        <v>2811</v>
      </c>
      <c r="E869" t="s">
        <v>302</v>
      </c>
      <c r="F869" t="s">
        <v>303</v>
      </c>
      <c r="G869" t="s">
        <v>750</v>
      </c>
      <c r="H869" t="s">
        <v>751</v>
      </c>
      <c r="I869" t="s">
        <v>199</v>
      </c>
      <c r="J869" t="s">
        <v>304</v>
      </c>
      <c r="M869">
        <v>1</v>
      </c>
      <c r="N869">
        <v>1</v>
      </c>
    </row>
    <row r="870" spans="1:14" x14ac:dyDescent="0.45">
      <c r="A870" t="s">
        <v>2812</v>
      </c>
      <c r="B870" t="s">
        <v>2813</v>
      </c>
      <c r="C870" t="s">
        <v>2810</v>
      </c>
      <c r="D870" t="s">
        <v>2811</v>
      </c>
      <c r="E870" t="s">
        <v>302</v>
      </c>
      <c r="F870" t="s">
        <v>303</v>
      </c>
      <c r="G870" t="s">
        <v>750</v>
      </c>
      <c r="H870" t="s">
        <v>751</v>
      </c>
      <c r="I870" t="s">
        <v>199</v>
      </c>
      <c r="J870" t="s">
        <v>304</v>
      </c>
      <c r="M870">
        <v>1</v>
      </c>
      <c r="N870">
        <v>1</v>
      </c>
    </row>
    <row r="871" spans="1:14" x14ac:dyDescent="0.45">
      <c r="A871" t="s">
        <v>2814</v>
      </c>
      <c r="B871" t="s">
        <v>2815</v>
      </c>
      <c r="C871" t="s">
        <v>2810</v>
      </c>
      <c r="D871" t="s">
        <v>2811</v>
      </c>
      <c r="E871" t="s">
        <v>302</v>
      </c>
      <c r="F871" t="s">
        <v>303</v>
      </c>
      <c r="G871" t="s">
        <v>750</v>
      </c>
      <c r="H871" t="s">
        <v>751</v>
      </c>
      <c r="I871" t="s">
        <v>199</v>
      </c>
      <c r="J871" t="s">
        <v>304</v>
      </c>
      <c r="M871">
        <v>1</v>
      </c>
      <c r="N871">
        <v>1</v>
      </c>
    </row>
    <row r="872" spans="1:14" x14ac:dyDescent="0.45">
      <c r="A872" t="s">
        <v>2816</v>
      </c>
      <c r="B872" t="s">
        <v>2817</v>
      </c>
      <c r="C872" t="s">
        <v>2810</v>
      </c>
      <c r="D872" t="s">
        <v>2811</v>
      </c>
      <c r="E872" t="s">
        <v>302</v>
      </c>
      <c r="F872" t="s">
        <v>303</v>
      </c>
      <c r="G872" t="s">
        <v>750</v>
      </c>
      <c r="H872" t="s">
        <v>751</v>
      </c>
      <c r="I872" t="s">
        <v>199</v>
      </c>
      <c r="J872" t="s">
        <v>304</v>
      </c>
      <c r="M872">
        <v>1</v>
      </c>
      <c r="N872">
        <v>1</v>
      </c>
    </row>
    <row r="873" spans="1:14" x14ac:dyDescent="0.45">
      <c r="A873" t="s">
        <v>2818</v>
      </c>
      <c r="B873" t="s">
        <v>2819</v>
      </c>
      <c r="C873" t="s">
        <v>2810</v>
      </c>
      <c r="D873" t="s">
        <v>2811</v>
      </c>
      <c r="E873" t="s">
        <v>302</v>
      </c>
      <c r="F873" t="s">
        <v>303</v>
      </c>
      <c r="G873" t="s">
        <v>750</v>
      </c>
      <c r="H873" t="s">
        <v>751</v>
      </c>
      <c r="I873" t="s">
        <v>199</v>
      </c>
      <c r="J873" t="s">
        <v>304</v>
      </c>
      <c r="M873">
        <v>1</v>
      </c>
      <c r="N873">
        <v>1</v>
      </c>
    </row>
    <row r="874" spans="1:14" x14ac:dyDescent="0.45">
      <c r="A874" t="s">
        <v>2820</v>
      </c>
      <c r="B874" t="s">
        <v>2821</v>
      </c>
      <c r="C874" t="s">
        <v>2810</v>
      </c>
      <c r="D874" t="s">
        <v>2811</v>
      </c>
      <c r="E874" t="s">
        <v>302</v>
      </c>
      <c r="F874" t="s">
        <v>303</v>
      </c>
      <c r="G874" t="s">
        <v>750</v>
      </c>
      <c r="H874" t="s">
        <v>751</v>
      </c>
      <c r="I874" t="s">
        <v>199</v>
      </c>
      <c r="J874" t="s">
        <v>304</v>
      </c>
      <c r="M874">
        <v>1</v>
      </c>
      <c r="N874">
        <v>1</v>
      </c>
    </row>
    <row r="875" spans="1:14" x14ac:dyDescent="0.45">
      <c r="A875" t="s">
        <v>2822</v>
      </c>
      <c r="B875" t="s">
        <v>2823</v>
      </c>
      <c r="C875" t="s">
        <v>2810</v>
      </c>
      <c r="D875" t="s">
        <v>2811</v>
      </c>
      <c r="E875" t="s">
        <v>302</v>
      </c>
      <c r="F875" t="s">
        <v>303</v>
      </c>
      <c r="G875" t="s">
        <v>750</v>
      </c>
      <c r="H875" t="s">
        <v>751</v>
      </c>
      <c r="I875" t="s">
        <v>199</v>
      </c>
      <c r="J875" t="s">
        <v>304</v>
      </c>
      <c r="M875">
        <v>1</v>
      </c>
      <c r="N875">
        <v>1</v>
      </c>
    </row>
    <row r="876" spans="1:14" x14ac:dyDescent="0.45">
      <c r="A876" t="s">
        <v>1357</v>
      </c>
      <c r="B876" t="s">
        <v>2824</v>
      </c>
      <c r="C876" t="s">
        <v>2810</v>
      </c>
      <c r="D876" t="s">
        <v>2811</v>
      </c>
      <c r="E876" t="s">
        <v>302</v>
      </c>
      <c r="F876" t="s">
        <v>303</v>
      </c>
      <c r="G876" t="s">
        <v>750</v>
      </c>
      <c r="H876" t="s">
        <v>751</v>
      </c>
      <c r="I876" t="s">
        <v>199</v>
      </c>
      <c r="J876" t="s">
        <v>304</v>
      </c>
      <c r="M876">
        <v>1</v>
      </c>
      <c r="N876">
        <v>1</v>
      </c>
    </row>
    <row r="877" spans="1:14" x14ac:dyDescent="0.45">
      <c r="A877" t="s">
        <v>2825</v>
      </c>
      <c r="B877" t="s">
        <v>2826</v>
      </c>
      <c r="C877" t="s">
        <v>2810</v>
      </c>
      <c r="D877" t="s">
        <v>2811</v>
      </c>
      <c r="E877" t="s">
        <v>302</v>
      </c>
      <c r="F877" t="s">
        <v>303</v>
      </c>
      <c r="G877" t="s">
        <v>750</v>
      </c>
      <c r="H877" t="s">
        <v>751</v>
      </c>
      <c r="I877" t="s">
        <v>199</v>
      </c>
      <c r="J877" t="s">
        <v>304</v>
      </c>
      <c r="M877">
        <v>1</v>
      </c>
      <c r="N877">
        <v>1</v>
      </c>
    </row>
    <row r="878" spans="1:14" x14ac:dyDescent="0.45">
      <c r="A878" t="s">
        <v>2827</v>
      </c>
      <c r="B878" t="s">
        <v>2828</v>
      </c>
      <c r="C878" t="s">
        <v>2810</v>
      </c>
      <c r="D878" t="s">
        <v>2811</v>
      </c>
      <c r="E878" t="s">
        <v>302</v>
      </c>
      <c r="F878" t="s">
        <v>303</v>
      </c>
      <c r="G878" t="s">
        <v>750</v>
      </c>
      <c r="H878" t="s">
        <v>751</v>
      </c>
      <c r="I878" t="s">
        <v>199</v>
      </c>
      <c r="J878" t="s">
        <v>304</v>
      </c>
      <c r="M878">
        <v>1</v>
      </c>
      <c r="N878">
        <v>1</v>
      </c>
    </row>
    <row r="879" spans="1:14" x14ac:dyDescent="0.45">
      <c r="A879" t="s">
        <v>2829</v>
      </c>
      <c r="B879" t="s">
        <v>2830</v>
      </c>
      <c r="C879" t="s">
        <v>2810</v>
      </c>
      <c r="D879" t="s">
        <v>2811</v>
      </c>
      <c r="E879" t="s">
        <v>302</v>
      </c>
      <c r="F879" t="s">
        <v>303</v>
      </c>
      <c r="G879" t="s">
        <v>750</v>
      </c>
      <c r="H879" t="s">
        <v>751</v>
      </c>
      <c r="I879" t="s">
        <v>199</v>
      </c>
      <c r="J879" t="s">
        <v>304</v>
      </c>
      <c r="M879">
        <v>1</v>
      </c>
      <c r="N879">
        <v>1</v>
      </c>
    </row>
    <row r="880" spans="1:14" x14ac:dyDescent="0.45">
      <c r="A880" t="s">
        <v>2831</v>
      </c>
      <c r="B880" t="s">
        <v>2832</v>
      </c>
      <c r="C880" t="s">
        <v>2810</v>
      </c>
      <c r="D880" t="s">
        <v>2811</v>
      </c>
      <c r="E880" t="s">
        <v>302</v>
      </c>
      <c r="F880" t="s">
        <v>303</v>
      </c>
      <c r="G880" t="s">
        <v>750</v>
      </c>
      <c r="H880" t="s">
        <v>751</v>
      </c>
      <c r="I880" t="s">
        <v>199</v>
      </c>
      <c r="J880" t="s">
        <v>304</v>
      </c>
      <c r="M880">
        <v>1</v>
      </c>
      <c r="N880">
        <v>1</v>
      </c>
    </row>
    <row r="881" spans="1:14" x14ac:dyDescent="0.45">
      <c r="A881" t="s">
        <v>2833</v>
      </c>
      <c r="B881" t="s">
        <v>2834</v>
      </c>
      <c r="C881" t="s">
        <v>2810</v>
      </c>
      <c r="D881" t="s">
        <v>2811</v>
      </c>
      <c r="E881" t="s">
        <v>302</v>
      </c>
      <c r="F881" t="s">
        <v>303</v>
      </c>
      <c r="G881" t="s">
        <v>750</v>
      </c>
      <c r="H881" t="s">
        <v>751</v>
      </c>
      <c r="I881" t="s">
        <v>199</v>
      </c>
      <c r="J881" t="s">
        <v>304</v>
      </c>
      <c r="M881">
        <v>1</v>
      </c>
      <c r="N881">
        <v>1</v>
      </c>
    </row>
    <row r="882" spans="1:14" x14ac:dyDescent="0.45">
      <c r="A882" t="s">
        <v>2835</v>
      </c>
      <c r="B882" t="s">
        <v>2836</v>
      </c>
      <c r="C882" t="s">
        <v>2810</v>
      </c>
      <c r="D882" t="s">
        <v>2811</v>
      </c>
      <c r="E882" t="s">
        <v>302</v>
      </c>
      <c r="F882" t="s">
        <v>303</v>
      </c>
      <c r="G882" t="s">
        <v>750</v>
      </c>
      <c r="H882" t="s">
        <v>751</v>
      </c>
      <c r="I882" t="s">
        <v>199</v>
      </c>
      <c r="J882" t="s">
        <v>304</v>
      </c>
      <c r="M882">
        <v>1</v>
      </c>
      <c r="N882">
        <v>1</v>
      </c>
    </row>
    <row r="883" spans="1:14" x14ac:dyDescent="0.45">
      <c r="A883" t="s">
        <v>2837</v>
      </c>
      <c r="B883" t="s">
        <v>2838</v>
      </c>
      <c r="C883" t="s">
        <v>2810</v>
      </c>
      <c r="D883" t="s">
        <v>2811</v>
      </c>
      <c r="E883" t="s">
        <v>302</v>
      </c>
      <c r="F883" t="s">
        <v>303</v>
      </c>
      <c r="G883" t="s">
        <v>750</v>
      </c>
      <c r="H883" t="s">
        <v>751</v>
      </c>
      <c r="I883" t="s">
        <v>199</v>
      </c>
      <c r="J883" t="s">
        <v>304</v>
      </c>
      <c r="M883">
        <v>1</v>
      </c>
      <c r="N883">
        <v>1</v>
      </c>
    </row>
    <row r="884" spans="1:14" x14ac:dyDescent="0.45">
      <c r="A884" t="s">
        <v>2839</v>
      </c>
      <c r="B884" t="s">
        <v>2840</v>
      </c>
      <c r="C884" t="s">
        <v>2810</v>
      </c>
      <c r="D884" t="s">
        <v>2811</v>
      </c>
      <c r="E884" t="s">
        <v>302</v>
      </c>
      <c r="F884" t="s">
        <v>303</v>
      </c>
      <c r="G884" t="s">
        <v>750</v>
      </c>
      <c r="H884" t="s">
        <v>751</v>
      </c>
      <c r="I884" t="s">
        <v>199</v>
      </c>
      <c r="J884" t="s">
        <v>304</v>
      </c>
      <c r="M884">
        <v>1</v>
      </c>
      <c r="N884">
        <v>1</v>
      </c>
    </row>
    <row r="885" spans="1:14" x14ac:dyDescent="0.45">
      <c r="A885" t="s">
        <v>1362</v>
      </c>
      <c r="B885" t="s">
        <v>2841</v>
      </c>
      <c r="C885" t="s">
        <v>2810</v>
      </c>
      <c r="D885" t="s">
        <v>2811</v>
      </c>
      <c r="E885" t="s">
        <v>302</v>
      </c>
      <c r="F885" t="s">
        <v>303</v>
      </c>
      <c r="G885" t="s">
        <v>750</v>
      </c>
      <c r="H885" t="s">
        <v>751</v>
      </c>
      <c r="I885" t="s">
        <v>199</v>
      </c>
      <c r="J885" t="s">
        <v>304</v>
      </c>
      <c r="M885">
        <v>1</v>
      </c>
      <c r="N885">
        <v>1</v>
      </c>
    </row>
    <row r="886" spans="1:14" x14ac:dyDescent="0.45">
      <c r="A886" t="s">
        <v>2842</v>
      </c>
      <c r="B886" t="s">
        <v>2843</v>
      </c>
      <c r="C886" t="s">
        <v>2810</v>
      </c>
      <c r="D886" t="s">
        <v>2811</v>
      </c>
      <c r="E886" t="s">
        <v>302</v>
      </c>
      <c r="F886" t="s">
        <v>303</v>
      </c>
      <c r="G886" t="s">
        <v>750</v>
      </c>
      <c r="H886" t="s">
        <v>751</v>
      </c>
      <c r="I886" t="s">
        <v>199</v>
      </c>
      <c r="J886" t="s">
        <v>304</v>
      </c>
      <c r="M886">
        <v>1</v>
      </c>
      <c r="N886">
        <v>1</v>
      </c>
    </row>
    <row r="887" spans="1:14" x14ac:dyDescent="0.45">
      <c r="A887" t="s">
        <v>1416</v>
      </c>
      <c r="B887" t="s">
        <v>2844</v>
      </c>
      <c r="C887" t="s">
        <v>2810</v>
      </c>
      <c r="D887" t="s">
        <v>2811</v>
      </c>
      <c r="E887" t="s">
        <v>302</v>
      </c>
      <c r="F887" t="s">
        <v>303</v>
      </c>
      <c r="G887" t="s">
        <v>750</v>
      </c>
      <c r="H887" t="s">
        <v>751</v>
      </c>
      <c r="I887" t="s">
        <v>199</v>
      </c>
      <c r="J887" t="s">
        <v>304</v>
      </c>
      <c r="M887">
        <v>1</v>
      </c>
      <c r="N887">
        <v>1</v>
      </c>
    </row>
    <row r="888" spans="1:14" x14ac:dyDescent="0.45">
      <c r="A888" t="s">
        <v>2845</v>
      </c>
      <c r="B888" t="s">
        <v>2846</v>
      </c>
      <c r="C888" t="s">
        <v>2810</v>
      </c>
      <c r="D888" t="s">
        <v>2811</v>
      </c>
      <c r="E888" t="s">
        <v>302</v>
      </c>
      <c r="F888" t="s">
        <v>303</v>
      </c>
      <c r="G888" t="s">
        <v>750</v>
      </c>
      <c r="H888" t="s">
        <v>751</v>
      </c>
      <c r="I888" t="s">
        <v>199</v>
      </c>
      <c r="J888" t="s">
        <v>304</v>
      </c>
      <c r="M888">
        <v>1</v>
      </c>
      <c r="N888">
        <v>1</v>
      </c>
    </row>
    <row r="889" spans="1:14" x14ac:dyDescent="0.45">
      <c r="A889" t="s">
        <v>2847</v>
      </c>
      <c r="B889" t="s">
        <v>2848</v>
      </c>
      <c r="C889" t="s">
        <v>2810</v>
      </c>
      <c r="D889" t="s">
        <v>2811</v>
      </c>
      <c r="E889" t="s">
        <v>302</v>
      </c>
      <c r="F889" t="s">
        <v>303</v>
      </c>
      <c r="G889" t="s">
        <v>750</v>
      </c>
      <c r="H889" t="s">
        <v>751</v>
      </c>
      <c r="I889" t="s">
        <v>199</v>
      </c>
      <c r="J889" t="s">
        <v>304</v>
      </c>
      <c r="M889">
        <v>1</v>
      </c>
      <c r="N889">
        <v>1</v>
      </c>
    </row>
    <row r="890" spans="1:14" x14ac:dyDescent="0.45">
      <c r="A890" t="s">
        <v>2094</v>
      </c>
      <c r="B890" t="s">
        <v>2849</v>
      </c>
      <c r="C890" t="s">
        <v>2810</v>
      </c>
      <c r="D890" t="s">
        <v>2811</v>
      </c>
      <c r="E890" t="s">
        <v>302</v>
      </c>
      <c r="F890" t="s">
        <v>303</v>
      </c>
      <c r="G890" t="s">
        <v>750</v>
      </c>
      <c r="H890" t="s">
        <v>751</v>
      </c>
      <c r="I890" t="s">
        <v>199</v>
      </c>
      <c r="J890" t="s">
        <v>304</v>
      </c>
      <c r="M890">
        <v>1</v>
      </c>
      <c r="N890">
        <v>1</v>
      </c>
    </row>
    <row r="891" spans="1:14" x14ac:dyDescent="0.45">
      <c r="A891" t="s">
        <v>2850</v>
      </c>
      <c r="B891" t="s">
        <v>2851</v>
      </c>
      <c r="C891" t="s">
        <v>2810</v>
      </c>
      <c r="D891" t="s">
        <v>2811</v>
      </c>
      <c r="E891" t="s">
        <v>302</v>
      </c>
      <c r="F891" t="s">
        <v>303</v>
      </c>
      <c r="G891" t="s">
        <v>750</v>
      </c>
      <c r="H891" t="s">
        <v>751</v>
      </c>
      <c r="I891" t="s">
        <v>199</v>
      </c>
      <c r="J891" t="s">
        <v>304</v>
      </c>
      <c r="M891">
        <v>1</v>
      </c>
      <c r="N891">
        <v>1</v>
      </c>
    </row>
    <row r="892" spans="1:14" x14ac:dyDescent="0.45">
      <c r="A892" t="s">
        <v>302</v>
      </c>
      <c r="B892" t="s">
        <v>2852</v>
      </c>
      <c r="C892" t="s">
        <v>2810</v>
      </c>
      <c r="D892" t="s">
        <v>2811</v>
      </c>
      <c r="E892" t="s">
        <v>302</v>
      </c>
      <c r="F892" t="s">
        <v>303</v>
      </c>
      <c r="G892" t="s">
        <v>750</v>
      </c>
      <c r="H892" t="s">
        <v>751</v>
      </c>
      <c r="I892" t="s">
        <v>199</v>
      </c>
      <c r="J892" t="s">
        <v>304</v>
      </c>
      <c r="M892">
        <v>1</v>
      </c>
      <c r="N892">
        <v>1</v>
      </c>
    </row>
    <row r="893" spans="1:14" x14ac:dyDescent="0.45">
      <c r="A893" t="s">
        <v>2853</v>
      </c>
      <c r="B893" t="s">
        <v>2854</v>
      </c>
      <c r="C893" t="s">
        <v>2810</v>
      </c>
      <c r="D893" t="s">
        <v>2811</v>
      </c>
      <c r="E893" t="s">
        <v>302</v>
      </c>
      <c r="F893" t="s">
        <v>303</v>
      </c>
      <c r="G893" t="s">
        <v>750</v>
      </c>
      <c r="H893" t="s">
        <v>751</v>
      </c>
      <c r="I893" t="s">
        <v>199</v>
      </c>
      <c r="J893" t="s">
        <v>304</v>
      </c>
      <c r="M893">
        <v>1</v>
      </c>
      <c r="N893">
        <v>1</v>
      </c>
    </row>
    <row r="894" spans="1:14" x14ac:dyDescent="0.45">
      <c r="A894" t="s">
        <v>2855</v>
      </c>
      <c r="B894" t="s">
        <v>2856</v>
      </c>
      <c r="C894" t="s">
        <v>2810</v>
      </c>
      <c r="D894" t="s">
        <v>2811</v>
      </c>
      <c r="E894" t="s">
        <v>302</v>
      </c>
      <c r="F894" t="s">
        <v>303</v>
      </c>
      <c r="G894" t="s">
        <v>750</v>
      </c>
      <c r="H894" t="s">
        <v>751</v>
      </c>
      <c r="I894" t="s">
        <v>199</v>
      </c>
      <c r="J894" t="s">
        <v>304</v>
      </c>
      <c r="M894">
        <v>1</v>
      </c>
      <c r="N894">
        <v>1</v>
      </c>
    </row>
    <row r="895" spans="1:14" x14ac:dyDescent="0.45">
      <c r="A895" t="s">
        <v>1343</v>
      </c>
      <c r="B895" t="s">
        <v>2857</v>
      </c>
      <c r="C895" t="s">
        <v>2858</v>
      </c>
      <c r="D895" t="s">
        <v>2859</v>
      </c>
      <c r="E895" t="s">
        <v>302</v>
      </c>
      <c r="F895" t="s">
        <v>303</v>
      </c>
      <c r="G895" t="s">
        <v>750</v>
      </c>
      <c r="H895" t="s">
        <v>751</v>
      </c>
      <c r="I895" t="s">
        <v>199</v>
      </c>
      <c r="J895" t="s">
        <v>304</v>
      </c>
      <c r="M895">
        <v>1</v>
      </c>
      <c r="N895">
        <v>1</v>
      </c>
    </row>
    <row r="896" spans="1:14" x14ac:dyDescent="0.45">
      <c r="A896" t="s">
        <v>2860</v>
      </c>
      <c r="B896" t="s">
        <v>2861</v>
      </c>
      <c r="C896" t="s">
        <v>2858</v>
      </c>
      <c r="D896" t="s">
        <v>2859</v>
      </c>
      <c r="E896" t="s">
        <v>302</v>
      </c>
      <c r="F896" t="s">
        <v>303</v>
      </c>
      <c r="G896" t="s">
        <v>750</v>
      </c>
      <c r="H896" t="s">
        <v>751</v>
      </c>
      <c r="I896" t="s">
        <v>199</v>
      </c>
      <c r="J896" t="s">
        <v>304</v>
      </c>
      <c r="M896">
        <v>1</v>
      </c>
      <c r="N896">
        <v>1</v>
      </c>
    </row>
    <row r="897" spans="1:14" x14ac:dyDescent="0.45">
      <c r="A897" t="s">
        <v>2862</v>
      </c>
      <c r="B897" t="s">
        <v>2863</v>
      </c>
      <c r="C897" t="s">
        <v>2858</v>
      </c>
      <c r="D897" t="s">
        <v>2859</v>
      </c>
      <c r="E897" t="s">
        <v>302</v>
      </c>
      <c r="F897" t="s">
        <v>303</v>
      </c>
      <c r="G897" t="s">
        <v>750</v>
      </c>
      <c r="H897" t="s">
        <v>751</v>
      </c>
      <c r="I897" t="s">
        <v>199</v>
      </c>
      <c r="J897" t="s">
        <v>304</v>
      </c>
      <c r="M897">
        <v>1</v>
      </c>
      <c r="N897">
        <v>1</v>
      </c>
    </row>
    <row r="898" spans="1:14" x14ac:dyDescent="0.45">
      <c r="A898" t="s">
        <v>2864</v>
      </c>
      <c r="B898" t="s">
        <v>2865</v>
      </c>
      <c r="C898" t="s">
        <v>2858</v>
      </c>
      <c r="D898" t="s">
        <v>2859</v>
      </c>
      <c r="E898" t="s">
        <v>302</v>
      </c>
      <c r="F898" t="s">
        <v>303</v>
      </c>
      <c r="G898" t="s">
        <v>750</v>
      </c>
      <c r="H898" t="s">
        <v>751</v>
      </c>
      <c r="I898" t="s">
        <v>199</v>
      </c>
      <c r="J898" t="s">
        <v>304</v>
      </c>
      <c r="M898">
        <v>1</v>
      </c>
      <c r="N898">
        <v>1</v>
      </c>
    </row>
    <row r="899" spans="1:14" x14ac:dyDescent="0.45">
      <c r="A899" t="s">
        <v>2866</v>
      </c>
      <c r="B899" t="s">
        <v>2867</v>
      </c>
      <c r="C899" t="s">
        <v>2858</v>
      </c>
      <c r="D899" t="s">
        <v>2859</v>
      </c>
      <c r="E899" t="s">
        <v>302</v>
      </c>
      <c r="F899" t="s">
        <v>303</v>
      </c>
      <c r="G899" t="s">
        <v>750</v>
      </c>
      <c r="H899" t="s">
        <v>751</v>
      </c>
      <c r="I899" t="s">
        <v>199</v>
      </c>
      <c r="J899" t="s">
        <v>304</v>
      </c>
      <c r="M899">
        <v>1</v>
      </c>
      <c r="N899">
        <v>1</v>
      </c>
    </row>
    <row r="900" spans="1:14" x14ac:dyDescent="0.45">
      <c r="A900" t="s">
        <v>2868</v>
      </c>
      <c r="B900" t="s">
        <v>2869</v>
      </c>
      <c r="C900" t="s">
        <v>2858</v>
      </c>
      <c r="D900" t="s">
        <v>2859</v>
      </c>
      <c r="E900" t="s">
        <v>302</v>
      </c>
      <c r="F900" t="s">
        <v>303</v>
      </c>
      <c r="G900" t="s">
        <v>750</v>
      </c>
      <c r="H900" t="s">
        <v>751</v>
      </c>
      <c r="I900" t="s">
        <v>199</v>
      </c>
      <c r="J900" t="s">
        <v>304</v>
      </c>
      <c r="M900">
        <v>1</v>
      </c>
      <c r="N900">
        <v>1</v>
      </c>
    </row>
    <row r="901" spans="1:14" x14ac:dyDescent="0.45">
      <c r="A901" t="s">
        <v>2870</v>
      </c>
      <c r="B901" t="s">
        <v>2871</v>
      </c>
      <c r="C901" t="s">
        <v>2858</v>
      </c>
      <c r="D901" t="s">
        <v>2859</v>
      </c>
      <c r="E901" t="s">
        <v>302</v>
      </c>
      <c r="F901" t="s">
        <v>303</v>
      </c>
      <c r="G901" t="s">
        <v>750</v>
      </c>
      <c r="H901" t="s">
        <v>751</v>
      </c>
      <c r="I901" t="s">
        <v>199</v>
      </c>
      <c r="J901" t="s">
        <v>304</v>
      </c>
      <c r="M901">
        <v>1</v>
      </c>
      <c r="N901">
        <v>1</v>
      </c>
    </row>
    <row r="902" spans="1:14" x14ac:dyDescent="0.45">
      <c r="A902" t="s">
        <v>2872</v>
      </c>
      <c r="B902" t="s">
        <v>2873</v>
      </c>
      <c r="C902" t="s">
        <v>2858</v>
      </c>
      <c r="D902" t="s">
        <v>2859</v>
      </c>
      <c r="E902" t="s">
        <v>302</v>
      </c>
      <c r="F902" t="s">
        <v>303</v>
      </c>
      <c r="G902" t="s">
        <v>750</v>
      </c>
      <c r="H902" t="s">
        <v>751</v>
      </c>
      <c r="I902" t="s">
        <v>199</v>
      </c>
      <c r="J902" t="s">
        <v>304</v>
      </c>
      <c r="M902">
        <v>1</v>
      </c>
      <c r="N902">
        <v>1</v>
      </c>
    </row>
    <row r="903" spans="1:14" x14ac:dyDescent="0.45">
      <c r="A903" t="s">
        <v>2874</v>
      </c>
      <c r="B903" t="s">
        <v>2875</v>
      </c>
      <c r="C903" t="s">
        <v>2858</v>
      </c>
      <c r="D903" t="s">
        <v>2859</v>
      </c>
      <c r="E903" t="s">
        <v>302</v>
      </c>
      <c r="F903" t="s">
        <v>303</v>
      </c>
      <c r="G903" t="s">
        <v>750</v>
      </c>
      <c r="H903" t="s">
        <v>751</v>
      </c>
      <c r="I903" t="s">
        <v>199</v>
      </c>
      <c r="J903" t="s">
        <v>304</v>
      </c>
      <c r="M903">
        <v>1</v>
      </c>
      <c r="N903">
        <v>1</v>
      </c>
    </row>
    <row r="904" spans="1:14" x14ac:dyDescent="0.45">
      <c r="A904" t="s">
        <v>2876</v>
      </c>
      <c r="B904" t="s">
        <v>2877</v>
      </c>
      <c r="C904" t="s">
        <v>2858</v>
      </c>
      <c r="D904" t="s">
        <v>2859</v>
      </c>
      <c r="E904" t="s">
        <v>302</v>
      </c>
      <c r="F904" t="s">
        <v>303</v>
      </c>
      <c r="G904" t="s">
        <v>750</v>
      </c>
      <c r="H904" t="s">
        <v>751</v>
      </c>
      <c r="I904" t="s">
        <v>199</v>
      </c>
      <c r="J904" t="s">
        <v>304</v>
      </c>
      <c r="M904">
        <v>1</v>
      </c>
      <c r="N904">
        <v>1</v>
      </c>
    </row>
    <row r="905" spans="1:14" x14ac:dyDescent="0.45">
      <c r="A905" t="s">
        <v>2878</v>
      </c>
      <c r="B905" t="s">
        <v>2879</v>
      </c>
      <c r="C905" t="s">
        <v>2858</v>
      </c>
      <c r="D905" t="s">
        <v>2859</v>
      </c>
      <c r="E905" t="s">
        <v>302</v>
      </c>
      <c r="F905" t="s">
        <v>303</v>
      </c>
      <c r="G905" t="s">
        <v>750</v>
      </c>
      <c r="H905" t="s">
        <v>751</v>
      </c>
      <c r="I905" t="s">
        <v>199</v>
      </c>
      <c r="J905" t="s">
        <v>304</v>
      </c>
      <c r="M905">
        <v>1</v>
      </c>
      <c r="N905">
        <v>1</v>
      </c>
    </row>
    <row r="906" spans="1:14" x14ac:dyDescent="0.45">
      <c r="A906" t="s">
        <v>2892</v>
      </c>
      <c r="B906" t="s">
        <v>2893</v>
      </c>
      <c r="C906" t="s">
        <v>2882</v>
      </c>
      <c r="D906" t="s">
        <v>2883</v>
      </c>
      <c r="E906" t="s">
        <v>305</v>
      </c>
      <c r="F906" t="s">
        <v>306</v>
      </c>
      <c r="G906" t="s">
        <v>750</v>
      </c>
      <c r="H906" t="s">
        <v>2894</v>
      </c>
      <c r="I906" t="s">
        <v>193</v>
      </c>
      <c r="J906" t="s">
        <v>308</v>
      </c>
      <c r="K906">
        <v>1</v>
      </c>
      <c r="M906">
        <v>1</v>
      </c>
      <c r="N906">
        <v>1</v>
      </c>
    </row>
    <row r="907" spans="1:14" x14ac:dyDescent="0.45">
      <c r="A907" t="s">
        <v>2897</v>
      </c>
      <c r="B907" t="s">
        <v>2898</v>
      </c>
      <c r="C907" t="s">
        <v>2882</v>
      </c>
      <c r="D907" t="s">
        <v>2883</v>
      </c>
      <c r="E907" t="s">
        <v>305</v>
      </c>
      <c r="F907" t="s">
        <v>306</v>
      </c>
      <c r="G907" t="s">
        <v>750</v>
      </c>
      <c r="H907" t="s">
        <v>2894</v>
      </c>
      <c r="I907" t="s">
        <v>193</v>
      </c>
      <c r="J907" t="s">
        <v>308</v>
      </c>
      <c r="K907">
        <v>1</v>
      </c>
      <c r="M907">
        <v>1</v>
      </c>
      <c r="N907">
        <v>1</v>
      </c>
    </row>
    <row r="908" spans="1:14" x14ac:dyDescent="0.45">
      <c r="A908" t="s">
        <v>2903</v>
      </c>
      <c r="B908" t="s">
        <v>2904</v>
      </c>
      <c r="C908" t="s">
        <v>2901</v>
      </c>
      <c r="D908" t="s">
        <v>2902</v>
      </c>
      <c r="E908" t="s">
        <v>305</v>
      </c>
      <c r="F908" t="s">
        <v>306</v>
      </c>
      <c r="G908" t="s">
        <v>750</v>
      </c>
      <c r="H908" t="s">
        <v>2894</v>
      </c>
      <c r="I908" t="s">
        <v>193</v>
      </c>
      <c r="J908" t="s">
        <v>308</v>
      </c>
      <c r="K908">
        <v>1</v>
      </c>
      <c r="M908">
        <v>1</v>
      </c>
      <c r="N908">
        <v>1</v>
      </c>
    </row>
    <row r="909" spans="1:14" x14ac:dyDescent="0.45">
      <c r="A909" t="s">
        <v>2938</v>
      </c>
      <c r="B909" t="s">
        <v>2939</v>
      </c>
      <c r="C909" t="s">
        <v>2936</v>
      </c>
      <c r="D909" t="s">
        <v>2937</v>
      </c>
      <c r="E909" t="s">
        <v>305</v>
      </c>
      <c r="F909" t="s">
        <v>306</v>
      </c>
      <c r="G909" t="s">
        <v>750</v>
      </c>
      <c r="H909" t="s">
        <v>2894</v>
      </c>
      <c r="I909" t="s">
        <v>193</v>
      </c>
      <c r="J909" t="s">
        <v>308</v>
      </c>
      <c r="K909">
        <v>1</v>
      </c>
      <c r="M909">
        <v>1</v>
      </c>
      <c r="N909">
        <v>1</v>
      </c>
    </row>
    <row r="910" spans="1:14" x14ac:dyDescent="0.45">
      <c r="A910" t="s">
        <v>2942</v>
      </c>
      <c r="B910" t="s">
        <v>2943</v>
      </c>
      <c r="C910" t="s">
        <v>2936</v>
      </c>
      <c r="D910" t="s">
        <v>2937</v>
      </c>
      <c r="E910" t="s">
        <v>305</v>
      </c>
      <c r="F910" t="s">
        <v>306</v>
      </c>
      <c r="G910" t="s">
        <v>750</v>
      </c>
      <c r="H910" t="s">
        <v>2894</v>
      </c>
      <c r="I910" t="s">
        <v>193</v>
      </c>
      <c r="J910" t="s">
        <v>308</v>
      </c>
      <c r="K910">
        <v>1</v>
      </c>
      <c r="M910">
        <v>1</v>
      </c>
      <c r="N910">
        <v>1</v>
      </c>
    </row>
    <row r="911" spans="1:14" x14ac:dyDescent="0.45">
      <c r="A911" t="s">
        <v>791</v>
      </c>
      <c r="B911" t="s">
        <v>2944</v>
      </c>
      <c r="C911" t="s">
        <v>2936</v>
      </c>
      <c r="D911" t="s">
        <v>2937</v>
      </c>
      <c r="E911" t="s">
        <v>305</v>
      </c>
      <c r="F911" t="s">
        <v>306</v>
      </c>
      <c r="G911" t="s">
        <v>750</v>
      </c>
      <c r="H911" t="s">
        <v>2894</v>
      </c>
      <c r="I911" t="s">
        <v>193</v>
      </c>
      <c r="J911" t="s">
        <v>308</v>
      </c>
      <c r="K911">
        <v>1</v>
      </c>
      <c r="M911">
        <v>1</v>
      </c>
      <c r="N911">
        <v>1</v>
      </c>
    </row>
    <row r="912" spans="1:14" x14ac:dyDescent="0.45">
      <c r="A912" t="s">
        <v>288</v>
      </c>
      <c r="B912" t="s">
        <v>2948</v>
      </c>
      <c r="C912" t="s">
        <v>2936</v>
      </c>
      <c r="D912" t="s">
        <v>2937</v>
      </c>
      <c r="E912" t="s">
        <v>305</v>
      </c>
      <c r="F912" t="s">
        <v>306</v>
      </c>
      <c r="G912" t="s">
        <v>750</v>
      </c>
      <c r="H912" t="s">
        <v>2894</v>
      </c>
      <c r="I912" t="s">
        <v>193</v>
      </c>
      <c r="J912" t="s">
        <v>308</v>
      </c>
      <c r="K912">
        <v>1</v>
      </c>
      <c r="M912">
        <v>1</v>
      </c>
      <c r="N912">
        <v>1</v>
      </c>
    </row>
    <row r="913" spans="1:14" x14ac:dyDescent="0.45">
      <c r="A913" t="s">
        <v>1370</v>
      </c>
      <c r="B913" t="s">
        <v>2949</v>
      </c>
      <c r="C913" t="s">
        <v>2936</v>
      </c>
      <c r="D913" t="s">
        <v>2937</v>
      </c>
      <c r="E913" t="s">
        <v>305</v>
      </c>
      <c r="F913" t="s">
        <v>306</v>
      </c>
      <c r="G913" t="s">
        <v>750</v>
      </c>
      <c r="H913" t="s">
        <v>2894</v>
      </c>
      <c r="I913" t="s">
        <v>193</v>
      </c>
      <c r="J913" t="s">
        <v>308</v>
      </c>
      <c r="K913">
        <v>1</v>
      </c>
      <c r="M913">
        <v>1</v>
      </c>
      <c r="N913">
        <v>1</v>
      </c>
    </row>
    <row r="914" spans="1:14" x14ac:dyDescent="0.45">
      <c r="A914" t="s">
        <v>2952</v>
      </c>
      <c r="B914" t="s">
        <v>2953</v>
      </c>
      <c r="C914" t="s">
        <v>2936</v>
      </c>
      <c r="D914" t="s">
        <v>2937</v>
      </c>
      <c r="E914" t="s">
        <v>305</v>
      </c>
      <c r="F914" t="s">
        <v>306</v>
      </c>
      <c r="G914" t="s">
        <v>750</v>
      </c>
      <c r="H914" t="s">
        <v>2894</v>
      </c>
      <c r="I914" t="s">
        <v>193</v>
      </c>
      <c r="J914" t="s">
        <v>308</v>
      </c>
      <c r="K914">
        <v>1</v>
      </c>
      <c r="M914">
        <v>1</v>
      </c>
      <c r="N914">
        <v>1</v>
      </c>
    </row>
    <row r="915" spans="1:14" x14ac:dyDescent="0.45">
      <c r="A915" t="s">
        <v>2958</v>
      </c>
      <c r="B915" t="s">
        <v>2959</v>
      </c>
      <c r="C915" t="s">
        <v>2936</v>
      </c>
      <c r="D915" t="s">
        <v>2937</v>
      </c>
      <c r="E915" t="s">
        <v>305</v>
      </c>
      <c r="F915" t="s">
        <v>306</v>
      </c>
      <c r="G915" t="s">
        <v>750</v>
      </c>
      <c r="H915" t="s">
        <v>2894</v>
      </c>
      <c r="I915" t="s">
        <v>193</v>
      </c>
      <c r="J915" t="s">
        <v>308</v>
      </c>
      <c r="K915">
        <v>1</v>
      </c>
      <c r="M915">
        <v>1</v>
      </c>
      <c r="N915">
        <v>1</v>
      </c>
    </row>
    <row r="916" spans="1:14" x14ac:dyDescent="0.45">
      <c r="A916" t="s">
        <v>2960</v>
      </c>
      <c r="B916" t="s">
        <v>2961</v>
      </c>
      <c r="C916" t="s">
        <v>2936</v>
      </c>
      <c r="D916" t="s">
        <v>2937</v>
      </c>
      <c r="E916" t="s">
        <v>305</v>
      </c>
      <c r="F916" t="s">
        <v>306</v>
      </c>
      <c r="G916" t="s">
        <v>750</v>
      </c>
      <c r="H916" t="s">
        <v>2894</v>
      </c>
      <c r="I916" t="s">
        <v>193</v>
      </c>
      <c r="J916" t="s">
        <v>308</v>
      </c>
      <c r="K916">
        <v>1</v>
      </c>
      <c r="M916">
        <v>1</v>
      </c>
      <c r="N916">
        <v>1</v>
      </c>
    </row>
    <row r="917" spans="1:14" x14ac:dyDescent="0.45">
      <c r="A917" t="s">
        <v>1343</v>
      </c>
      <c r="B917" t="s">
        <v>2962</v>
      </c>
      <c r="C917" t="s">
        <v>2963</v>
      </c>
      <c r="D917" t="s">
        <v>2964</v>
      </c>
      <c r="E917" t="s">
        <v>305</v>
      </c>
      <c r="F917" t="s">
        <v>306</v>
      </c>
      <c r="G917" t="s">
        <v>750</v>
      </c>
      <c r="H917" t="s">
        <v>2894</v>
      </c>
      <c r="I917" t="s">
        <v>193</v>
      </c>
      <c r="J917" t="s">
        <v>308</v>
      </c>
      <c r="K917">
        <v>1</v>
      </c>
      <c r="M917">
        <v>1</v>
      </c>
      <c r="N917">
        <v>1</v>
      </c>
    </row>
    <row r="918" spans="1:14" x14ac:dyDescent="0.45">
      <c r="A918" t="s">
        <v>2965</v>
      </c>
      <c r="B918" t="s">
        <v>2966</v>
      </c>
      <c r="C918" t="s">
        <v>2963</v>
      </c>
      <c r="D918" t="s">
        <v>2964</v>
      </c>
      <c r="E918" t="s">
        <v>305</v>
      </c>
      <c r="F918" t="s">
        <v>306</v>
      </c>
      <c r="G918" t="s">
        <v>750</v>
      </c>
      <c r="H918" t="s">
        <v>2894</v>
      </c>
      <c r="I918" t="s">
        <v>193</v>
      </c>
      <c r="J918" t="s">
        <v>308</v>
      </c>
      <c r="K918">
        <v>1</v>
      </c>
      <c r="M918">
        <v>1</v>
      </c>
      <c r="N918">
        <v>1</v>
      </c>
    </row>
    <row r="919" spans="1:14" x14ac:dyDescent="0.45">
      <c r="A919" t="s">
        <v>2967</v>
      </c>
      <c r="B919" t="s">
        <v>2968</v>
      </c>
      <c r="C919" t="s">
        <v>2963</v>
      </c>
      <c r="D919" t="s">
        <v>2964</v>
      </c>
      <c r="E919" t="s">
        <v>305</v>
      </c>
      <c r="F919" t="s">
        <v>306</v>
      </c>
      <c r="G919" t="s">
        <v>750</v>
      </c>
      <c r="H919" t="s">
        <v>2894</v>
      </c>
      <c r="I919" t="s">
        <v>193</v>
      </c>
      <c r="J919" t="s">
        <v>308</v>
      </c>
      <c r="K919">
        <v>1</v>
      </c>
      <c r="M919">
        <v>1</v>
      </c>
      <c r="N919">
        <v>1</v>
      </c>
    </row>
    <row r="920" spans="1:14" x14ac:dyDescent="0.45">
      <c r="A920" t="s">
        <v>2969</v>
      </c>
      <c r="B920" t="s">
        <v>2970</v>
      </c>
      <c r="C920" t="s">
        <v>2963</v>
      </c>
      <c r="D920" t="s">
        <v>2964</v>
      </c>
      <c r="E920" t="s">
        <v>305</v>
      </c>
      <c r="F920" t="s">
        <v>306</v>
      </c>
      <c r="G920" t="s">
        <v>750</v>
      </c>
      <c r="H920" t="s">
        <v>2894</v>
      </c>
      <c r="I920" t="s">
        <v>193</v>
      </c>
      <c r="J920" t="s">
        <v>308</v>
      </c>
      <c r="K920">
        <v>1</v>
      </c>
      <c r="M920">
        <v>1</v>
      </c>
      <c r="N920">
        <v>1</v>
      </c>
    </row>
    <row r="921" spans="1:14" x14ac:dyDescent="0.45">
      <c r="A921" t="s">
        <v>2971</v>
      </c>
      <c r="B921" t="s">
        <v>2972</v>
      </c>
      <c r="C921" t="s">
        <v>2963</v>
      </c>
      <c r="D921" t="s">
        <v>2964</v>
      </c>
      <c r="E921" t="s">
        <v>305</v>
      </c>
      <c r="F921" t="s">
        <v>306</v>
      </c>
      <c r="G921" t="s">
        <v>750</v>
      </c>
      <c r="H921" t="s">
        <v>2894</v>
      </c>
      <c r="I921" t="s">
        <v>193</v>
      </c>
      <c r="J921" t="s">
        <v>308</v>
      </c>
      <c r="K921">
        <v>1</v>
      </c>
      <c r="M921">
        <v>1</v>
      </c>
      <c r="N921">
        <v>1</v>
      </c>
    </row>
    <row r="922" spans="1:14" x14ac:dyDescent="0.45">
      <c r="A922" t="s">
        <v>2973</v>
      </c>
      <c r="B922" t="s">
        <v>2974</v>
      </c>
      <c r="C922" t="s">
        <v>2963</v>
      </c>
      <c r="D922" t="s">
        <v>2964</v>
      </c>
      <c r="E922" t="s">
        <v>305</v>
      </c>
      <c r="F922" t="s">
        <v>306</v>
      </c>
      <c r="G922" t="s">
        <v>750</v>
      </c>
      <c r="H922" t="s">
        <v>2894</v>
      </c>
      <c r="I922" t="s">
        <v>193</v>
      </c>
      <c r="J922" t="s">
        <v>308</v>
      </c>
      <c r="K922">
        <v>1</v>
      </c>
      <c r="M922">
        <v>1</v>
      </c>
      <c r="N922">
        <v>1</v>
      </c>
    </row>
    <row r="923" spans="1:14" x14ac:dyDescent="0.45">
      <c r="A923" t="s">
        <v>2975</v>
      </c>
      <c r="B923" t="s">
        <v>2976</v>
      </c>
      <c r="C923" t="s">
        <v>2963</v>
      </c>
      <c r="D923" t="s">
        <v>2964</v>
      </c>
      <c r="E923" t="s">
        <v>305</v>
      </c>
      <c r="F923" t="s">
        <v>306</v>
      </c>
      <c r="G923" t="s">
        <v>750</v>
      </c>
      <c r="H923" t="s">
        <v>2894</v>
      </c>
      <c r="I923" t="s">
        <v>193</v>
      </c>
      <c r="J923" t="s">
        <v>308</v>
      </c>
      <c r="K923">
        <v>1</v>
      </c>
      <c r="M923">
        <v>1</v>
      </c>
      <c r="N923">
        <v>1</v>
      </c>
    </row>
    <row r="924" spans="1:14" x14ac:dyDescent="0.45">
      <c r="A924" t="s">
        <v>2977</v>
      </c>
      <c r="B924" t="s">
        <v>2978</v>
      </c>
      <c r="C924" t="s">
        <v>2963</v>
      </c>
      <c r="D924" t="s">
        <v>2964</v>
      </c>
      <c r="E924" t="s">
        <v>305</v>
      </c>
      <c r="F924" t="s">
        <v>306</v>
      </c>
      <c r="G924" t="s">
        <v>750</v>
      </c>
      <c r="H924" t="s">
        <v>2894</v>
      </c>
      <c r="I924" t="s">
        <v>193</v>
      </c>
      <c r="J924" t="s">
        <v>308</v>
      </c>
      <c r="K924">
        <v>1</v>
      </c>
      <c r="M924">
        <v>1</v>
      </c>
      <c r="N924">
        <v>1</v>
      </c>
    </row>
    <row r="925" spans="1:14" x14ac:dyDescent="0.45">
      <c r="A925" t="s">
        <v>2880</v>
      </c>
      <c r="B925" t="s">
        <v>2881</v>
      </c>
      <c r="C925" t="s">
        <v>2882</v>
      </c>
      <c r="D925" t="s">
        <v>2883</v>
      </c>
      <c r="E925" t="s">
        <v>305</v>
      </c>
      <c r="F925" t="s">
        <v>306</v>
      </c>
      <c r="G925" t="s">
        <v>750</v>
      </c>
      <c r="H925" t="s">
        <v>254</v>
      </c>
      <c r="I925" t="s">
        <v>196</v>
      </c>
      <c r="J925" t="s">
        <v>309</v>
      </c>
      <c r="K925">
        <v>1</v>
      </c>
      <c r="M925">
        <v>1</v>
      </c>
      <c r="N925">
        <v>1</v>
      </c>
    </row>
    <row r="926" spans="1:14" x14ac:dyDescent="0.45">
      <c r="A926" t="s">
        <v>2884</v>
      </c>
      <c r="B926" t="s">
        <v>2885</v>
      </c>
      <c r="C926" t="s">
        <v>2882</v>
      </c>
      <c r="D926" t="s">
        <v>2883</v>
      </c>
      <c r="E926" t="s">
        <v>305</v>
      </c>
      <c r="F926" t="s">
        <v>306</v>
      </c>
      <c r="G926" t="s">
        <v>750</v>
      </c>
      <c r="H926" t="s">
        <v>254</v>
      </c>
      <c r="I926" t="s">
        <v>196</v>
      </c>
      <c r="J926" t="s">
        <v>309</v>
      </c>
      <c r="K926">
        <v>1</v>
      </c>
      <c r="M926">
        <v>1</v>
      </c>
      <c r="N926">
        <v>1</v>
      </c>
    </row>
    <row r="927" spans="1:14" x14ac:dyDescent="0.45">
      <c r="A927" t="s">
        <v>2890</v>
      </c>
      <c r="B927" t="s">
        <v>2891</v>
      </c>
      <c r="C927" t="s">
        <v>2882</v>
      </c>
      <c r="D927" t="s">
        <v>2883</v>
      </c>
      <c r="E927" t="s">
        <v>305</v>
      </c>
      <c r="F927" t="s">
        <v>306</v>
      </c>
      <c r="G927" t="s">
        <v>750</v>
      </c>
      <c r="H927" t="s">
        <v>254</v>
      </c>
      <c r="I927" t="s">
        <v>196</v>
      </c>
      <c r="J927" t="s">
        <v>309</v>
      </c>
      <c r="K927">
        <v>1</v>
      </c>
      <c r="M927">
        <v>1</v>
      </c>
      <c r="N927">
        <v>1</v>
      </c>
    </row>
    <row r="928" spans="1:14" x14ac:dyDescent="0.45">
      <c r="A928" t="s">
        <v>2899</v>
      </c>
      <c r="B928" t="s">
        <v>2900</v>
      </c>
      <c r="C928" t="s">
        <v>2901</v>
      </c>
      <c r="D928" t="s">
        <v>2902</v>
      </c>
      <c r="E928" t="s">
        <v>305</v>
      </c>
      <c r="F928" t="s">
        <v>306</v>
      </c>
      <c r="G928" t="s">
        <v>750</v>
      </c>
      <c r="H928" t="s">
        <v>254</v>
      </c>
      <c r="I928" t="s">
        <v>196</v>
      </c>
      <c r="J928" t="s">
        <v>309</v>
      </c>
      <c r="K928">
        <v>1</v>
      </c>
      <c r="M928">
        <v>1</v>
      </c>
      <c r="N928">
        <v>1</v>
      </c>
    </row>
    <row r="929" spans="1:14" x14ac:dyDescent="0.45">
      <c r="A929" t="s">
        <v>2907</v>
      </c>
      <c r="B929" t="s">
        <v>2908</v>
      </c>
      <c r="C929" t="s">
        <v>2901</v>
      </c>
      <c r="D929" t="s">
        <v>2902</v>
      </c>
      <c r="E929" t="s">
        <v>305</v>
      </c>
      <c r="F929" t="s">
        <v>306</v>
      </c>
      <c r="G929" t="s">
        <v>750</v>
      </c>
      <c r="H929" t="s">
        <v>254</v>
      </c>
      <c r="I929" t="s">
        <v>196</v>
      </c>
      <c r="J929" t="s">
        <v>309</v>
      </c>
      <c r="K929">
        <v>1</v>
      </c>
      <c r="M929">
        <v>1</v>
      </c>
      <c r="N929">
        <v>1</v>
      </c>
    </row>
    <row r="930" spans="1:14" x14ac:dyDescent="0.45">
      <c r="A930" t="s">
        <v>2911</v>
      </c>
      <c r="B930" t="s">
        <v>2912</v>
      </c>
      <c r="C930" t="s">
        <v>2901</v>
      </c>
      <c r="D930" t="s">
        <v>2902</v>
      </c>
      <c r="E930" t="s">
        <v>305</v>
      </c>
      <c r="F930" t="s">
        <v>306</v>
      </c>
      <c r="G930" t="s">
        <v>750</v>
      </c>
      <c r="H930" t="s">
        <v>254</v>
      </c>
      <c r="I930" t="s">
        <v>196</v>
      </c>
      <c r="J930" t="s">
        <v>309</v>
      </c>
      <c r="K930">
        <v>1</v>
      </c>
      <c r="M930">
        <v>1</v>
      </c>
      <c r="N930">
        <v>1</v>
      </c>
    </row>
    <row r="931" spans="1:14" x14ac:dyDescent="0.45">
      <c r="A931" t="s">
        <v>807</v>
      </c>
      <c r="B931" t="s">
        <v>2913</v>
      </c>
      <c r="C931" t="s">
        <v>2901</v>
      </c>
      <c r="D931" t="s">
        <v>2902</v>
      </c>
      <c r="E931" t="s">
        <v>305</v>
      </c>
      <c r="F931" t="s">
        <v>306</v>
      </c>
      <c r="G931" t="s">
        <v>750</v>
      </c>
      <c r="H931" t="s">
        <v>254</v>
      </c>
      <c r="I931" t="s">
        <v>196</v>
      </c>
      <c r="J931" t="s">
        <v>309</v>
      </c>
      <c r="K931">
        <v>1</v>
      </c>
      <c r="M931">
        <v>1</v>
      </c>
      <c r="N931">
        <v>1</v>
      </c>
    </row>
    <row r="932" spans="1:14" x14ac:dyDescent="0.45">
      <c r="A932" t="s">
        <v>1122</v>
      </c>
      <c r="B932" t="s">
        <v>2914</v>
      </c>
      <c r="C932" t="s">
        <v>2901</v>
      </c>
      <c r="D932" t="s">
        <v>2902</v>
      </c>
      <c r="E932" t="s">
        <v>305</v>
      </c>
      <c r="F932" t="s">
        <v>306</v>
      </c>
      <c r="G932" t="s">
        <v>750</v>
      </c>
      <c r="H932" t="s">
        <v>254</v>
      </c>
      <c r="I932" t="s">
        <v>196</v>
      </c>
      <c r="J932" t="s">
        <v>309</v>
      </c>
      <c r="K932">
        <v>1</v>
      </c>
      <c r="M932">
        <v>1</v>
      </c>
      <c r="N932">
        <v>1</v>
      </c>
    </row>
    <row r="933" spans="1:14" x14ac:dyDescent="0.45">
      <c r="A933" t="s">
        <v>1351</v>
      </c>
      <c r="B933" t="s">
        <v>2921</v>
      </c>
      <c r="C933" t="s">
        <v>2919</v>
      </c>
      <c r="D933" t="s">
        <v>2920</v>
      </c>
      <c r="E933" t="s">
        <v>305</v>
      </c>
      <c r="F933" t="s">
        <v>306</v>
      </c>
      <c r="G933" t="s">
        <v>750</v>
      </c>
      <c r="H933" t="s">
        <v>254</v>
      </c>
      <c r="I933" t="s">
        <v>196</v>
      </c>
      <c r="J933" t="s">
        <v>309</v>
      </c>
      <c r="K933">
        <v>1</v>
      </c>
      <c r="M933">
        <v>1</v>
      </c>
      <c r="N933">
        <v>1</v>
      </c>
    </row>
    <row r="934" spans="1:14" x14ac:dyDescent="0.45">
      <c r="A934" t="s">
        <v>2926</v>
      </c>
      <c r="B934" t="s">
        <v>2927</v>
      </c>
      <c r="C934" t="s">
        <v>2919</v>
      </c>
      <c r="D934" t="s">
        <v>2920</v>
      </c>
      <c r="E934" t="s">
        <v>305</v>
      </c>
      <c r="F934" t="s">
        <v>306</v>
      </c>
      <c r="G934" t="s">
        <v>750</v>
      </c>
      <c r="H934" t="s">
        <v>254</v>
      </c>
      <c r="I934" t="s">
        <v>196</v>
      </c>
      <c r="J934" t="s">
        <v>309</v>
      </c>
      <c r="K934">
        <v>1</v>
      </c>
      <c r="M934">
        <v>1</v>
      </c>
      <c r="N934">
        <v>1</v>
      </c>
    </row>
    <row r="935" spans="1:14" x14ac:dyDescent="0.45">
      <c r="A935" t="s">
        <v>2934</v>
      </c>
      <c r="B935" t="s">
        <v>2935</v>
      </c>
      <c r="C935" t="s">
        <v>2936</v>
      </c>
      <c r="D935" t="s">
        <v>2937</v>
      </c>
      <c r="E935" t="s">
        <v>305</v>
      </c>
      <c r="F935" t="s">
        <v>306</v>
      </c>
      <c r="G935" t="s">
        <v>750</v>
      </c>
      <c r="H935" t="s">
        <v>254</v>
      </c>
      <c r="I935" t="s">
        <v>196</v>
      </c>
      <c r="J935" t="s">
        <v>309</v>
      </c>
      <c r="K935">
        <v>1</v>
      </c>
      <c r="M935">
        <v>1</v>
      </c>
      <c r="N935">
        <v>1</v>
      </c>
    </row>
    <row r="936" spans="1:14" x14ac:dyDescent="0.45">
      <c r="A936" t="s">
        <v>2940</v>
      </c>
      <c r="B936" t="s">
        <v>2941</v>
      </c>
      <c r="C936" t="s">
        <v>2936</v>
      </c>
      <c r="D936" t="s">
        <v>2937</v>
      </c>
      <c r="E936" t="s">
        <v>305</v>
      </c>
      <c r="F936" t="s">
        <v>306</v>
      </c>
      <c r="G936" t="s">
        <v>750</v>
      </c>
      <c r="H936" t="s">
        <v>254</v>
      </c>
      <c r="I936" t="s">
        <v>196</v>
      </c>
      <c r="J936" t="s">
        <v>309</v>
      </c>
      <c r="K936">
        <v>1</v>
      </c>
      <c r="M936">
        <v>1</v>
      </c>
      <c r="N936">
        <v>1</v>
      </c>
    </row>
    <row r="937" spans="1:14" x14ac:dyDescent="0.45">
      <c r="A937" t="s">
        <v>288</v>
      </c>
      <c r="B937" t="s">
        <v>2947</v>
      </c>
      <c r="C937" t="s">
        <v>2936</v>
      </c>
      <c r="D937" t="s">
        <v>2937</v>
      </c>
      <c r="E937" t="s">
        <v>305</v>
      </c>
      <c r="F937" t="s">
        <v>306</v>
      </c>
      <c r="G937" t="s">
        <v>750</v>
      </c>
      <c r="H937" t="s">
        <v>254</v>
      </c>
      <c r="I937" t="s">
        <v>196</v>
      </c>
      <c r="J937" t="s">
        <v>309</v>
      </c>
      <c r="K937">
        <v>1</v>
      </c>
      <c r="M937">
        <v>1</v>
      </c>
      <c r="N937">
        <v>1</v>
      </c>
    </row>
    <row r="938" spans="1:14" x14ac:dyDescent="0.45">
      <c r="A938" t="s">
        <v>2950</v>
      </c>
      <c r="B938" t="s">
        <v>2951</v>
      </c>
      <c r="C938" t="s">
        <v>2936</v>
      </c>
      <c r="D938" t="s">
        <v>2937</v>
      </c>
      <c r="E938" t="s">
        <v>305</v>
      </c>
      <c r="F938" t="s">
        <v>306</v>
      </c>
      <c r="G938" t="s">
        <v>750</v>
      </c>
      <c r="H938" t="s">
        <v>254</v>
      </c>
      <c r="I938" t="s">
        <v>196</v>
      </c>
      <c r="J938" t="s">
        <v>309</v>
      </c>
      <c r="K938">
        <v>1</v>
      </c>
      <c r="M938">
        <v>1</v>
      </c>
      <c r="N938">
        <v>1</v>
      </c>
    </row>
    <row r="939" spans="1:14" x14ac:dyDescent="0.45">
      <c r="A939" t="s">
        <v>2954</v>
      </c>
      <c r="B939" t="s">
        <v>2955</v>
      </c>
      <c r="C939" t="s">
        <v>2936</v>
      </c>
      <c r="D939" t="s">
        <v>2937</v>
      </c>
      <c r="E939" t="s">
        <v>305</v>
      </c>
      <c r="F939" t="s">
        <v>306</v>
      </c>
      <c r="G939" t="s">
        <v>750</v>
      </c>
      <c r="H939" t="s">
        <v>254</v>
      </c>
      <c r="I939" t="s">
        <v>196</v>
      </c>
      <c r="J939" t="s">
        <v>309</v>
      </c>
      <c r="K939">
        <v>1</v>
      </c>
      <c r="M939">
        <v>1</v>
      </c>
      <c r="N939">
        <v>1</v>
      </c>
    </row>
    <row r="940" spans="1:14" x14ac:dyDescent="0.45">
      <c r="A940" t="s">
        <v>2627</v>
      </c>
      <c r="B940" t="s">
        <v>2956</v>
      </c>
      <c r="C940" t="s">
        <v>2936</v>
      </c>
      <c r="D940" t="s">
        <v>2937</v>
      </c>
      <c r="E940" t="s">
        <v>305</v>
      </c>
      <c r="F940" t="s">
        <v>306</v>
      </c>
      <c r="G940" t="s">
        <v>750</v>
      </c>
      <c r="H940" t="s">
        <v>254</v>
      </c>
      <c r="I940" t="s">
        <v>196</v>
      </c>
      <c r="J940" t="s">
        <v>309</v>
      </c>
      <c r="K940">
        <v>1</v>
      </c>
      <c r="M940">
        <v>1</v>
      </c>
      <c r="N940">
        <v>1</v>
      </c>
    </row>
    <row r="941" spans="1:14" x14ac:dyDescent="0.45">
      <c r="A941" t="s">
        <v>2979</v>
      </c>
      <c r="B941" t="s">
        <v>2980</v>
      </c>
      <c r="C941" t="s">
        <v>2963</v>
      </c>
      <c r="D941" t="s">
        <v>2964</v>
      </c>
      <c r="E941" t="s">
        <v>305</v>
      </c>
      <c r="F941" t="s">
        <v>306</v>
      </c>
      <c r="G941" t="s">
        <v>750</v>
      </c>
      <c r="H941" t="s">
        <v>254</v>
      </c>
      <c r="I941" t="s">
        <v>196</v>
      </c>
      <c r="J941" t="s">
        <v>309</v>
      </c>
      <c r="K941">
        <v>1</v>
      </c>
      <c r="M941">
        <v>1</v>
      </c>
      <c r="N941">
        <v>1</v>
      </c>
    </row>
    <row r="942" spans="1:14" x14ac:dyDescent="0.45">
      <c r="A942" t="s">
        <v>840</v>
      </c>
      <c r="B942" t="s">
        <v>2981</v>
      </c>
      <c r="C942" t="s">
        <v>2963</v>
      </c>
      <c r="D942" t="s">
        <v>2964</v>
      </c>
      <c r="E942" t="s">
        <v>305</v>
      </c>
      <c r="F942" t="s">
        <v>306</v>
      </c>
      <c r="G942" t="s">
        <v>750</v>
      </c>
      <c r="H942" t="s">
        <v>254</v>
      </c>
      <c r="I942" t="s">
        <v>196</v>
      </c>
      <c r="J942" t="s">
        <v>309</v>
      </c>
      <c r="K942">
        <v>1</v>
      </c>
      <c r="M942">
        <v>1</v>
      </c>
      <c r="N942">
        <v>1</v>
      </c>
    </row>
    <row r="943" spans="1:14" x14ac:dyDescent="0.45">
      <c r="A943" t="s">
        <v>2886</v>
      </c>
      <c r="B943" t="s">
        <v>2887</v>
      </c>
      <c r="C943" t="s">
        <v>2882</v>
      </c>
      <c r="D943" t="s">
        <v>2883</v>
      </c>
      <c r="E943" t="s">
        <v>305</v>
      </c>
      <c r="F943" t="s">
        <v>306</v>
      </c>
      <c r="G943" t="s">
        <v>750</v>
      </c>
      <c r="H943" t="s">
        <v>1003</v>
      </c>
      <c r="I943" t="s">
        <v>199</v>
      </c>
      <c r="J943" t="s">
        <v>310</v>
      </c>
      <c r="M943">
        <v>1</v>
      </c>
      <c r="N943">
        <v>1</v>
      </c>
    </row>
    <row r="944" spans="1:14" x14ac:dyDescent="0.45">
      <c r="A944" t="s">
        <v>2888</v>
      </c>
      <c r="B944" t="s">
        <v>2889</v>
      </c>
      <c r="C944" t="s">
        <v>2882</v>
      </c>
      <c r="D944" t="s">
        <v>2883</v>
      </c>
      <c r="E944" t="s">
        <v>305</v>
      </c>
      <c r="F944" t="s">
        <v>306</v>
      </c>
      <c r="G944" t="s">
        <v>750</v>
      </c>
      <c r="H944" t="s">
        <v>1003</v>
      </c>
      <c r="I944" t="s">
        <v>199</v>
      </c>
      <c r="J944" t="s">
        <v>310</v>
      </c>
      <c r="M944">
        <v>1</v>
      </c>
      <c r="N944">
        <v>1</v>
      </c>
    </row>
    <row r="945" spans="1:14" x14ac:dyDescent="0.45">
      <c r="A945" t="s">
        <v>2895</v>
      </c>
      <c r="B945" t="s">
        <v>2896</v>
      </c>
      <c r="C945" t="s">
        <v>2882</v>
      </c>
      <c r="D945" t="s">
        <v>2883</v>
      </c>
      <c r="E945" t="s">
        <v>305</v>
      </c>
      <c r="F945" t="s">
        <v>306</v>
      </c>
      <c r="G945" t="s">
        <v>750</v>
      </c>
      <c r="H945" t="s">
        <v>1003</v>
      </c>
      <c r="I945" t="s">
        <v>199</v>
      </c>
      <c r="J945" t="s">
        <v>310</v>
      </c>
      <c r="M945">
        <v>1</v>
      </c>
      <c r="N945">
        <v>1</v>
      </c>
    </row>
    <row r="946" spans="1:14" x14ac:dyDescent="0.45">
      <c r="A946" t="s">
        <v>2905</v>
      </c>
      <c r="B946" t="s">
        <v>2906</v>
      </c>
      <c r="C946" t="s">
        <v>2901</v>
      </c>
      <c r="D946" t="s">
        <v>2902</v>
      </c>
      <c r="E946" t="s">
        <v>305</v>
      </c>
      <c r="F946" t="s">
        <v>306</v>
      </c>
      <c r="G946" t="s">
        <v>750</v>
      </c>
      <c r="H946" t="s">
        <v>1003</v>
      </c>
      <c r="I946" t="s">
        <v>199</v>
      </c>
      <c r="J946" t="s">
        <v>310</v>
      </c>
      <c r="M946">
        <v>1</v>
      </c>
      <c r="N946">
        <v>1</v>
      </c>
    </row>
    <row r="947" spans="1:14" x14ac:dyDescent="0.45">
      <c r="A947" t="s">
        <v>2909</v>
      </c>
      <c r="B947" t="s">
        <v>2910</v>
      </c>
      <c r="C947" t="s">
        <v>2901</v>
      </c>
      <c r="D947" t="s">
        <v>2902</v>
      </c>
      <c r="E947" t="s">
        <v>305</v>
      </c>
      <c r="F947" t="s">
        <v>306</v>
      </c>
      <c r="G947" t="s">
        <v>750</v>
      </c>
      <c r="H947" t="s">
        <v>1003</v>
      </c>
      <c r="I947" t="s">
        <v>199</v>
      </c>
      <c r="J947" t="s">
        <v>310</v>
      </c>
      <c r="M947">
        <v>1</v>
      </c>
      <c r="N947">
        <v>1</v>
      </c>
    </row>
    <row r="948" spans="1:14" x14ac:dyDescent="0.45">
      <c r="A948" t="s">
        <v>2915</v>
      </c>
      <c r="B948" t="s">
        <v>2916</v>
      </c>
      <c r="C948" t="s">
        <v>2901</v>
      </c>
      <c r="D948" t="s">
        <v>2902</v>
      </c>
      <c r="E948" t="s">
        <v>305</v>
      </c>
      <c r="F948" t="s">
        <v>306</v>
      </c>
      <c r="G948" t="s">
        <v>750</v>
      </c>
      <c r="H948" t="s">
        <v>1003</v>
      </c>
      <c r="I948" t="s">
        <v>199</v>
      </c>
      <c r="J948" t="s">
        <v>310</v>
      </c>
      <c r="M948">
        <v>1</v>
      </c>
      <c r="N948">
        <v>1</v>
      </c>
    </row>
    <row r="949" spans="1:14" x14ac:dyDescent="0.45">
      <c r="A949" t="s">
        <v>2917</v>
      </c>
      <c r="B949" t="s">
        <v>2918</v>
      </c>
      <c r="C949" t="s">
        <v>2919</v>
      </c>
      <c r="D949" t="s">
        <v>2920</v>
      </c>
      <c r="E949" t="s">
        <v>305</v>
      </c>
      <c r="F949" t="s">
        <v>306</v>
      </c>
      <c r="G949" t="s">
        <v>750</v>
      </c>
      <c r="H949" t="s">
        <v>1003</v>
      </c>
      <c r="I949" t="s">
        <v>199</v>
      </c>
      <c r="J949" t="s">
        <v>310</v>
      </c>
      <c r="M949">
        <v>1</v>
      </c>
      <c r="N949">
        <v>1</v>
      </c>
    </row>
    <row r="950" spans="1:14" x14ac:dyDescent="0.45">
      <c r="A950" t="s">
        <v>2922</v>
      </c>
      <c r="B950" t="s">
        <v>2923</v>
      </c>
      <c r="C950" t="s">
        <v>2919</v>
      </c>
      <c r="D950" t="s">
        <v>2920</v>
      </c>
      <c r="E950" t="s">
        <v>305</v>
      </c>
      <c r="F950" t="s">
        <v>306</v>
      </c>
      <c r="G950" t="s">
        <v>750</v>
      </c>
      <c r="H950" t="s">
        <v>1003</v>
      </c>
      <c r="I950" t="s">
        <v>199</v>
      </c>
      <c r="J950" t="s">
        <v>310</v>
      </c>
      <c r="M950">
        <v>1</v>
      </c>
      <c r="N950">
        <v>1</v>
      </c>
    </row>
    <row r="951" spans="1:14" x14ac:dyDescent="0.45">
      <c r="A951" t="s">
        <v>2924</v>
      </c>
      <c r="B951" t="s">
        <v>2925</v>
      </c>
      <c r="C951" t="s">
        <v>2919</v>
      </c>
      <c r="D951" t="s">
        <v>2920</v>
      </c>
      <c r="E951" t="s">
        <v>305</v>
      </c>
      <c r="F951" t="s">
        <v>306</v>
      </c>
      <c r="G951" t="s">
        <v>750</v>
      </c>
      <c r="H951" t="s">
        <v>1003</v>
      </c>
      <c r="I951" t="s">
        <v>199</v>
      </c>
      <c r="J951" t="s">
        <v>310</v>
      </c>
      <c r="M951">
        <v>1</v>
      </c>
      <c r="N951">
        <v>1</v>
      </c>
    </row>
    <row r="952" spans="1:14" x14ac:dyDescent="0.45">
      <c r="A952" t="s">
        <v>2928</v>
      </c>
      <c r="B952" t="s">
        <v>2929</v>
      </c>
      <c r="C952" t="s">
        <v>2919</v>
      </c>
      <c r="D952" t="s">
        <v>2920</v>
      </c>
      <c r="E952" t="s">
        <v>305</v>
      </c>
      <c r="F952" t="s">
        <v>306</v>
      </c>
      <c r="G952" t="s">
        <v>750</v>
      </c>
      <c r="H952" t="s">
        <v>1003</v>
      </c>
      <c r="I952" t="s">
        <v>199</v>
      </c>
      <c r="J952" t="s">
        <v>310</v>
      </c>
      <c r="M952">
        <v>1</v>
      </c>
      <c r="N952">
        <v>1</v>
      </c>
    </row>
    <row r="953" spans="1:14" x14ac:dyDescent="0.45">
      <c r="A953" t="s">
        <v>2930</v>
      </c>
      <c r="B953" t="s">
        <v>2931</v>
      </c>
      <c r="C953" t="s">
        <v>2919</v>
      </c>
      <c r="D953" t="s">
        <v>2920</v>
      </c>
      <c r="E953" t="s">
        <v>305</v>
      </c>
      <c r="F953" t="s">
        <v>306</v>
      </c>
      <c r="G953" t="s">
        <v>750</v>
      </c>
      <c r="H953" t="s">
        <v>1003</v>
      </c>
      <c r="I953" t="s">
        <v>199</v>
      </c>
      <c r="J953" t="s">
        <v>310</v>
      </c>
      <c r="M953">
        <v>1</v>
      </c>
      <c r="N953">
        <v>1</v>
      </c>
    </row>
    <row r="954" spans="1:14" x14ac:dyDescent="0.45">
      <c r="A954" t="s">
        <v>2932</v>
      </c>
      <c r="B954" t="s">
        <v>2933</v>
      </c>
      <c r="C954" t="s">
        <v>2919</v>
      </c>
      <c r="D954" t="s">
        <v>2920</v>
      </c>
      <c r="E954" t="s">
        <v>305</v>
      </c>
      <c r="F954" t="s">
        <v>306</v>
      </c>
      <c r="G954" t="s">
        <v>750</v>
      </c>
      <c r="H954" t="s">
        <v>1003</v>
      </c>
      <c r="I954" t="s">
        <v>199</v>
      </c>
      <c r="J954" t="s">
        <v>310</v>
      </c>
      <c r="M954">
        <v>1</v>
      </c>
      <c r="N954">
        <v>1</v>
      </c>
    </row>
    <row r="955" spans="1:14" x14ac:dyDescent="0.45">
      <c r="A955" t="s">
        <v>2945</v>
      </c>
      <c r="B955" t="s">
        <v>2946</v>
      </c>
      <c r="C955" t="s">
        <v>2936</v>
      </c>
      <c r="D955" t="s">
        <v>2937</v>
      </c>
      <c r="E955" t="s">
        <v>305</v>
      </c>
      <c r="F955" t="s">
        <v>306</v>
      </c>
      <c r="G955" t="s">
        <v>750</v>
      </c>
      <c r="H955" t="s">
        <v>1003</v>
      </c>
      <c r="I955" t="s">
        <v>199</v>
      </c>
      <c r="J955" t="s">
        <v>310</v>
      </c>
      <c r="M955">
        <v>1</v>
      </c>
      <c r="N955">
        <v>1</v>
      </c>
    </row>
    <row r="956" spans="1:14" x14ac:dyDescent="0.45">
      <c r="A956" t="s">
        <v>305</v>
      </c>
      <c r="B956" t="s">
        <v>2957</v>
      </c>
      <c r="C956" t="s">
        <v>2936</v>
      </c>
      <c r="D956" t="s">
        <v>2937</v>
      </c>
      <c r="E956" t="s">
        <v>305</v>
      </c>
      <c r="F956" t="s">
        <v>306</v>
      </c>
      <c r="G956" t="s">
        <v>750</v>
      </c>
      <c r="H956" t="s">
        <v>1644</v>
      </c>
      <c r="I956" t="s">
        <v>193</v>
      </c>
      <c r="J956" t="s">
        <v>312</v>
      </c>
      <c r="K956">
        <v>1</v>
      </c>
      <c r="M956">
        <v>1</v>
      </c>
      <c r="N956">
        <v>1</v>
      </c>
    </row>
    <row r="957" spans="1:14" x14ac:dyDescent="0.45">
      <c r="A957" t="s">
        <v>2982</v>
      </c>
      <c r="B957" t="s">
        <v>2983</v>
      </c>
      <c r="C957" t="s">
        <v>2984</v>
      </c>
      <c r="D957" t="s">
        <v>2985</v>
      </c>
      <c r="E957" t="s">
        <v>313</v>
      </c>
      <c r="F957" t="s">
        <v>314</v>
      </c>
      <c r="G957" t="s">
        <v>750</v>
      </c>
      <c r="H957" t="s">
        <v>751</v>
      </c>
      <c r="I957" t="s">
        <v>199</v>
      </c>
      <c r="J957" t="s">
        <v>315</v>
      </c>
      <c r="M957">
        <v>1</v>
      </c>
      <c r="N957">
        <v>1</v>
      </c>
    </row>
    <row r="958" spans="1:14" x14ac:dyDescent="0.45">
      <c r="A958" t="s">
        <v>2986</v>
      </c>
      <c r="B958" t="s">
        <v>2987</v>
      </c>
      <c r="C958" t="s">
        <v>2984</v>
      </c>
      <c r="D958" t="s">
        <v>2985</v>
      </c>
      <c r="E958" t="s">
        <v>313</v>
      </c>
      <c r="F958" t="s">
        <v>314</v>
      </c>
      <c r="G958" t="s">
        <v>750</v>
      </c>
      <c r="H958" t="s">
        <v>751</v>
      </c>
      <c r="I958" t="s">
        <v>199</v>
      </c>
      <c r="J958" t="s">
        <v>315</v>
      </c>
      <c r="M958">
        <v>1</v>
      </c>
      <c r="N958">
        <v>1</v>
      </c>
    </row>
    <row r="959" spans="1:14" x14ac:dyDescent="0.45">
      <c r="A959" t="s">
        <v>2988</v>
      </c>
      <c r="B959" t="s">
        <v>2989</v>
      </c>
      <c r="C959" t="s">
        <v>2984</v>
      </c>
      <c r="D959" t="s">
        <v>2985</v>
      </c>
      <c r="E959" t="s">
        <v>313</v>
      </c>
      <c r="F959" t="s">
        <v>314</v>
      </c>
      <c r="G959" t="s">
        <v>750</v>
      </c>
      <c r="H959" t="s">
        <v>751</v>
      </c>
      <c r="I959" t="s">
        <v>199</v>
      </c>
      <c r="J959" t="s">
        <v>315</v>
      </c>
      <c r="M959">
        <v>1</v>
      </c>
      <c r="N959">
        <v>1</v>
      </c>
    </row>
    <row r="960" spans="1:14" x14ac:dyDescent="0.45">
      <c r="A960" t="s">
        <v>2990</v>
      </c>
      <c r="B960" t="s">
        <v>2991</v>
      </c>
      <c r="C960" t="s">
        <v>2984</v>
      </c>
      <c r="D960" t="s">
        <v>2985</v>
      </c>
      <c r="E960" t="s">
        <v>313</v>
      </c>
      <c r="F960" t="s">
        <v>314</v>
      </c>
      <c r="G960" t="s">
        <v>750</v>
      </c>
      <c r="H960" t="s">
        <v>751</v>
      </c>
      <c r="I960" t="s">
        <v>199</v>
      </c>
      <c r="J960" t="s">
        <v>315</v>
      </c>
      <c r="M960">
        <v>1</v>
      </c>
      <c r="N960">
        <v>1</v>
      </c>
    </row>
    <row r="961" spans="1:14" x14ac:dyDescent="0.45">
      <c r="A961" t="s">
        <v>2992</v>
      </c>
      <c r="B961" t="s">
        <v>2993</v>
      </c>
      <c r="C961" t="s">
        <v>2984</v>
      </c>
      <c r="D961" t="s">
        <v>2985</v>
      </c>
      <c r="E961" t="s">
        <v>313</v>
      </c>
      <c r="F961" t="s">
        <v>314</v>
      </c>
      <c r="G961" t="s">
        <v>750</v>
      </c>
      <c r="H961" t="s">
        <v>751</v>
      </c>
      <c r="I961" t="s">
        <v>199</v>
      </c>
      <c r="J961" t="s">
        <v>315</v>
      </c>
      <c r="M961">
        <v>1</v>
      </c>
      <c r="N961">
        <v>1</v>
      </c>
    </row>
    <row r="962" spans="1:14" x14ac:dyDescent="0.45">
      <c r="A962" t="s">
        <v>2994</v>
      </c>
      <c r="B962" t="s">
        <v>2995</v>
      </c>
      <c r="C962" t="s">
        <v>2984</v>
      </c>
      <c r="D962" t="s">
        <v>2985</v>
      </c>
      <c r="E962" t="s">
        <v>313</v>
      </c>
      <c r="F962" t="s">
        <v>314</v>
      </c>
      <c r="G962" t="s">
        <v>750</v>
      </c>
      <c r="H962" t="s">
        <v>751</v>
      </c>
      <c r="I962" t="s">
        <v>199</v>
      </c>
      <c r="J962" t="s">
        <v>315</v>
      </c>
      <c r="M962">
        <v>1</v>
      </c>
      <c r="N962">
        <v>1</v>
      </c>
    </row>
    <row r="963" spans="1:14" x14ac:dyDescent="0.45">
      <c r="A963" t="s">
        <v>2996</v>
      </c>
      <c r="B963" t="s">
        <v>2997</v>
      </c>
      <c r="C963" t="s">
        <v>2984</v>
      </c>
      <c r="D963" t="s">
        <v>2985</v>
      </c>
      <c r="E963" t="s">
        <v>313</v>
      </c>
      <c r="F963" t="s">
        <v>314</v>
      </c>
      <c r="G963" t="s">
        <v>750</v>
      </c>
      <c r="H963" t="s">
        <v>751</v>
      </c>
      <c r="I963" t="s">
        <v>199</v>
      </c>
      <c r="J963" t="s">
        <v>315</v>
      </c>
      <c r="M963">
        <v>1</v>
      </c>
      <c r="N963">
        <v>1</v>
      </c>
    </row>
    <row r="964" spans="1:14" x14ac:dyDescent="0.45">
      <c r="A964" t="s">
        <v>2998</v>
      </c>
      <c r="B964" t="s">
        <v>2999</v>
      </c>
      <c r="C964" t="s">
        <v>2984</v>
      </c>
      <c r="D964" t="s">
        <v>2985</v>
      </c>
      <c r="E964" t="s">
        <v>313</v>
      </c>
      <c r="F964" t="s">
        <v>314</v>
      </c>
      <c r="G964" t="s">
        <v>750</v>
      </c>
      <c r="H964" t="s">
        <v>751</v>
      </c>
      <c r="I964" t="s">
        <v>199</v>
      </c>
      <c r="J964" t="s">
        <v>315</v>
      </c>
      <c r="M964">
        <v>1</v>
      </c>
      <c r="N964">
        <v>1</v>
      </c>
    </row>
    <row r="965" spans="1:14" x14ac:dyDescent="0.45">
      <c r="A965" t="s">
        <v>3000</v>
      </c>
      <c r="B965" t="s">
        <v>3001</v>
      </c>
      <c r="C965" t="s">
        <v>3002</v>
      </c>
      <c r="D965" t="s">
        <v>3003</v>
      </c>
      <c r="E965" t="s">
        <v>313</v>
      </c>
      <c r="F965" t="s">
        <v>314</v>
      </c>
      <c r="G965" t="s">
        <v>750</v>
      </c>
      <c r="H965" t="s">
        <v>751</v>
      </c>
      <c r="I965" t="s">
        <v>199</v>
      </c>
      <c r="J965" t="s">
        <v>315</v>
      </c>
      <c r="M965">
        <v>1</v>
      </c>
      <c r="N965">
        <v>1</v>
      </c>
    </row>
    <row r="966" spans="1:14" x14ac:dyDescent="0.45">
      <c r="A966" t="s">
        <v>3004</v>
      </c>
      <c r="B966" t="s">
        <v>3005</v>
      </c>
      <c r="C966" t="s">
        <v>3002</v>
      </c>
      <c r="D966" t="s">
        <v>3003</v>
      </c>
      <c r="E966" t="s">
        <v>313</v>
      </c>
      <c r="F966" t="s">
        <v>314</v>
      </c>
      <c r="G966" t="s">
        <v>750</v>
      </c>
      <c r="H966" t="s">
        <v>751</v>
      </c>
      <c r="I966" t="s">
        <v>199</v>
      </c>
      <c r="J966" t="s">
        <v>315</v>
      </c>
      <c r="M966">
        <v>1</v>
      </c>
      <c r="N966">
        <v>1</v>
      </c>
    </row>
    <row r="967" spans="1:14" x14ac:dyDescent="0.45">
      <c r="A967" t="s">
        <v>3006</v>
      </c>
      <c r="B967" t="s">
        <v>3007</v>
      </c>
      <c r="C967" t="s">
        <v>3002</v>
      </c>
      <c r="D967" t="s">
        <v>3003</v>
      </c>
      <c r="E967" t="s">
        <v>313</v>
      </c>
      <c r="F967" t="s">
        <v>314</v>
      </c>
      <c r="G967" t="s">
        <v>750</v>
      </c>
      <c r="H967" t="s">
        <v>751</v>
      </c>
      <c r="I967" t="s">
        <v>199</v>
      </c>
      <c r="J967" t="s">
        <v>315</v>
      </c>
      <c r="M967">
        <v>1</v>
      </c>
      <c r="N967">
        <v>1</v>
      </c>
    </row>
    <row r="968" spans="1:14" x14ac:dyDescent="0.45">
      <c r="A968" t="s">
        <v>3008</v>
      </c>
      <c r="B968" t="s">
        <v>3009</v>
      </c>
      <c r="C968" t="s">
        <v>3002</v>
      </c>
      <c r="D968" t="s">
        <v>3003</v>
      </c>
      <c r="E968" t="s">
        <v>313</v>
      </c>
      <c r="F968" t="s">
        <v>314</v>
      </c>
      <c r="G968" t="s">
        <v>750</v>
      </c>
      <c r="H968" t="s">
        <v>751</v>
      </c>
      <c r="I968" t="s">
        <v>199</v>
      </c>
      <c r="J968" t="s">
        <v>315</v>
      </c>
      <c r="M968">
        <v>1</v>
      </c>
      <c r="N968">
        <v>1</v>
      </c>
    </row>
    <row r="969" spans="1:14" x14ac:dyDescent="0.45">
      <c r="A969" t="s">
        <v>3010</v>
      </c>
      <c r="B969" t="s">
        <v>3011</v>
      </c>
      <c r="C969" t="s">
        <v>3002</v>
      </c>
      <c r="D969" t="s">
        <v>3003</v>
      </c>
      <c r="E969" t="s">
        <v>313</v>
      </c>
      <c r="F969" t="s">
        <v>314</v>
      </c>
      <c r="G969" t="s">
        <v>750</v>
      </c>
      <c r="H969" t="s">
        <v>751</v>
      </c>
      <c r="I969" t="s">
        <v>199</v>
      </c>
      <c r="J969" t="s">
        <v>315</v>
      </c>
      <c r="M969">
        <v>1</v>
      </c>
      <c r="N969">
        <v>1</v>
      </c>
    </row>
    <row r="970" spans="1:14" x14ac:dyDescent="0.45">
      <c r="A970" t="s">
        <v>3012</v>
      </c>
      <c r="B970" t="s">
        <v>3013</v>
      </c>
      <c r="C970" t="s">
        <v>3002</v>
      </c>
      <c r="D970" t="s">
        <v>3003</v>
      </c>
      <c r="E970" t="s">
        <v>313</v>
      </c>
      <c r="F970" t="s">
        <v>314</v>
      </c>
      <c r="G970" t="s">
        <v>750</v>
      </c>
      <c r="H970" t="s">
        <v>751</v>
      </c>
      <c r="I970" t="s">
        <v>199</v>
      </c>
      <c r="J970" t="s">
        <v>315</v>
      </c>
      <c r="M970">
        <v>1</v>
      </c>
      <c r="N970">
        <v>1</v>
      </c>
    </row>
    <row r="971" spans="1:14" x14ac:dyDescent="0.45">
      <c r="A971" t="s">
        <v>3014</v>
      </c>
      <c r="B971" t="s">
        <v>3015</v>
      </c>
      <c r="C971" t="s">
        <v>3002</v>
      </c>
      <c r="D971" t="s">
        <v>3003</v>
      </c>
      <c r="E971" t="s">
        <v>313</v>
      </c>
      <c r="F971" t="s">
        <v>314</v>
      </c>
      <c r="G971" t="s">
        <v>750</v>
      </c>
      <c r="H971" t="s">
        <v>751</v>
      </c>
      <c r="I971" t="s">
        <v>199</v>
      </c>
      <c r="J971" t="s">
        <v>315</v>
      </c>
      <c r="M971">
        <v>1</v>
      </c>
      <c r="N971">
        <v>1</v>
      </c>
    </row>
    <row r="972" spans="1:14" x14ac:dyDescent="0.45">
      <c r="A972" t="s">
        <v>3016</v>
      </c>
      <c r="B972" t="s">
        <v>3017</v>
      </c>
      <c r="C972" t="s">
        <v>3002</v>
      </c>
      <c r="D972" t="s">
        <v>3003</v>
      </c>
      <c r="E972" t="s">
        <v>313</v>
      </c>
      <c r="F972" t="s">
        <v>314</v>
      </c>
      <c r="G972" t="s">
        <v>750</v>
      </c>
      <c r="H972" t="s">
        <v>751</v>
      </c>
      <c r="I972" t="s">
        <v>199</v>
      </c>
      <c r="J972" t="s">
        <v>315</v>
      </c>
      <c r="M972">
        <v>1</v>
      </c>
      <c r="N972">
        <v>1</v>
      </c>
    </row>
    <row r="973" spans="1:14" x14ac:dyDescent="0.45">
      <c r="A973" t="s">
        <v>3018</v>
      </c>
      <c r="B973" t="s">
        <v>3019</v>
      </c>
      <c r="C973" t="s">
        <v>3002</v>
      </c>
      <c r="D973" t="s">
        <v>3003</v>
      </c>
      <c r="E973" t="s">
        <v>313</v>
      </c>
      <c r="F973" t="s">
        <v>314</v>
      </c>
      <c r="G973" t="s">
        <v>750</v>
      </c>
      <c r="H973" t="s">
        <v>751</v>
      </c>
      <c r="I973" t="s">
        <v>199</v>
      </c>
      <c r="J973" t="s">
        <v>315</v>
      </c>
      <c r="M973">
        <v>1</v>
      </c>
      <c r="N973">
        <v>1</v>
      </c>
    </row>
    <row r="974" spans="1:14" x14ac:dyDescent="0.45">
      <c r="A974" t="s">
        <v>3020</v>
      </c>
      <c r="B974" t="s">
        <v>3021</v>
      </c>
      <c r="C974" t="s">
        <v>3002</v>
      </c>
      <c r="D974" t="s">
        <v>3003</v>
      </c>
      <c r="E974" t="s">
        <v>313</v>
      </c>
      <c r="F974" t="s">
        <v>314</v>
      </c>
      <c r="G974" t="s">
        <v>750</v>
      </c>
      <c r="H974" t="s">
        <v>751</v>
      </c>
      <c r="I974" t="s">
        <v>199</v>
      </c>
      <c r="J974" t="s">
        <v>315</v>
      </c>
      <c r="M974">
        <v>1</v>
      </c>
      <c r="N974">
        <v>1</v>
      </c>
    </row>
    <row r="975" spans="1:14" x14ac:dyDescent="0.45">
      <c r="A975" t="s">
        <v>870</v>
      </c>
      <c r="B975" t="s">
        <v>3022</v>
      </c>
      <c r="C975" t="s">
        <v>3002</v>
      </c>
      <c r="D975" t="s">
        <v>3003</v>
      </c>
      <c r="E975" t="s">
        <v>313</v>
      </c>
      <c r="F975" t="s">
        <v>314</v>
      </c>
      <c r="G975" t="s">
        <v>750</v>
      </c>
      <c r="H975" t="s">
        <v>751</v>
      </c>
      <c r="I975" t="s">
        <v>199</v>
      </c>
      <c r="J975" t="s">
        <v>315</v>
      </c>
      <c r="M975">
        <v>1</v>
      </c>
      <c r="N975">
        <v>1</v>
      </c>
    </row>
    <row r="976" spans="1:14" x14ac:dyDescent="0.45">
      <c r="A976" t="s">
        <v>2301</v>
      </c>
      <c r="B976" t="s">
        <v>3023</v>
      </c>
      <c r="C976" t="s">
        <v>3002</v>
      </c>
      <c r="D976" t="s">
        <v>3003</v>
      </c>
      <c r="E976" t="s">
        <v>313</v>
      </c>
      <c r="F976" t="s">
        <v>314</v>
      </c>
      <c r="G976" t="s">
        <v>750</v>
      </c>
      <c r="H976" t="s">
        <v>751</v>
      </c>
      <c r="I976" t="s">
        <v>199</v>
      </c>
      <c r="J976" t="s">
        <v>315</v>
      </c>
      <c r="M976">
        <v>1</v>
      </c>
      <c r="N976">
        <v>1</v>
      </c>
    </row>
    <row r="977" spans="1:14" x14ac:dyDescent="0.45">
      <c r="A977" t="s">
        <v>3024</v>
      </c>
      <c r="B977" t="s">
        <v>3025</v>
      </c>
      <c r="C977" t="s">
        <v>3002</v>
      </c>
      <c r="D977" t="s">
        <v>3003</v>
      </c>
      <c r="E977" t="s">
        <v>313</v>
      </c>
      <c r="F977" t="s">
        <v>314</v>
      </c>
      <c r="G977" t="s">
        <v>750</v>
      </c>
      <c r="H977" t="s">
        <v>751</v>
      </c>
      <c r="I977" t="s">
        <v>199</v>
      </c>
      <c r="J977" t="s">
        <v>315</v>
      </c>
      <c r="M977">
        <v>1</v>
      </c>
      <c r="N977">
        <v>1</v>
      </c>
    </row>
    <row r="978" spans="1:14" x14ac:dyDescent="0.45">
      <c r="A978" t="s">
        <v>3026</v>
      </c>
      <c r="B978" t="s">
        <v>3027</v>
      </c>
      <c r="C978" t="s">
        <v>3002</v>
      </c>
      <c r="D978" t="s">
        <v>3003</v>
      </c>
      <c r="E978" t="s">
        <v>313</v>
      </c>
      <c r="F978" t="s">
        <v>314</v>
      </c>
      <c r="G978" t="s">
        <v>750</v>
      </c>
      <c r="H978" t="s">
        <v>751</v>
      </c>
      <c r="I978" t="s">
        <v>199</v>
      </c>
      <c r="J978" t="s">
        <v>315</v>
      </c>
      <c r="M978">
        <v>1</v>
      </c>
      <c r="N978">
        <v>1</v>
      </c>
    </row>
    <row r="979" spans="1:14" x14ac:dyDescent="0.45">
      <c r="A979" t="s">
        <v>3028</v>
      </c>
      <c r="B979" t="s">
        <v>3029</v>
      </c>
      <c r="C979" t="s">
        <v>3002</v>
      </c>
      <c r="D979" t="s">
        <v>3003</v>
      </c>
      <c r="E979" t="s">
        <v>313</v>
      </c>
      <c r="F979" t="s">
        <v>314</v>
      </c>
      <c r="G979" t="s">
        <v>750</v>
      </c>
      <c r="H979" t="s">
        <v>751</v>
      </c>
      <c r="I979" t="s">
        <v>199</v>
      </c>
      <c r="J979" t="s">
        <v>315</v>
      </c>
      <c r="M979">
        <v>1</v>
      </c>
      <c r="N979">
        <v>1</v>
      </c>
    </row>
    <row r="980" spans="1:14" x14ac:dyDescent="0.45">
      <c r="A980" t="s">
        <v>3030</v>
      </c>
      <c r="B980" t="s">
        <v>3031</v>
      </c>
      <c r="C980" t="s">
        <v>3002</v>
      </c>
      <c r="D980" t="s">
        <v>3003</v>
      </c>
      <c r="E980" t="s">
        <v>313</v>
      </c>
      <c r="F980" t="s">
        <v>314</v>
      </c>
      <c r="G980" t="s">
        <v>750</v>
      </c>
      <c r="H980" t="s">
        <v>751</v>
      </c>
      <c r="I980" t="s">
        <v>199</v>
      </c>
      <c r="J980" t="s">
        <v>315</v>
      </c>
      <c r="M980">
        <v>1</v>
      </c>
      <c r="N980">
        <v>1</v>
      </c>
    </row>
    <row r="981" spans="1:14" x14ac:dyDescent="0.45">
      <c r="A981" t="s">
        <v>3032</v>
      </c>
      <c r="B981" t="s">
        <v>3033</v>
      </c>
      <c r="C981" t="s">
        <v>3002</v>
      </c>
      <c r="D981" t="s">
        <v>3003</v>
      </c>
      <c r="E981" t="s">
        <v>313</v>
      </c>
      <c r="F981" t="s">
        <v>314</v>
      </c>
      <c r="G981" t="s">
        <v>750</v>
      </c>
      <c r="H981" t="s">
        <v>751</v>
      </c>
      <c r="I981" t="s">
        <v>199</v>
      </c>
      <c r="J981" t="s">
        <v>315</v>
      </c>
      <c r="M981">
        <v>1</v>
      </c>
      <c r="N981">
        <v>1</v>
      </c>
    </row>
    <row r="982" spans="1:14" x14ac:dyDescent="0.45">
      <c r="A982" t="s">
        <v>3034</v>
      </c>
      <c r="B982" t="s">
        <v>3035</v>
      </c>
      <c r="C982" t="s">
        <v>3002</v>
      </c>
      <c r="D982" t="s">
        <v>3003</v>
      </c>
      <c r="E982" t="s">
        <v>313</v>
      </c>
      <c r="F982" t="s">
        <v>314</v>
      </c>
      <c r="G982" t="s">
        <v>750</v>
      </c>
      <c r="H982" t="s">
        <v>751</v>
      </c>
      <c r="I982" t="s">
        <v>199</v>
      </c>
      <c r="J982" t="s">
        <v>315</v>
      </c>
      <c r="M982">
        <v>1</v>
      </c>
      <c r="N982">
        <v>1</v>
      </c>
    </row>
    <row r="983" spans="1:14" x14ac:dyDescent="0.45">
      <c r="A983" t="s">
        <v>3036</v>
      </c>
      <c r="B983" t="s">
        <v>3037</v>
      </c>
      <c r="C983" t="s">
        <v>3002</v>
      </c>
      <c r="D983" t="s">
        <v>3003</v>
      </c>
      <c r="E983" t="s">
        <v>313</v>
      </c>
      <c r="F983" t="s">
        <v>314</v>
      </c>
      <c r="G983" t="s">
        <v>750</v>
      </c>
      <c r="H983" t="s">
        <v>751</v>
      </c>
      <c r="I983" t="s">
        <v>199</v>
      </c>
      <c r="J983" t="s">
        <v>315</v>
      </c>
      <c r="M983">
        <v>1</v>
      </c>
      <c r="N983">
        <v>1</v>
      </c>
    </row>
    <row r="984" spans="1:14" x14ac:dyDescent="0.45">
      <c r="A984" t="s">
        <v>1021</v>
      </c>
      <c r="B984" t="s">
        <v>3038</v>
      </c>
      <c r="C984" t="s">
        <v>3002</v>
      </c>
      <c r="D984" t="s">
        <v>3003</v>
      </c>
      <c r="E984" t="s">
        <v>313</v>
      </c>
      <c r="F984" t="s">
        <v>314</v>
      </c>
      <c r="G984" t="s">
        <v>750</v>
      </c>
      <c r="H984" t="s">
        <v>751</v>
      </c>
      <c r="I984" t="s">
        <v>199</v>
      </c>
      <c r="J984" t="s">
        <v>315</v>
      </c>
      <c r="M984">
        <v>1</v>
      </c>
      <c r="N984">
        <v>1</v>
      </c>
    </row>
    <row r="985" spans="1:14" x14ac:dyDescent="0.45">
      <c r="A985" t="s">
        <v>3039</v>
      </c>
      <c r="B985" t="s">
        <v>3040</v>
      </c>
      <c r="C985" t="s">
        <v>3002</v>
      </c>
      <c r="D985" t="s">
        <v>3003</v>
      </c>
      <c r="E985" t="s">
        <v>313</v>
      </c>
      <c r="F985" t="s">
        <v>314</v>
      </c>
      <c r="G985" t="s">
        <v>750</v>
      </c>
      <c r="H985" t="s">
        <v>751</v>
      </c>
      <c r="I985" t="s">
        <v>199</v>
      </c>
      <c r="J985" t="s">
        <v>315</v>
      </c>
      <c r="M985">
        <v>1</v>
      </c>
      <c r="N985">
        <v>1</v>
      </c>
    </row>
    <row r="986" spans="1:14" x14ac:dyDescent="0.45">
      <c r="A986" t="s">
        <v>3041</v>
      </c>
      <c r="B986" t="s">
        <v>3042</v>
      </c>
      <c r="C986" t="s">
        <v>3002</v>
      </c>
      <c r="D986" t="s">
        <v>3003</v>
      </c>
      <c r="E986" t="s">
        <v>313</v>
      </c>
      <c r="F986" t="s">
        <v>314</v>
      </c>
      <c r="G986" t="s">
        <v>750</v>
      </c>
      <c r="H986" t="s">
        <v>751</v>
      </c>
      <c r="I986" t="s">
        <v>199</v>
      </c>
      <c r="J986" t="s">
        <v>315</v>
      </c>
      <c r="M986">
        <v>1</v>
      </c>
      <c r="N986">
        <v>1</v>
      </c>
    </row>
    <row r="987" spans="1:14" x14ac:dyDescent="0.45">
      <c r="A987" t="s">
        <v>3043</v>
      </c>
      <c r="B987" t="s">
        <v>3044</v>
      </c>
      <c r="C987" t="s">
        <v>3002</v>
      </c>
      <c r="D987" t="s">
        <v>3003</v>
      </c>
      <c r="E987" t="s">
        <v>313</v>
      </c>
      <c r="F987" t="s">
        <v>314</v>
      </c>
      <c r="G987" t="s">
        <v>750</v>
      </c>
      <c r="H987" t="s">
        <v>751</v>
      </c>
      <c r="I987" t="s">
        <v>199</v>
      </c>
      <c r="J987" t="s">
        <v>315</v>
      </c>
      <c r="M987">
        <v>1</v>
      </c>
      <c r="N987">
        <v>1</v>
      </c>
    </row>
    <row r="988" spans="1:14" x14ac:dyDescent="0.45">
      <c r="A988" t="s">
        <v>3045</v>
      </c>
      <c r="B988" t="s">
        <v>3046</v>
      </c>
      <c r="C988" t="s">
        <v>3002</v>
      </c>
      <c r="D988" t="s">
        <v>3003</v>
      </c>
      <c r="E988" t="s">
        <v>313</v>
      </c>
      <c r="F988" t="s">
        <v>314</v>
      </c>
      <c r="G988" t="s">
        <v>750</v>
      </c>
      <c r="H988" t="s">
        <v>751</v>
      </c>
      <c r="I988" t="s">
        <v>199</v>
      </c>
      <c r="J988" t="s">
        <v>315</v>
      </c>
      <c r="M988">
        <v>1</v>
      </c>
      <c r="N988">
        <v>1</v>
      </c>
    </row>
    <row r="989" spans="1:14" x14ac:dyDescent="0.45">
      <c r="A989" t="s">
        <v>313</v>
      </c>
      <c r="B989" t="s">
        <v>3047</v>
      </c>
      <c r="C989" t="s">
        <v>3002</v>
      </c>
      <c r="D989" t="s">
        <v>3003</v>
      </c>
      <c r="E989" t="s">
        <v>313</v>
      </c>
      <c r="F989" t="s">
        <v>314</v>
      </c>
      <c r="G989" t="s">
        <v>750</v>
      </c>
      <c r="H989" t="s">
        <v>751</v>
      </c>
      <c r="I989" t="s">
        <v>199</v>
      </c>
      <c r="J989" t="s">
        <v>315</v>
      </c>
      <c r="M989">
        <v>1</v>
      </c>
      <c r="N989">
        <v>1</v>
      </c>
    </row>
    <row r="990" spans="1:14" x14ac:dyDescent="0.45">
      <c r="A990" t="s">
        <v>3048</v>
      </c>
      <c r="B990" t="s">
        <v>3049</v>
      </c>
      <c r="C990" t="s">
        <v>3050</v>
      </c>
      <c r="D990" t="s">
        <v>3051</v>
      </c>
      <c r="E990" t="s">
        <v>313</v>
      </c>
      <c r="F990" t="s">
        <v>314</v>
      </c>
      <c r="G990" t="s">
        <v>750</v>
      </c>
      <c r="H990" t="s">
        <v>751</v>
      </c>
      <c r="I990" t="s">
        <v>199</v>
      </c>
      <c r="J990" t="s">
        <v>315</v>
      </c>
      <c r="M990">
        <v>1</v>
      </c>
      <c r="N990">
        <v>1</v>
      </c>
    </row>
    <row r="991" spans="1:14" x14ac:dyDescent="0.45">
      <c r="A991" t="s">
        <v>3052</v>
      </c>
      <c r="B991" t="s">
        <v>3053</v>
      </c>
      <c r="C991" t="s">
        <v>3050</v>
      </c>
      <c r="D991" t="s">
        <v>3051</v>
      </c>
      <c r="E991" t="s">
        <v>313</v>
      </c>
      <c r="F991" t="s">
        <v>314</v>
      </c>
      <c r="G991" t="s">
        <v>750</v>
      </c>
      <c r="H991" t="s">
        <v>751</v>
      </c>
      <c r="I991" t="s">
        <v>199</v>
      </c>
      <c r="J991" t="s">
        <v>315</v>
      </c>
      <c r="M991">
        <v>1</v>
      </c>
      <c r="N991">
        <v>1</v>
      </c>
    </row>
    <row r="992" spans="1:14" x14ac:dyDescent="0.45">
      <c r="A992" t="s">
        <v>3054</v>
      </c>
      <c r="B992" t="s">
        <v>3055</v>
      </c>
      <c r="C992" t="s">
        <v>3050</v>
      </c>
      <c r="D992" t="s">
        <v>3051</v>
      </c>
      <c r="E992" t="s">
        <v>313</v>
      </c>
      <c r="F992" t="s">
        <v>314</v>
      </c>
      <c r="G992" t="s">
        <v>750</v>
      </c>
      <c r="H992" t="s">
        <v>751</v>
      </c>
      <c r="I992" t="s">
        <v>199</v>
      </c>
      <c r="J992" t="s">
        <v>315</v>
      </c>
      <c r="M992">
        <v>1</v>
      </c>
      <c r="N992">
        <v>1</v>
      </c>
    </row>
    <row r="993" spans="1:14" x14ac:dyDescent="0.45">
      <c r="A993" t="s">
        <v>3056</v>
      </c>
      <c r="B993" t="s">
        <v>3057</v>
      </c>
      <c r="C993" t="s">
        <v>3050</v>
      </c>
      <c r="D993" t="s">
        <v>3051</v>
      </c>
      <c r="E993" t="s">
        <v>313</v>
      </c>
      <c r="F993" t="s">
        <v>314</v>
      </c>
      <c r="G993" t="s">
        <v>750</v>
      </c>
      <c r="H993" t="s">
        <v>751</v>
      </c>
      <c r="I993" t="s">
        <v>199</v>
      </c>
      <c r="J993" t="s">
        <v>315</v>
      </c>
      <c r="M993">
        <v>1</v>
      </c>
      <c r="N993">
        <v>1</v>
      </c>
    </row>
    <row r="994" spans="1:14" x14ac:dyDescent="0.45">
      <c r="A994" t="s">
        <v>3058</v>
      </c>
      <c r="B994" t="s">
        <v>3059</v>
      </c>
      <c r="C994" t="s">
        <v>3050</v>
      </c>
      <c r="D994" t="s">
        <v>3051</v>
      </c>
      <c r="E994" t="s">
        <v>313</v>
      </c>
      <c r="F994" t="s">
        <v>314</v>
      </c>
      <c r="G994" t="s">
        <v>750</v>
      </c>
      <c r="H994" t="s">
        <v>751</v>
      </c>
      <c r="I994" t="s">
        <v>199</v>
      </c>
      <c r="J994" t="s">
        <v>315</v>
      </c>
      <c r="M994">
        <v>1</v>
      </c>
      <c r="N994">
        <v>1</v>
      </c>
    </row>
    <row r="995" spans="1:14" x14ac:dyDescent="0.45">
      <c r="A995" t="s">
        <v>3060</v>
      </c>
      <c r="B995" t="s">
        <v>3061</v>
      </c>
      <c r="C995" t="s">
        <v>3050</v>
      </c>
      <c r="D995" t="s">
        <v>3051</v>
      </c>
      <c r="E995" t="s">
        <v>313</v>
      </c>
      <c r="F995" t="s">
        <v>314</v>
      </c>
      <c r="G995" t="s">
        <v>750</v>
      </c>
      <c r="H995" t="s">
        <v>751</v>
      </c>
      <c r="I995" t="s">
        <v>199</v>
      </c>
      <c r="J995" t="s">
        <v>315</v>
      </c>
      <c r="M995">
        <v>1</v>
      </c>
      <c r="N995">
        <v>1</v>
      </c>
    </row>
    <row r="996" spans="1:14" x14ac:dyDescent="0.45">
      <c r="A996" t="s">
        <v>3062</v>
      </c>
      <c r="B996" t="s">
        <v>3063</v>
      </c>
      <c r="C996" t="s">
        <v>3050</v>
      </c>
      <c r="D996" t="s">
        <v>3051</v>
      </c>
      <c r="E996" t="s">
        <v>313</v>
      </c>
      <c r="F996" t="s">
        <v>314</v>
      </c>
      <c r="G996" t="s">
        <v>750</v>
      </c>
      <c r="H996" t="s">
        <v>751</v>
      </c>
      <c r="I996" t="s">
        <v>199</v>
      </c>
      <c r="J996" t="s">
        <v>315</v>
      </c>
      <c r="M996">
        <v>1</v>
      </c>
      <c r="N996">
        <v>1</v>
      </c>
    </row>
    <row r="997" spans="1:14" x14ac:dyDescent="0.45">
      <c r="A997" t="s">
        <v>2683</v>
      </c>
      <c r="B997" t="s">
        <v>3064</v>
      </c>
      <c r="C997" t="s">
        <v>3050</v>
      </c>
      <c r="D997" t="s">
        <v>3051</v>
      </c>
      <c r="E997" t="s">
        <v>313</v>
      </c>
      <c r="F997" t="s">
        <v>314</v>
      </c>
      <c r="G997" t="s">
        <v>750</v>
      </c>
      <c r="H997" t="s">
        <v>751</v>
      </c>
      <c r="I997" t="s">
        <v>199</v>
      </c>
      <c r="J997" t="s">
        <v>315</v>
      </c>
      <c r="M997">
        <v>1</v>
      </c>
      <c r="N997">
        <v>1</v>
      </c>
    </row>
    <row r="998" spans="1:14" x14ac:dyDescent="0.45">
      <c r="A998" t="s">
        <v>3065</v>
      </c>
      <c r="B998" t="s">
        <v>3066</v>
      </c>
      <c r="C998" t="s">
        <v>3050</v>
      </c>
      <c r="D998" t="s">
        <v>3051</v>
      </c>
      <c r="E998" t="s">
        <v>313</v>
      </c>
      <c r="F998" t="s">
        <v>314</v>
      </c>
      <c r="G998" t="s">
        <v>750</v>
      </c>
      <c r="H998" t="s">
        <v>751</v>
      </c>
      <c r="I998" t="s">
        <v>199</v>
      </c>
      <c r="J998" t="s">
        <v>315</v>
      </c>
      <c r="M998">
        <v>1</v>
      </c>
      <c r="N998">
        <v>1</v>
      </c>
    </row>
    <row r="999" spans="1:14" x14ac:dyDescent="0.45">
      <c r="A999" t="s">
        <v>3067</v>
      </c>
      <c r="B999" t="s">
        <v>3068</v>
      </c>
      <c r="C999" t="s">
        <v>3050</v>
      </c>
      <c r="D999" t="s">
        <v>3051</v>
      </c>
      <c r="E999" t="s">
        <v>313</v>
      </c>
      <c r="F999" t="s">
        <v>314</v>
      </c>
      <c r="G999" t="s">
        <v>750</v>
      </c>
      <c r="H999" t="s">
        <v>751</v>
      </c>
      <c r="I999" t="s">
        <v>199</v>
      </c>
      <c r="J999" t="s">
        <v>315</v>
      </c>
      <c r="M999">
        <v>1</v>
      </c>
      <c r="N999">
        <v>1</v>
      </c>
    </row>
    <row r="1000" spans="1:14" x14ac:dyDescent="0.45">
      <c r="A1000" t="s">
        <v>3069</v>
      </c>
      <c r="B1000" t="s">
        <v>3070</v>
      </c>
      <c r="C1000" t="s">
        <v>3050</v>
      </c>
      <c r="D1000" t="s">
        <v>3051</v>
      </c>
      <c r="E1000" t="s">
        <v>313</v>
      </c>
      <c r="F1000" t="s">
        <v>314</v>
      </c>
      <c r="G1000" t="s">
        <v>750</v>
      </c>
      <c r="H1000" t="s">
        <v>751</v>
      </c>
      <c r="I1000" t="s">
        <v>199</v>
      </c>
      <c r="J1000" t="s">
        <v>315</v>
      </c>
      <c r="M1000">
        <v>1</v>
      </c>
      <c r="N1000">
        <v>1</v>
      </c>
    </row>
    <row r="1001" spans="1:14" x14ac:dyDescent="0.45">
      <c r="A1001" t="s">
        <v>3071</v>
      </c>
      <c r="B1001" t="s">
        <v>3072</v>
      </c>
      <c r="C1001" t="s">
        <v>3050</v>
      </c>
      <c r="D1001" t="s">
        <v>3051</v>
      </c>
      <c r="E1001" t="s">
        <v>313</v>
      </c>
      <c r="F1001" t="s">
        <v>314</v>
      </c>
      <c r="G1001" t="s">
        <v>750</v>
      </c>
      <c r="H1001" t="s">
        <v>751</v>
      </c>
      <c r="I1001" t="s">
        <v>199</v>
      </c>
      <c r="J1001" t="s">
        <v>315</v>
      </c>
      <c r="M1001">
        <v>1</v>
      </c>
      <c r="N1001">
        <v>1</v>
      </c>
    </row>
    <row r="1002" spans="1:14" x14ac:dyDescent="0.45">
      <c r="A1002" t="s">
        <v>3073</v>
      </c>
      <c r="B1002" t="s">
        <v>3074</v>
      </c>
      <c r="C1002" t="s">
        <v>3050</v>
      </c>
      <c r="D1002" t="s">
        <v>3051</v>
      </c>
      <c r="E1002" t="s">
        <v>313</v>
      </c>
      <c r="F1002" t="s">
        <v>314</v>
      </c>
      <c r="G1002" t="s">
        <v>750</v>
      </c>
      <c r="H1002" t="s">
        <v>751</v>
      </c>
      <c r="I1002" t="s">
        <v>199</v>
      </c>
      <c r="J1002" t="s">
        <v>315</v>
      </c>
      <c r="M1002">
        <v>1</v>
      </c>
      <c r="N1002">
        <v>1</v>
      </c>
    </row>
    <row r="1003" spans="1:14" x14ac:dyDescent="0.45">
      <c r="A1003" t="s">
        <v>3075</v>
      </c>
      <c r="B1003" t="s">
        <v>3076</v>
      </c>
      <c r="C1003" t="s">
        <v>3050</v>
      </c>
      <c r="D1003" t="s">
        <v>3051</v>
      </c>
      <c r="E1003" t="s">
        <v>313</v>
      </c>
      <c r="F1003" t="s">
        <v>314</v>
      </c>
      <c r="G1003" t="s">
        <v>750</v>
      </c>
      <c r="H1003" t="s">
        <v>751</v>
      </c>
      <c r="I1003" t="s">
        <v>199</v>
      </c>
      <c r="J1003" t="s">
        <v>315</v>
      </c>
      <c r="M1003">
        <v>1</v>
      </c>
      <c r="N1003">
        <v>1</v>
      </c>
    </row>
    <row r="1004" spans="1:14" x14ac:dyDescent="0.45">
      <c r="A1004" t="s">
        <v>3077</v>
      </c>
      <c r="B1004" t="s">
        <v>3078</v>
      </c>
      <c r="C1004" t="s">
        <v>3050</v>
      </c>
      <c r="D1004" t="s">
        <v>3051</v>
      </c>
      <c r="E1004" t="s">
        <v>313</v>
      </c>
      <c r="F1004" t="s">
        <v>314</v>
      </c>
      <c r="G1004" t="s">
        <v>750</v>
      </c>
      <c r="H1004" t="s">
        <v>751</v>
      </c>
      <c r="I1004" t="s">
        <v>199</v>
      </c>
      <c r="J1004" t="s">
        <v>315</v>
      </c>
      <c r="M1004">
        <v>1</v>
      </c>
      <c r="N1004">
        <v>1</v>
      </c>
    </row>
    <row r="1005" spans="1:14" x14ac:dyDescent="0.45">
      <c r="A1005" t="s">
        <v>3079</v>
      </c>
      <c r="B1005" t="s">
        <v>3080</v>
      </c>
      <c r="C1005" t="s">
        <v>3050</v>
      </c>
      <c r="D1005" t="s">
        <v>3051</v>
      </c>
      <c r="E1005" t="s">
        <v>313</v>
      </c>
      <c r="F1005" t="s">
        <v>314</v>
      </c>
      <c r="G1005" t="s">
        <v>750</v>
      </c>
      <c r="H1005" t="s">
        <v>751</v>
      </c>
      <c r="I1005" t="s">
        <v>199</v>
      </c>
      <c r="J1005" t="s">
        <v>315</v>
      </c>
      <c r="M1005">
        <v>1</v>
      </c>
      <c r="N1005">
        <v>1</v>
      </c>
    </row>
    <row r="1006" spans="1:14" x14ac:dyDescent="0.45">
      <c r="A1006" t="s">
        <v>3081</v>
      </c>
      <c r="B1006" t="s">
        <v>3082</v>
      </c>
      <c r="C1006" t="s">
        <v>3050</v>
      </c>
      <c r="D1006" t="s">
        <v>3051</v>
      </c>
      <c r="E1006" t="s">
        <v>313</v>
      </c>
      <c r="F1006" t="s">
        <v>314</v>
      </c>
      <c r="G1006" t="s">
        <v>750</v>
      </c>
      <c r="H1006" t="s">
        <v>751</v>
      </c>
      <c r="I1006" t="s">
        <v>199</v>
      </c>
      <c r="J1006" t="s">
        <v>315</v>
      </c>
      <c r="M1006">
        <v>1</v>
      </c>
      <c r="N1006">
        <v>1</v>
      </c>
    </row>
    <row r="1007" spans="1:14" x14ac:dyDescent="0.45">
      <c r="A1007" t="s">
        <v>3083</v>
      </c>
      <c r="B1007" t="s">
        <v>3084</v>
      </c>
      <c r="C1007" t="s">
        <v>3050</v>
      </c>
      <c r="D1007" t="s">
        <v>3051</v>
      </c>
      <c r="E1007" t="s">
        <v>313</v>
      </c>
      <c r="F1007" t="s">
        <v>314</v>
      </c>
      <c r="G1007" t="s">
        <v>750</v>
      </c>
      <c r="H1007" t="s">
        <v>751</v>
      </c>
      <c r="I1007" t="s">
        <v>199</v>
      </c>
      <c r="J1007" t="s">
        <v>315</v>
      </c>
      <c r="M1007">
        <v>1</v>
      </c>
      <c r="N1007">
        <v>1</v>
      </c>
    </row>
    <row r="1008" spans="1:14" x14ac:dyDescent="0.45">
      <c r="A1008" t="s">
        <v>3085</v>
      </c>
      <c r="B1008" t="s">
        <v>3086</v>
      </c>
      <c r="C1008" t="s">
        <v>3050</v>
      </c>
      <c r="D1008" t="s">
        <v>3051</v>
      </c>
      <c r="E1008" t="s">
        <v>313</v>
      </c>
      <c r="F1008" t="s">
        <v>314</v>
      </c>
      <c r="G1008" t="s">
        <v>750</v>
      </c>
      <c r="H1008" t="s">
        <v>751</v>
      </c>
      <c r="I1008" t="s">
        <v>199</v>
      </c>
      <c r="J1008" t="s">
        <v>315</v>
      </c>
      <c r="M1008">
        <v>1</v>
      </c>
      <c r="N1008">
        <v>1</v>
      </c>
    </row>
    <row r="1009" spans="1:14" x14ac:dyDescent="0.45">
      <c r="A1009" t="s">
        <v>3087</v>
      </c>
      <c r="B1009" t="s">
        <v>3088</v>
      </c>
      <c r="C1009" t="s">
        <v>3050</v>
      </c>
      <c r="D1009" t="s">
        <v>3051</v>
      </c>
      <c r="E1009" t="s">
        <v>313</v>
      </c>
      <c r="F1009" t="s">
        <v>314</v>
      </c>
      <c r="G1009" t="s">
        <v>750</v>
      </c>
      <c r="H1009" t="s">
        <v>751</v>
      </c>
      <c r="I1009" t="s">
        <v>199</v>
      </c>
      <c r="J1009" t="s">
        <v>315</v>
      </c>
      <c r="M1009">
        <v>1</v>
      </c>
      <c r="N1009">
        <v>1</v>
      </c>
    </row>
    <row r="1010" spans="1:14" x14ac:dyDescent="0.45">
      <c r="A1010" t="s">
        <v>3089</v>
      </c>
      <c r="B1010" t="s">
        <v>3090</v>
      </c>
      <c r="C1010" t="s">
        <v>3050</v>
      </c>
      <c r="D1010" t="s">
        <v>3051</v>
      </c>
      <c r="E1010" t="s">
        <v>313</v>
      </c>
      <c r="F1010" t="s">
        <v>314</v>
      </c>
      <c r="G1010" t="s">
        <v>750</v>
      </c>
      <c r="H1010" t="s">
        <v>751</v>
      </c>
      <c r="I1010" t="s">
        <v>199</v>
      </c>
      <c r="J1010" t="s">
        <v>315</v>
      </c>
      <c r="M1010">
        <v>1</v>
      </c>
      <c r="N1010">
        <v>1</v>
      </c>
    </row>
    <row r="1011" spans="1:14" x14ac:dyDescent="0.45">
      <c r="A1011" t="s">
        <v>3091</v>
      </c>
      <c r="B1011" t="s">
        <v>3092</v>
      </c>
      <c r="C1011" t="s">
        <v>3050</v>
      </c>
      <c r="D1011" t="s">
        <v>3051</v>
      </c>
      <c r="E1011" t="s">
        <v>313</v>
      </c>
      <c r="F1011" t="s">
        <v>314</v>
      </c>
      <c r="G1011" t="s">
        <v>750</v>
      </c>
      <c r="H1011" t="s">
        <v>751</v>
      </c>
      <c r="I1011" t="s">
        <v>199</v>
      </c>
      <c r="J1011" t="s">
        <v>315</v>
      </c>
      <c r="M1011">
        <v>1</v>
      </c>
      <c r="N1011">
        <v>1</v>
      </c>
    </row>
    <row r="1012" spans="1:14" x14ac:dyDescent="0.45">
      <c r="A1012" t="s">
        <v>3093</v>
      </c>
      <c r="B1012" t="s">
        <v>3094</v>
      </c>
      <c r="C1012" t="s">
        <v>3095</v>
      </c>
      <c r="D1012" t="s">
        <v>3096</v>
      </c>
      <c r="E1012" t="s">
        <v>316</v>
      </c>
      <c r="F1012" t="s">
        <v>317</v>
      </c>
      <c r="G1012" t="s">
        <v>750</v>
      </c>
      <c r="H1012" t="s">
        <v>252</v>
      </c>
      <c r="I1012" t="s">
        <v>193</v>
      </c>
      <c r="J1012" t="s">
        <v>318</v>
      </c>
      <c r="K1012">
        <v>1</v>
      </c>
      <c r="L1012">
        <v>1</v>
      </c>
      <c r="M1012">
        <v>1</v>
      </c>
      <c r="N1012">
        <v>1</v>
      </c>
    </row>
    <row r="1013" spans="1:14" x14ac:dyDescent="0.45">
      <c r="A1013" t="s">
        <v>1899</v>
      </c>
      <c r="B1013" t="s">
        <v>3099</v>
      </c>
      <c r="C1013" t="s">
        <v>3095</v>
      </c>
      <c r="D1013" t="s">
        <v>3096</v>
      </c>
      <c r="E1013" t="s">
        <v>316</v>
      </c>
      <c r="F1013" t="s">
        <v>317</v>
      </c>
      <c r="G1013" t="s">
        <v>750</v>
      </c>
      <c r="H1013" t="s">
        <v>252</v>
      </c>
      <c r="I1013" t="s">
        <v>193</v>
      </c>
      <c r="J1013" t="s">
        <v>318</v>
      </c>
      <c r="K1013">
        <v>1</v>
      </c>
      <c r="L1013">
        <v>1</v>
      </c>
      <c r="M1013">
        <v>1</v>
      </c>
      <c r="N1013">
        <v>1</v>
      </c>
    </row>
    <row r="1014" spans="1:14" x14ac:dyDescent="0.45">
      <c r="A1014" t="s">
        <v>3109</v>
      </c>
      <c r="B1014" t="s">
        <v>3110</v>
      </c>
      <c r="C1014" t="s">
        <v>3105</v>
      </c>
      <c r="D1014" t="s">
        <v>3106</v>
      </c>
      <c r="E1014" t="s">
        <v>316</v>
      </c>
      <c r="F1014" t="s">
        <v>317</v>
      </c>
      <c r="G1014" t="s">
        <v>750</v>
      </c>
      <c r="H1014" t="s">
        <v>252</v>
      </c>
      <c r="I1014" t="s">
        <v>193</v>
      </c>
      <c r="J1014" t="s">
        <v>318</v>
      </c>
      <c r="K1014">
        <v>1</v>
      </c>
      <c r="L1014">
        <v>1</v>
      </c>
      <c r="M1014">
        <v>1</v>
      </c>
      <c r="N1014">
        <v>1</v>
      </c>
    </row>
    <row r="1015" spans="1:14" x14ac:dyDescent="0.45">
      <c r="A1015" t="s">
        <v>3134</v>
      </c>
      <c r="B1015" t="s">
        <v>3135</v>
      </c>
      <c r="C1015" t="s">
        <v>3136</v>
      </c>
      <c r="D1015" t="s">
        <v>3137</v>
      </c>
      <c r="E1015" t="s">
        <v>316</v>
      </c>
      <c r="F1015" t="s">
        <v>317</v>
      </c>
      <c r="G1015" t="s">
        <v>750</v>
      </c>
      <c r="H1015" t="s">
        <v>252</v>
      </c>
      <c r="I1015" t="s">
        <v>193</v>
      </c>
      <c r="J1015" t="s">
        <v>318</v>
      </c>
      <c r="K1015">
        <v>1</v>
      </c>
      <c r="L1015">
        <v>1</v>
      </c>
      <c r="M1015">
        <v>1</v>
      </c>
      <c r="N1015">
        <v>1</v>
      </c>
    </row>
    <row r="1016" spans="1:14" x14ac:dyDescent="0.45">
      <c r="A1016" t="s">
        <v>3138</v>
      </c>
      <c r="B1016" t="s">
        <v>3139</v>
      </c>
      <c r="C1016" t="s">
        <v>3136</v>
      </c>
      <c r="D1016" t="s">
        <v>3137</v>
      </c>
      <c r="E1016" t="s">
        <v>316</v>
      </c>
      <c r="F1016" t="s">
        <v>317</v>
      </c>
      <c r="G1016" t="s">
        <v>750</v>
      </c>
      <c r="H1016" t="s">
        <v>252</v>
      </c>
      <c r="I1016" t="s">
        <v>193</v>
      </c>
      <c r="J1016" t="s">
        <v>318</v>
      </c>
      <c r="K1016">
        <v>1</v>
      </c>
      <c r="L1016">
        <v>1</v>
      </c>
      <c r="M1016">
        <v>1</v>
      </c>
      <c r="N1016">
        <v>1</v>
      </c>
    </row>
    <row r="1017" spans="1:14" x14ac:dyDescent="0.45">
      <c r="A1017" t="s">
        <v>3140</v>
      </c>
      <c r="B1017" t="s">
        <v>3141</v>
      </c>
      <c r="C1017" t="s">
        <v>3136</v>
      </c>
      <c r="D1017" t="s">
        <v>3137</v>
      </c>
      <c r="E1017" t="s">
        <v>316</v>
      </c>
      <c r="F1017" t="s">
        <v>317</v>
      </c>
      <c r="G1017" t="s">
        <v>750</v>
      </c>
      <c r="H1017" t="s">
        <v>252</v>
      </c>
      <c r="I1017" t="s">
        <v>193</v>
      </c>
      <c r="J1017" t="s">
        <v>318</v>
      </c>
      <c r="K1017">
        <v>1</v>
      </c>
      <c r="L1017">
        <v>1</v>
      </c>
      <c r="M1017">
        <v>1</v>
      </c>
      <c r="N1017">
        <v>1</v>
      </c>
    </row>
    <row r="1018" spans="1:14" x14ac:dyDescent="0.45">
      <c r="A1018" t="s">
        <v>3142</v>
      </c>
      <c r="B1018" t="s">
        <v>3143</v>
      </c>
      <c r="C1018" t="s">
        <v>3136</v>
      </c>
      <c r="D1018" t="s">
        <v>3137</v>
      </c>
      <c r="E1018" t="s">
        <v>316</v>
      </c>
      <c r="F1018" t="s">
        <v>317</v>
      </c>
      <c r="G1018" t="s">
        <v>750</v>
      </c>
      <c r="H1018" t="s">
        <v>252</v>
      </c>
      <c r="I1018" t="s">
        <v>193</v>
      </c>
      <c r="J1018" t="s">
        <v>318</v>
      </c>
      <c r="K1018">
        <v>1</v>
      </c>
      <c r="L1018">
        <v>1</v>
      </c>
      <c r="M1018">
        <v>1</v>
      </c>
      <c r="N1018">
        <v>1</v>
      </c>
    </row>
    <row r="1019" spans="1:14" x14ac:dyDescent="0.45">
      <c r="A1019" t="s">
        <v>3144</v>
      </c>
      <c r="B1019" t="s">
        <v>3145</v>
      </c>
      <c r="C1019" t="s">
        <v>3136</v>
      </c>
      <c r="D1019" t="s">
        <v>3137</v>
      </c>
      <c r="E1019" t="s">
        <v>316</v>
      </c>
      <c r="F1019" t="s">
        <v>317</v>
      </c>
      <c r="G1019" t="s">
        <v>750</v>
      </c>
      <c r="H1019" t="s">
        <v>252</v>
      </c>
      <c r="I1019" t="s">
        <v>193</v>
      </c>
      <c r="J1019" t="s">
        <v>318</v>
      </c>
      <c r="K1019">
        <v>1</v>
      </c>
      <c r="L1019">
        <v>1</v>
      </c>
      <c r="M1019">
        <v>1</v>
      </c>
      <c r="N1019">
        <v>1</v>
      </c>
    </row>
    <row r="1020" spans="1:14" x14ac:dyDescent="0.45">
      <c r="A1020" t="s">
        <v>3146</v>
      </c>
      <c r="B1020" t="s">
        <v>3147</v>
      </c>
      <c r="C1020" t="s">
        <v>3136</v>
      </c>
      <c r="D1020" t="s">
        <v>3137</v>
      </c>
      <c r="E1020" t="s">
        <v>316</v>
      </c>
      <c r="F1020" t="s">
        <v>317</v>
      </c>
      <c r="G1020" t="s">
        <v>750</v>
      </c>
      <c r="H1020" t="s">
        <v>252</v>
      </c>
      <c r="I1020" t="s">
        <v>193</v>
      </c>
      <c r="J1020" t="s">
        <v>318</v>
      </c>
      <c r="K1020">
        <v>1</v>
      </c>
      <c r="L1020">
        <v>1</v>
      </c>
      <c r="M1020">
        <v>1</v>
      </c>
      <c r="N1020">
        <v>1</v>
      </c>
    </row>
    <row r="1021" spans="1:14" x14ac:dyDescent="0.45">
      <c r="A1021" t="s">
        <v>2432</v>
      </c>
      <c r="B1021" t="s">
        <v>3149</v>
      </c>
      <c r="C1021" t="s">
        <v>3136</v>
      </c>
      <c r="D1021" t="s">
        <v>3137</v>
      </c>
      <c r="E1021" t="s">
        <v>316</v>
      </c>
      <c r="F1021" t="s">
        <v>317</v>
      </c>
      <c r="G1021" t="s">
        <v>750</v>
      </c>
      <c r="H1021" t="s">
        <v>252</v>
      </c>
      <c r="I1021" t="s">
        <v>193</v>
      </c>
      <c r="J1021" t="s">
        <v>318</v>
      </c>
      <c r="K1021">
        <v>1</v>
      </c>
      <c r="L1021">
        <v>1</v>
      </c>
      <c r="M1021">
        <v>1</v>
      </c>
      <c r="N1021">
        <v>1</v>
      </c>
    </row>
    <row r="1022" spans="1:14" x14ac:dyDescent="0.45">
      <c r="A1022" t="s">
        <v>3169</v>
      </c>
      <c r="B1022" t="s">
        <v>3170</v>
      </c>
      <c r="C1022" t="s">
        <v>3163</v>
      </c>
      <c r="D1022" t="s">
        <v>3164</v>
      </c>
      <c r="E1022" t="s">
        <v>316</v>
      </c>
      <c r="F1022" t="s">
        <v>317</v>
      </c>
      <c r="G1022" t="s">
        <v>750</v>
      </c>
      <c r="H1022" t="s">
        <v>252</v>
      </c>
      <c r="I1022" t="s">
        <v>193</v>
      </c>
      <c r="J1022" t="s">
        <v>318</v>
      </c>
      <c r="K1022">
        <v>1</v>
      </c>
      <c r="L1022">
        <v>1</v>
      </c>
      <c r="M1022">
        <v>1</v>
      </c>
      <c r="N1022">
        <v>1</v>
      </c>
    </row>
    <row r="1023" spans="1:14" x14ac:dyDescent="0.45">
      <c r="A1023" t="s">
        <v>3171</v>
      </c>
      <c r="B1023" t="s">
        <v>3172</v>
      </c>
      <c r="C1023" t="s">
        <v>3163</v>
      </c>
      <c r="D1023" t="s">
        <v>3164</v>
      </c>
      <c r="E1023" t="s">
        <v>316</v>
      </c>
      <c r="F1023" t="s">
        <v>317</v>
      </c>
      <c r="G1023" t="s">
        <v>750</v>
      </c>
      <c r="H1023" t="s">
        <v>252</v>
      </c>
      <c r="I1023" t="s">
        <v>193</v>
      </c>
      <c r="J1023" t="s">
        <v>318</v>
      </c>
      <c r="K1023">
        <v>1</v>
      </c>
      <c r="L1023">
        <v>1</v>
      </c>
      <c r="M1023">
        <v>1</v>
      </c>
      <c r="N1023">
        <v>1</v>
      </c>
    </row>
    <row r="1024" spans="1:14" x14ac:dyDescent="0.45">
      <c r="A1024" t="s">
        <v>3175</v>
      </c>
      <c r="B1024" t="s">
        <v>3176</v>
      </c>
      <c r="C1024" t="s">
        <v>3163</v>
      </c>
      <c r="D1024" t="s">
        <v>3164</v>
      </c>
      <c r="E1024" t="s">
        <v>316</v>
      </c>
      <c r="F1024" t="s">
        <v>317</v>
      </c>
      <c r="G1024" t="s">
        <v>750</v>
      </c>
      <c r="H1024" t="s">
        <v>252</v>
      </c>
      <c r="I1024" t="s">
        <v>193</v>
      </c>
      <c r="J1024" t="s">
        <v>318</v>
      </c>
      <c r="K1024">
        <v>1</v>
      </c>
      <c r="L1024">
        <v>1</v>
      </c>
      <c r="M1024">
        <v>1</v>
      </c>
      <c r="N1024">
        <v>1</v>
      </c>
    </row>
    <row r="1025" spans="1:14" x14ac:dyDescent="0.45">
      <c r="A1025" t="s">
        <v>3190</v>
      </c>
      <c r="B1025" t="s">
        <v>3191</v>
      </c>
      <c r="C1025" t="s">
        <v>3163</v>
      </c>
      <c r="D1025" t="s">
        <v>3164</v>
      </c>
      <c r="E1025" t="s">
        <v>316</v>
      </c>
      <c r="F1025" t="s">
        <v>317</v>
      </c>
      <c r="G1025" t="s">
        <v>750</v>
      </c>
      <c r="H1025" t="s">
        <v>252</v>
      </c>
      <c r="I1025" t="s">
        <v>193</v>
      </c>
      <c r="J1025" t="s">
        <v>318</v>
      </c>
      <c r="K1025">
        <v>1</v>
      </c>
      <c r="L1025">
        <v>1</v>
      </c>
      <c r="M1025">
        <v>1</v>
      </c>
      <c r="N1025">
        <v>1</v>
      </c>
    </row>
    <row r="1026" spans="1:14" x14ac:dyDescent="0.45">
      <c r="A1026" t="s">
        <v>3192</v>
      </c>
      <c r="B1026" t="s">
        <v>3193</v>
      </c>
      <c r="C1026" t="s">
        <v>3194</v>
      </c>
      <c r="D1026" t="s">
        <v>3195</v>
      </c>
      <c r="E1026" t="s">
        <v>316</v>
      </c>
      <c r="F1026" t="s">
        <v>317</v>
      </c>
      <c r="G1026" t="s">
        <v>750</v>
      </c>
      <c r="H1026" t="s">
        <v>252</v>
      </c>
      <c r="I1026" t="s">
        <v>193</v>
      </c>
      <c r="J1026" t="s">
        <v>318</v>
      </c>
      <c r="K1026">
        <v>1</v>
      </c>
      <c r="L1026">
        <v>1</v>
      </c>
      <c r="M1026">
        <v>1</v>
      </c>
      <c r="N1026">
        <v>1</v>
      </c>
    </row>
    <row r="1027" spans="1:14" x14ac:dyDescent="0.45">
      <c r="A1027" t="s">
        <v>3203</v>
      </c>
      <c r="B1027" t="s">
        <v>3204</v>
      </c>
      <c r="C1027" t="s">
        <v>3194</v>
      </c>
      <c r="D1027" t="s">
        <v>3195</v>
      </c>
      <c r="E1027" t="s">
        <v>316</v>
      </c>
      <c r="F1027" t="s">
        <v>317</v>
      </c>
      <c r="G1027" t="s">
        <v>750</v>
      </c>
      <c r="H1027" t="s">
        <v>252</v>
      </c>
      <c r="I1027" t="s">
        <v>193</v>
      </c>
      <c r="J1027" t="s">
        <v>318</v>
      </c>
      <c r="K1027">
        <v>1</v>
      </c>
      <c r="L1027">
        <v>1</v>
      </c>
      <c r="M1027">
        <v>1</v>
      </c>
      <c r="N1027">
        <v>1</v>
      </c>
    </row>
    <row r="1028" spans="1:14" x14ac:dyDescent="0.45">
      <c r="A1028" t="s">
        <v>3101</v>
      </c>
      <c r="B1028" t="s">
        <v>3102</v>
      </c>
      <c r="C1028" t="s">
        <v>3095</v>
      </c>
      <c r="D1028" t="s">
        <v>3096</v>
      </c>
      <c r="E1028" t="s">
        <v>316</v>
      </c>
      <c r="F1028" t="s">
        <v>317</v>
      </c>
      <c r="G1028" t="s">
        <v>750</v>
      </c>
      <c r="H1028" t="s">
        <v>1640</v>
      </c>
      <c r="I1028" t="s">
        <v>196</v>
      </c>
      <c r="J1028" t="s">
        <v>320</v>
      </c>
      <c r="K1028">
        <v>1</v>
      </c>
      <c r="M1028">
        <v>1</v>
      </c>
      <c r="N1028">
        <v>1</v>
      </c>
    </row>
    <row r="1029" spans="1:14" x14ac:dyDescent="0.45">
      <c r="A1029" t="s">
        <v>3112</v>
      </c>
      <c r="B1029" t="s">
        <v>3113</v>
      </c>
      <c r="C1029" t="s">
        <v>3105</v>
      </c>
      <c r="D1029" t="s">
        <v>3106</v>
      </c>
      <c r="E1029" t="s">
        <v>316</v>
      </c>
      <c r="F1029" t="s">
        <v>317</v>
      </c>
      <c r="G1029" t="s">
        <v>750</v>
      </c>
      <c r="H1029" t="s">
        <v>1640</v>
      </c>
      <c r="I1029" t="s">
        <v>196</v>
      </c>
      <c r="J1029" t="s">
        <v>320</v>
      </c>
      <c r="K1029">
        <v>1</v>
      </c>
      <c r="M1029">
        <v>1</v>
      </c>
      <c r="N1029">
        <v>1</v>
      </c>
    </row>
    <row r="1030" spans="1:14" x14ac:dyDescent="0.45">
      <c r="A1030" t="s">
        <v>3114</v>
      </c>
      <c r="B1030" t="s">
        <v>3115</v>
      </c>
      <c r="C1030" t="s">
        <v>3105</v>
      </c>
      <c r="D1030" t="s">
        <v>3106</v>
      </c>
      <c r="E1030" t="s">
        <v>316</v>
      </c>
      <c r="F1030" t="s">
        <v>317</v>
      </c>
      <c r="G1030" t="s">
        <v>750</v>
      </c>
      <c r="H1030" t="s">
        <v>1640</v>
      </c>
      <c r="I1030" t="s">
        <v>196</v>
      </c>
      <c r="J1030" t="s">
        <v>320</v>
      </c>
      <c r="K1030">
        <v>1</v>
      </c>
      <c r="M1030">
        <v>1</v>
      </c>
      <c r="N1030">
        <v>1</v>
      </c>
    </row>
    <row r="1031" spans="1:14" x14ac:dyDescent="0.45">
      <c r="A1031" t="s">
        <v>3116</v>
      </c>
      <c r="B1031" t="s">
        <v>3117</v>
      </c>
      <c r="C1031" t="s">
        <v>3105</v>
      </c>
      <c r="D1031" t="s">
        <v>3106</v>
      </c>
      <c r="E1031" t="s">
        <v>316</v>
      </c>
      <c r="F1031" t="s">
        <v>317</v>
      </c>
      <c r="G1031" t="s">
        <v>750</v>
      </c>
      <c r="H1031" t="s">
        <v>1640</v>
      </c>
      <c r="I1031" t="s">
        <v>196</v>
      </c>
      <c r="J1031" t="s">
        <v>320</v>
      </c>
      <c r="K1031">
        <v>1</v>
      </c>
      <c r="M1031">
        <v>1</v>
      </c>
      <c r="N1031">
        <v>1</v>
      </c>
    </row>
    <row r="1032" spans="1:14" x14ac:dyDescent="0.45">
      <c r="A1032" t="s">
        <v>3118</v>
      </c>
      <c r="B1032" t="s">
        <v>3119</v>
      </c>
      <c r="C1032" t="s">
        <v>3105</v>
      </c>
      <c r="D1032" t="s">
        <v>3106</v>
      </c>
      <c r="E1032" t="s">
        <v>316</v>
      </c>
      <c r="F1032" t="s">
        <v>317</v>
      </c>
      <c r="G1032" t="s">
        <v>750</v>
      </c>
      <c r="H1032" t="s">
        <v>1640</v>
      </c>
      <c r="I1032" t="s">
        <v>196</v>
      </c>
      <c r="J1032" t="s">
        <v>320</v>
      </c>
      <c r="K1032">
        <v>1</v>
      </c>
      <c r="M1032">
        <v>1</v>
      </c>
      <c r="N1032">
        <v>1</v>
      </c>
    </row>
    <row r="1033" spans="1:14" x14ac:dyDescent="0.45">
      <c r="A1033" t="s">
        <v>3161</v>
      </c>
      <c r="B1033" t="s">
        <v>3162</v>
      </c>
      <c r="C1033" t="s">
        <v>3163</v>
      </c>
      <c r="D1033" t="s">
        <v>3164</v>
      </c>
      <c r="E1033" t="s">
        <v>316</v>
      </c>
      <c r="F1033" t="s">
        <v>317</v>
      </c>
      <c r="G1033" t="s">
        <v>750</v>
      </c>
      <c r="H1033" t="s">
        <v>1640</v>
      </c>
      <c r="I1033" t="s">
        <v>196</v>
      </c>
      <c r="J1033" t="s">
        <v>320</v>
      </c>
      <c r="K1033">
        <v>1</v>
      </c>
      <c r="M1033">
        <v>1</v>
      </c>
      <c r="N1033">
        <v>1</v>
      </c>
    </row>
    <row r="1034" spans="1:14" x14ac:dyDescent="0.45">
      <c r="A1034" t="s">
        <v>3165</v>
      </c>
      <c r="B1034" t="s">
        <v>3166</v>
      </c>
      <c r="C1034" t="s">
        <v>3163</v>
      </c>
      <c r="D1034" t="s">
        <v>3164</v>
      </c>
      <c r="E1034" t="s">
        <v>316</v>
      </c>
      <c r="F1034" t="s">
        <v>317</v>
      </c>
      <c r="G1034" t="s">
        <v>750</v>
      </c>
      <c r="H1034" t="s">
        <v>1640</v>
      </c>
      <c r="I1034" t="s">
        <v>196</v>
      </c>
      <c r="J1034" t="s">
        <v>320</v>
      </c>
      <c r="K1034">
        <v>1</v>
      </c>
      <c r="M1034">
        <v>1</v>
      </c>
      <c r="N1034">
        <v>1</v>
      </c>
    </row>
    <row r="1035" spans="1:14" x14ac:dyDescent="0.45">
      <c r="A1035" t="s">
        <v>3167</v>
      </c>
      <c r="B1035" t="s">
        <v>3168</v>
      </c>
      <c r="C1035" t="s">
        <v>3163</v>
      </c>
      <c r="D1035" t="s">
        <v>3164</v>
      </c>
      <c r="E1035" t="s">
        <v>316</v>
      </c>
      <c r="F1035" t="s">
        <v>317</v>
      </c>
      <c r="G1035" t="s">
        <v>750</v>
      </c>
      <c r="H1035" t="s">
        <v>1640</v>
      </c>
      <c r="I1035" t="s">
        <v>196</v>
      </c>
      <c r="J1035" t="s">
        <v>320</v>
      </c>
      <c r="K1035">
        <v>1</v>
      </c>
      <c r="M1035">
        <v>1</v>
      </c>
      <c r="N1035">
        <v>1</v>
      </c>
    </row>
    <row r="1036" spans="1:14" x14ac:dyDescent="0.45">
      <c r="A1036" t="s">
        <v>3173</v>
      </c>
      <c r="B1036" t="s">
        <v>3174</v>
      </c>
      <c r="C1036" t="s">
        <v>3163</v>
      </c>
      <c r="D1036" t="s">
        <v>3164</v>
      </c>
      <c r="E1036" t="s">
        <v>316</v>
      </c>
      <c r="F1036" t="s">
        <v>317</v>
      </c>
      <c r="G1036" t="s">
        <v>750</v>
      </c>
      <c r="H1036" t="s">
        <v>1640</v>
      </c>
      <c r="I1036" t="s">
        <v>196</v>
      </c>
      <c r="J1036" t="s">
        <v>320</v>
      </c>
      <c r="K1036">
        <v>1</v>
      </c>
      <c r="M1036">
        <v>1</v>
      </c>
      <c r="N1036">
        <v>1</v>
      </c>
    </row>
    <row r="1037" spans="1:14" x14ac:dyDescent="0.45">
      <c r="A1037" t="s">
        <v>3181</v>
      </c>
      <c r="B1037" t="s">
        <v>3182</v>
      </c>
      <c r="C1037" t="s">
        <v>3163</v>
      </c>
      <c r="D1037" t="s">
        <v>3164</v>
      </c>
      <c r="E1037" t="s">
        <v>316</v>
      </c>
      <c r="F1037" t="s">
        <v>317</v>
      </c>
      <c r="G1037" t="s">
        <v>750</v>
      </c>
      <c r="H1037" t="s">
        <v>1640</v>
      </c>
      <c r="I1037" t="s">
        <v>196</v>
      </c>
      <c r="J1037" t="s">
        <v>320</v>
      </c>
      <c r="K1037">
        <v>1</v>
      </c>
      <c r="M1037">
        <v>1</v>
      </c>
      <c r="N1037">
        <v>1</v>
      </c>
    </row>
    <row r="1038" spans="1:14" x14ac:dyDescent="0.45">
      <c r="A1038" t="s">
        <v>3183</v>
      </c>
      <c r="B1038" t="s">
        <v>3184</v>
      </c>
      <c r="C1038" t="s">
        <v>3163</v>
      </c>
      <c r="D1038" t="s">
        <v>3164</v>
      </c>
      <c r="E1038" t="s">
        <v>316</v>
      </c>
      <c r="F1038" t="s">
        <v>317</v>
      </c>
      <c r="G1038" t="s">
        <v>750</v>
      </c>
      <c r="H1038" t="s">
        <v>1640</v>
      </c>
      <c r="I1038" t="s">
        <v>196</v>
      </c>
      <c r="J1038" t="s">
        <v>320</v>
      </c>
      <c r="K1038">
        <v>1</v>
      </c>
      <c r="M1038">
        <v>1</v>
      </c>
      <c r="N1038">
        <v>1</v>
      </c>
    </row>
    <row r="1039" spans="1:14" x14ac:dyDescent="0.45">
      <c r="A1039" t="s">
        <v>3185</v>
      </c>
      <c r="B1039" t="s">
        <v>3186</v>
      </c>
      <c r="C1039" t="s">
        <v>3163</v>
      </c>
      <c r="D1039" t="s">
        <v>3164</v>
      </c>
      <c r="E1039" t="s">
        <v>316</v>
      </c>
      <c r="F1039" t="s">
        <v>317</v>
      </c>
      <c r="G1039" t="s">
        <v>750</v>
      </c>
      <c r="H1039" t="s">
        <v>1640</v>
      </c>
      <c r="I1039" t="s">
        <v>196</v>
      </c>
      <c r="J1039" t="s">
        <v>320</v>
      </c>
      <c r="K1039">
        <v>1</v>
      </c>
      <c r="M1039">
        <v>1</v>
      </c>
      <c r="N1039">
        <v>1</v>
      </c>
    </row>
    <row r="1040" spans="1:14" x14ac:dyDescent="0.45">
      <c r="A1040" t="s">
        <v>3187</v>
      </c>
      <c r="B1040" t="s">
        <v>3188</v>
      </c>
      <c r="C1040" t="s">
        <v>3163</v>
      </c>
      <c r="D1040" t="s">
        <v>3164</v>
      </c>
      <c r="E1040" t="s">
        <v>316</v>
      </c>
      <c r="F1040" t="s">
        <v>317</v>
      </c>
      <c r="G1040" t="s">
        <v>750</v>
      </c>
      <c r="H1040" t="s">
        <v>1640</v>
      </c>
      <c r="I1040" t="s">
        <v>196</v>
      </c>
      <c r="J1040" t="s">
        <v>320</v>
      </c>
      <c r="K1040">
        <v>1</v>
      </c>
      <c r="M1040">
        <v>1</v>
      </c>
      <c r="N1040">
        <v>1</v>
      </c>
    </row>
    <row r="1041" spans="1:14" x14ac:dyDescent="0.45">
      <c r="A1041" t="s">
        <v>1709</v>
      </c>
      <c r="B1041" t="s">
        <v>3198</v>
      </c>
      <c r="C1041" t="s">
        <v>3194</v>
      </c>
      <c r="D1041" t="s">
        <v>3195</v>
      </c>
      <c r="E1041" t="s">
        <v>316</v>
      </c>
      <c r="F1041" t="s">
        <v>317</v>
      </c>
      <c r="G1041" t="s">
        <v>750</v>
      </c>
      <c r="H1041" t="s">
        <v>1640</v>
      </c>
      <c r="I1041" t="s">
        <v>196</v>
      </c>
      <c r="J1041" t="s">
        <v>320</v>
      </c>
      <c r="K1041">
        <v>1</v>
      </c>
      <c r="M1041">
        <v>1</v>
      </c>
      <c r="N1041">
        <v>1</v>
      </c>
    </row>
    <row r="1042" spans="1:14" x14ac:dyDescent="0.45">
      <c r="A1042" t="s">
        <v>1015</v>
      </c>
      <c r="B1042" t="s">
        <v>3199</v>
      </c>
      <c r="C1042" t="s">
        <v>3194</v>
      </c>
      <c r="D1042" t="s">
        <v>3195</v>
      </c>
      <c r="E1042" t="s">
        <v>316</v>
      </c>
      <c r="F1042" t="s">
        <v>317</v>
      </c>
      <c r="G1042" t="s">
        <v>750</v>
      </c>
      <c r="H1042" t="s">
        <v>1640</v>
      </c>
      <c r="I1042" t="s">
        <v>196</v>
      </c>
      <c r="J1042" t="s">
        <v>320</v>
      </c>
      <c r="K1042">
        <v>1</v>
      </c>
      <c r="M1042">
        <v>1</v>
      </c>
      <c r="N1042">
        <v>1</v>
      </c>
    </row>
    <row r="1043" spans="1:14" x14ac:dyDescent="0.45">
      <c r="A1043" t="s">
        <v>3200</v>
      </c>
      <c r="B1043" t="s">
        <v>3201</v>
      </c>
      <c r="C1043" t="s">
        <v>3194</v>
      </c>
      <c r="D1043" t="s">
        <v>3195</v>
      </c>
      <c r="E1043" t="s">
        <v>316</v>
      </c>
      <c r="F1043" t="s">
        <v>317</v>
      </c>
      <c r="G1043" t="s">
        <v>750</v>
      </c>
      <c r="H1043" t="s">
        <v>1640</v>
      </c>
      <c r="I1043" t="s">
        <v>196</v>
      </c>
      <c r="J1043" t="s">
        <v>320</v>
      </c>
      <c r="K1043">
        <v>1</v>
      </c>
      <c r="M1043">
        <v>1</v>
      </c>
      <c r="N1043">
        <v>1</v>
      </c>
    </row>
    <row r="1044" spans="1:14" x14ac:dyDescent="0.45">
      <c r="A1044" t="s">
        <v>3205</v>
      </c>
      <c r="B1044" t="s">
        <v>3206</v>
      </c>
      <c r="C1044" t="s">
        <v>3194</v>
      </c>
      <c r="D1044" t="s">
        <v>3195</v>
      </c>
      <c r="E1044" t="s">
        <v>316</v>
      </c>
      <c r="F1044" t="s">
        <v>317</v>
      </c>
      <c r="G1044" t="s">
        <v>750</v>
      </c>
      <c r="H1044" t="s">
        <v>1640</v>
      </c>
      <c r="I1044" t="s">
        <v>196</v>
      </c>
      <c r="J1044" t="s">
        <v>320</v>
      </c>
      <c r="K1044">
        <v>1</v>
      </c>
      <c r="M1044">
        <v>1</v>
      </c>
      <c r="N1044">
        <v>1</v>
      </c>
    </row>
    <row r="1045" spans="1:14" x14ac:dyDescent="0.45">
      <c r="A1045" t="s">
        <v>3207</v>
      </c>
      <c r="B1045" t="s">
        <v>3208</v>
      </c>
      <c r="C1045" t="s">
        <v>3194</v>
      </c>
      <c r="D1045" t="s">
        <v>3195</v>
      </c>
      <c r="E1045" t="s">
        <v>316</v>
      </c>
      <c r="F1045" t="s">
        <v>317</v>
      </c>
      <c r="G1045" t="s">
        <v>750</v>
      </c>
      <c r="H1045" t="s">
        <v>1640</v>
      </c>
      <c r="I1045" t="s">
        <v>196</v>
      </c>
      <c r="J1045" t="s">
        <v>320</v>
      </c>
      <c r="K1045">
        <v>1</v>
      </c>
      <c r="M1045">
        <v>1</v>
      </c>
      <c r="N1045">
        <v>1</v>
      </c>
    </row>
    <row r="1046" spans="1:14" x14ac:dyDescent="0.45">
      <c r="A1046" t="s">
        <v>3097</v>
      </c>
      <c r="B1046" t="s">
        <v>3098</v>
      </c>
      <c r="C1046" t="s">
        <v>3095</v>
      </c>
      <c r="D1046" t="s">
        <v>3096</v>
      </c>
      <c r="E1046" t="s">
        <v>316</v>
      </c>
      <c r="F1046" t="s">
        <v>317</v>
      </c>
      <c r="G1046" t="s">
        <v>750</v>
      </c>
      <c r="H1046" t="s">
        <v>1003</v>
      </c>
      <c r="I1046" t="s">
        <v>199</v>
      </c>
      <c r="J1046" t="s">
        <v>321</v>
      </c>
      <c r="M1046">
        <v>1</v>
      </c>
      <c r="N1046">
        <v>1</v>
      </c>
    </row>
    <row r="1047" spans="1:14" x14ac:dyDescent="0.45">
      <c r="A1047" t="s">
        <v>2720</v>
      </c>
      <c r="B1047" t="s">
        <v>3100</v>
      </c>
      <c r="C1047" t="s">
        <v>3095</v>
      </c>
      <c r="D1047" t="s">
        <v>3096</v>
      </c>
      <c r="E1047" t="s">
        <v>316</v>
      </c>
      <c r="F1047" t="s">
        <v>317</v>
      </c>
      <c r="G1047" t="s">
        <v>750</v>
      </c>
      <c r="H1047" t="s">
        <v>1003</v>
      </c>
      <c r="I1047" t="s">
        <v>199</v>
      </c>
      <c r="J1047" t="s">
        <v>321</v>
      </c>
      <c r="M1047">
        <v>1</v>
      </c>
      <c r="N1047">
        <v>1</v>
      </c>
    </row>
    <row r="1048" spans="1:14" x14ac:dyDescent="0.45">
      <c r="A1048" t="s">
        <v>3103</v>
      </c>
      <c r="B1048" t="s">
        <v>3104</v>
      </c>
      <c r="C1048" t="s">
        <v>3105</v>
      </c>
      <c r="D1048" t="s">
        <v>3106</v>
      </c>
      <c r="E1048" t="s">
        <v>316</v>
      </c>
      <c r="F1048" t="s">
        <v>317</v>
      </c>
      <c r="G1048" t="s">
        <v>750</v>
      </c>
      <c r="H1048" t="s">
        <v>1003</v>
      </c>
      <c r="I1048" t="s">
        <v>199</v>
      </c>
      <c r="J1048" t="s">
        <v>321</v>
      </c>
      <c r="M1048">
        <v>1</v>
      </c>
      <c r="N1048">
        <v>1</v>
      </c>
    </row>
    <row r="1049" spans="1:14" x14ac:dyDescent="0.45">
      <c r="A1049" t="s">
        <v>3107</v>
      </c>
      <c r="B1049" t="s">
        <v>3108</v>
      </c>
      <c r="C1049" t="s">
        <v>3105</v>
      </c>
      <c r="D1049" t="s">
        <v>3106</v>
      </c>
      <c r="E1049" t="s">
        <v>316</v>
      </c>
      <c r="F1049" t="s">
        <v>317</v>
      </c>
      <c r="G1049" t="s">
        <v>750</v>
      </c>
      <c r="H1049" t="s">
        <v>1003</v>
      </c>
      <c r="I1049" t="s">
        <v>199</v>
      </c>
      <c r="J1049" t="s">
        <v>321</v>
      </c>
      <c r="M1049">
        <v>1</v>
      </c>
      <c r="N1049">
        <v>1</v>
      </c>
    </row>
    <row r="1050" spans="1:14" x14ac:dyDescent="0.45">
      <c r="A1050" t="s">
        <v>258</v>
      </c>
      <c r="B1050" t="s">
        <v>3111</v>
      </c>
      <c r="C1050" t="s">
        <v>3105</v>
      </c>
      <c r="D1050" t="s">
        <v>3106</v>
      </c>
      <c r="E1050" t="s">
        <v>316</v>
      </c>
      <c r="F1050" t="s">
        <v>317</v>
      </c>
      <c r="G1050" t="s">
        <v>750</v>
      </c>
      <c r="H1050" t="s">
        <v>1003</v>
      </c>
      <c r="I1050" t="s">
        <v>199</v>
      </c>
      <c r="J1050" t="s">
        <v>321</v>
      </c>
      <c r="M1050">
        <v>1</v>
      </c>
      <c r="N1050">
        <v>1</v>
      </c>
    </row>
    <row r="1051" spans="1:14" x14ac:dyDescent="0.45">
      <c r="A1051" t="s">
        <v>3120</v>
      </c>
      <c r="B1051" t="s">
        <v>3121</v>
      </c>
      <c r="C1051" t="s">
        <v>3122</v>
      </c>
      <c r="D1051" t="s">
        <v>3123</v>
      </c>
      <c r="E1051" t="s">
        <v>316</v>
      </c>
      <c r="F1051" t="s">
        <v>317</v>
      </c>
      <c r="G1051" t="s">
        <v>750</v>
      </c>
      <c r="H1051" t="s">
        <v>1003</v>
      </c>
      <c r="I1051" t="s">
        <v>199</v>
      </c>
      <c r="J1051" t="s">
        <v>321</v>
      </c>
      <c r="M1051">
        <v>1</v>
      </c>
      <c r="N1051">
        <v>1</v>
      </c>
    </row>
    <row r="1052" spans="1:14" x14ac:dyDescent="0.45">
      <c r="A1052" t="s">
        <v>3124</v>
      </c>
      <c r="B1052" t="s">
        <v>3125</v>
      </c>
      <c r="C1052" t="s">
        <v>3122</v>
      </c>
      <c r="D1052" t="s">
        <v>3123</v>
      </c>
      <c r="E1052" t="s">
        <v>316</v>
      </c>
      <c r="F1052" t="s">
        <v>317</v>
      </c>
      <c r="G1052" t="s">
        <v>750</v>
      </c>
      <c r="H1052" t="s">
        <v>1003</v>
      </c>
      <c r="I1052" t="s">
        <v>199</v>
      </c>
      <c r="J1052" t="s">
        <v>321</v>
      </c>
      <c r="M1052">
        <v>1</v>
      </c>
      <c r="N1052">
        <v>1</v>
      </c>
    </row>
    <row r="1053" spans="1:14" x14ac:dyDescent="0.45">
      <c r="A1053" t="s">
        <v>3126</v>
      </c>
      <c r="B1053" t="s">
        <v>3127</v>
      </c>
      <c r="C1053" t="s">
        <v>3122</v>
      </c>
      <c r="D1053" t="s">
        <v>3123</v>
      </c>
      <c r="E1053" t="s">
        <v>316</v>
      </c>
      <c r="F1053" t="s">
        <v>317</v>
      </c>
      <c r="G1053" t="s">
        <v>750</v>
      </c>
      <c r="H1053" t="s">
        <v>1003</v>
      </c>
      <c r="I1053" t="s">
        <v>199</v>
      </c>
      <c r="J1053" t="s">
        <v>321</v>
      </c>
      <c r="M1053">
        <v>1</v>
      </c>
      <c r="N1053">
        <v>1</v>
      </c>
    </row>
    <row r="1054" spans="1:14" x14ac:dyDescent="0.45">
      <c r="A1054" t="s">
        <v>3128</v>
      </c>
      <c r="B1054" t="s">
        <v>3129</v>
      </c>
      <c r="C1054" t="s">
        <v>3122</v>
      </c>
      <c r="D1054" t="s">
        <v>3123</v>
      </c>
      <c r="E1054" t="s">
        <v>316</v>
      </c>
      <c r="F1054" t="s">
        <v>317</v>
      </c>
      <c r="G1054" t="s">
        <v>750</v>
      </c>
      <c r="H1054" t="s">
        <v>1003</v>
      </c>
      <c r="I1054" t="s">
        <v>199</v>
      </c>
      <c r="J1054" t="s">
        <v>321</v>
      </c>
      <c r="M1054">
        <v>1</v>
      </c>
      <c r="N1054">
        <v>1</v>
      </c>
    </row>
    <row r="1055" spans="1:14" x14ac:dyDescent="0.45">
      <c r="A1055" t="s">
        <v>3130</v>
      </c>
      <c r="B1055" t="s">
        <v>3131</v>
      </c>
      <c r="C1055" t="s">
        <v>3122</v>
      </c>
      <c r="D1055" t="s">
        <v>3123</v>
      </c>
      <c r="E1055" t="s">
        <v>316</v>
      </c>
      <c r="F1055" t="s">
        <v>317</v>
      </c>
      <c r="G1055" t="s">
        <v>750</v>
      </c>
      <c r="H1055" t="s">
        <v>1003</v>
      </c>
      <c r="I1055" t="s">
        <v>199</v>
      </c>
      <c r="J1055" t="s">
        <v>321</v>
      </c>
      <c r="M1055">
        <v>1</v>
      </c>
      <c r="N1055">
        <v>1</v>
      </c>
    </row>
    <row r="1056" spans="1:14" x14ac:dyDescent="0.45">
      <c r="A1056" t="s">
        <v>3132</v>
      </c>
      <c r="B1056" t="s">
        <v>3133</v>
      </c>
      <c r="C1056" t="s">
        <v>3122</v>
      </c>
      <c r="D1056" t="s">
        <v>3123</v>
      </c>
      <c r="E1056" t="s">
        <v>316</v>
      </c>
      <c r="F1056" t="s">
        <v>317</v>
      </c>
      <c r="G1056" t="s">
        <v>750</v>
      </c>
      <c r="H1056" t="s">
        <v>1003</v>
      </c>
      <c r="I1056" t="s">
        <v>199</v>
      </c>
      <c r="J1056" t="s">
        <v>321</v>
      </c>
      <c r="M1056">
        <v>1</v>
      </c>
      <c r="N1056">
        <v>1</v>
      </c>
    </row>
    <row r="1057" spans="1:14" x14ac:dyDescent="0.45">
      <c r="A1057" t="s">
        <v>2550</v>
      </c>
      <c r="B1057" t="s">
        <v>3150</v>
      </c>
      <c r="C1057" t="s">
        <v>3151</v>
      </c>
      <c r="D1057" t="s">
        <v>3152</v>
      </c>
      <c r="E1057" t="s">
        <v>316</v>
      </c>
      <c r="F1057" t="s">
        <v>317</v>
      </c>
      <c r="G1057" t="s">
        <v>750</v>
      </c>
      <c r="H1057" t="s">
        <v>1003</v>
      </c>
      <c r="I1057" t="s">
        <v>199</v>
      </c>
      <c r="J1057" t="s">
        <v>321</v>
      </c>
      <c r="M1057">
        <v>1</v>
      </c>
      <c r="N1057">
        <v>1</v>
      </c>
    </row>
    <row r="1058" spans="1:14" x14ac:dyDescent="0.45">
      <c r="A1058" t="s">
        <v>3153</v>
      </c>
      <c r="B1058" t="s">
        <v>3154</v>
      </c>
      <c r="C1058" t="s">
        <v>3151</v>
      </c>
      <c r="D1058" t="s">
        <v>3152</v>
      </c>
      <c r="E1058" t="s">
        <v>316</v>
      </c>
      <c r="F1058" t="s">
        <v>317</v>
      </c>
      <c r="G1058" t="s">
        <v>750</v>
      </c>
      <c r="H1058" t="s">
        <v>1003</v>
      </c>
      <c r="I1058" t="s">
        <v>199</v>
      </c>
      <c r="J1058" t="s">
        <v>321</v>
      </c>
      <c r="M1058">
        <v>1</v>
      </c>
      <c r="N1058">
        <v>1</v>
      </c>
    </row>
    <row r="1059" spans="1:14" x14ac:dyDescent="0.45">
      <c r="A1059" t="s">
        <v>3155</v>
      </c>
      <c r="B1059" t="s">
        <v>3156</v>
      </c>
      <c r="C1059" t="s">
        <v>3151</v>
      </c>
      <c r="D1059" t="s">
        <v>3152</v>
      </c>
      <c r="E1059" t="s">
        <v>316</v>
      </c>
      <c r="F1059" t="s">
        <v>317</v>
      </c>
      <c r="G1059" t="s">
        <v>750</v>
      </c>
      <c r="H1059" t="s">
        <v>1003</v>
      </c>
      <c r="I1059" t="s">
        <v>199</v>
      </c>
      <c r="J1059" t="s">
        <v>321</v>
      </c>
      <c r="M1059">
        <v>1</v>
      </c>
      <c r="N1059">
        <v>1</v>
      </c>
    </row>
    <row r="1060" spans="1:14" x14ac:dyDescent="0.45">
      <c r="A1060" t="s">
        <v>3157</v>
      </c>
      <c r="B1060" t="s">
        <v>3158</v>
      </c>
      <c r="C1060" t="s">
        <v>3151</v>
      </c>
      <c r="D1060" t="s">
        <v>3152</v>
      </c>
      <c r="E1060" t="s">
        <v>316</v>
      </c>
      <c r="F1060" t="s">
        <v>317</v>
      </c>
      <c r="G1060" t="s">
        <v>750</v>
      </c>
      <c r="H1060" t="s">
        <v>1003</v>
      </c>
      <c r="I1060" t="s">
        <v>199</v>
      </c>
      <c r="J1060" t="s">
        <v>321</v>
      </c>
      <c r="M1060">
        <v>1</v>
      </c>
      <c r="N1060">
        <v>1</v>
      </c>
    </row>
    <row r="1061" spans="1:14" x14ac:dyDescent="0.45">
      <c r="A1061" t="s">
        <v>3159</v>
      </c>
      <c r="B1061" t="s">
        <v>3160</v>
      </c>
      <c r="C1061" t="s">
        <v>3151</v>
      </c>
      <c r="D1061" t="s">
        <v>3152</v>
      </c>
      <c r="E1061" t="s">
        <v>316</v>
      </c>
      <c r="F1061" t="s">
        <v>317</v>
      </c>
      <c r="G1061" t="s">
        <v>750</v>
      </c>
      <c r="H1061" t="s">
        <v>1003</v>
      </c>
      <c r="I1061" t="s">
        <v>199</v>
      </c>
      <c r="J1061" t="s">
        <v>321</v>
      </c>
      <c r="M1061">
        <v>1</v>
      </c>
      <c r="N1061">
        <v>1</v>
      </c>
    </row>
    <row r="1062" spans="1:14" x14ac:dyDescent="0.45">
      <c r="A1062" t="s">
        <v>3177</v>
      </c>
      <c r="B1062" t="s">
        <v>3178</v>
      </c>
      <c r="C1062" t="s">
        <v>3163</v>
      </c>
      <c r="D1062" t="s">
        <v>3164</v>
      </c>
      <c r="E1062" t="s">
        <v>316</v>
      </c>
      <c r="F1062" t="s">
        <v>317</v>
      </c>
      <c r="G1062" t="s">
        <v>750</v>
      </c>
      <c r="H1062" t="s">
        <v>1003</v>
      </c>
      <c r="I1062" t="s">
        <v>199</v>
      </c>
      <c r="J1062" t="s">
        <v>321</v>
      </c>
      <c r="M1062">
        <v>1</v>
      </c>
      <c r="N1062">
        <v>1</v>
      </c>
    </row>
    <row r="1063" spans="1:14" x14ac:dyDescent="0.45">
      <c r="A1063" t="s">
        <v>3179</v>
      </c>
      <c r="B1063" t="s">
        <v>3180</v>
      </c>
      <c r="C1063" t="s">
        <v>3163</v>
      </c>
      <c r="D1063" t="s">
        <v>3164</v>
      </c>
      <c r="E1063" t="s">
        <v>316</v>
      </c>
      <c r="F1063" t="s">
        <v>317</v>
      </c>
      <c r="G1063" t="s">
        <v>750</v>
      </c>
      <c r="H1063" t="s">
        <v>1003</v>
      </c>
      <c r="I1063" t="s">
        <v>199</v>
      </c>
      <c r="J1063" t="s">
        <v>321</v>
      </c>
      <c r="M1063">
        <v>1</v>
      </c>
      <c r="N1063">
        <v>1</v>
      </c>
    </row>
    <row r="1064" spans="1:14" x14ac:dyDescent="0.45">
      <c r="A1064" t="s">
        <v>3196</v>
      </c>
      <c r="B1064" t="s">
        <v>3197</v>
      </c>
      <c r="C1064" t="s">
        <v>3194</v>
      </c>
      <c r="D1064" t="s">
        <v>3195</v>
      </c>
      <c r="E1064" t="s">
        <v>316</v>
      </c>
      <c r="F1064" t="s">
        <v>317</v>
      </c>
      <c r="G1064" t="s">
        <v>750</v>
      </c>
      <c r="H1064" t="s">
        <v>1003</v>
      </c>
      <c r="I1064" t="s">
        <v>199</v>
      </c>
      <c r="J1064" t="s">
        <v>321</v>
      </c>
      <c r="M1064">
        <v>1</v>
      </c>
      <c r="N1064">
        <v>1</v>
      </c>
    </row>
    <row r="1065" spans="1:14" x14ac:dyDescent="0.45">
      <c r="A1065" t="s">
        <v>1025</v>
      </c>
      <c r="B1065" t="s">
        <v>3202</v>
      </c>
      <c r="C1065" t="s">
        <v>3194</v>
      </c>
      <c r="D1065" t="s">
        <v>3195</v>
      </c>
      <c r="E1065" t="s">
        <v>316</v>
      </c>
      <c r="F1065" t="s">
        <v>317</v>
      </c>
      <c r="G1065" t="s">
        <v>750</v>
      </c>
      <c r="H1065" t="s">
        <v>1003</v>
      </c>
      <c r="I1065" t="s">
        <v>199</v>
      </c>
      <c r="J1065" t="s">
        <v>321</v>
      </c>
      <c r="M1065">
        <v>1</v>
      </c>
      <c r="N1065">
        <v>1</v>
      </c>
    </row>
    <row r="1066" spans="1:14" x14ac:dyDescent="0.45">
      <c r="A1066" t="s">
        <v>316</v>
      </c>
      <c r="B1066" t="s">
        <v>3189</v>
      </c>
      <c r="C1066" t="s">
        <v>3163</v>
      </c>
      <c r="D1066" t="s">
        <v>3164</v>
      </c>
      <c r="E1066" t="s">
        <v>316</v>
      </c>
      <c r="F1066" t="s">
        <v>317</v>
      </c>
      <c r="G1066" t="s">
        <v>750</v>
      </c>
      <c r="H1066" t="s">
        <v>1644</v>
      </c>
      <c r="I1066" t="s">
        <v>196</v>
      </c>
      <c r="J1066" t="s">
        <v>323</v>
      </c>
      <c r="K1066">
        <v>1</v>
      </c>
      <c r="M1066">
        <v>1</v>
      </c>
      <c r="N1066">
        <v>1</v>
      </c>
    </row>
    <row r="1067" spans="1:14" x14ac:dyDescent="0.45">
      <c r="A1067" t="s">
        <v>3209</v>
      </c>
      <c r="B1067" t="s">
        <v>3210</v>
      </c>
      <c r="C1067" t="s">
        <v>3211</v>
      </c>
      <c r="D1067" t="s">
        <v>3212</v>
      </c>
      <c r="E1067" t="s">
        <v>324</v>
      </c>
      <c r="F1067" t="s">
        <v>325</v>
      </c>
      <c r="G1067" t="s">
        <v>750</v>
      </c>
      <c r="H1067" t="s">
        <v>2894</v>
      </c>
      <c r="I1067" t="s">
        <v>193</v>
      </c>
      <c r="J1067" t="s">
        <v>327</v>
      </c>
      <c r="K1067">
        <v>1</v>
      </c>
      <c r="L1067">
        <v>1</v>
      </c>
      <c r="M1067">
        <v>1</v>
      </c>
      <c r="N1067">
        <v>1</v>
      </c>
    </row>
    <row r="1068" spans="1:14" x14ac:dyDescent="0.45">
      <c r="A1068" t="s">
        <v>3222</v>
      </c>
      <c r="B1068" t="s">
        <v>3223</v>
      </c>
      <c r="C1068" t="s">
        <v>3211</v>
      </c>
      <c r="D1068" t="s">
        <v>3212</v>
      </c>
      <c r="E1068" t="s">
        <v>324</v>
      </c>
      <c r="F1068" t="s">
        <v>325</v>
      </c>
      <c r="G1068" t="s">
        <v>750</v>
      </c>
      <c r="H1068" t="s">
        <v>2894</v>
      </c>
      <c r="I1068" t="s">
        <v>193</v>
      </c>
      <c r="J1068" t="s">
        <v>327</v>
      </c>
      <c r="K1068">
        <v>1</v>
      </c>
      <c r="L1068">
        <v>1</v>
      </c>
      <c r="M1068">
        <v>1</v>
      </c>
      <c r="N1068">
        <v>1</v>
      </c>
    </row>
    <row r="1069" spans="1:14" x14ac:dyDescent="0.45">
      <c r="A1069" t="s">
        <v>3224</v>
      </c>
      <c r="B1069" t="s">
        <v>3225</v>
      </c>
      <c r="C1069" t="s">
        <v>3211</v>
      </c>
      <c r="D1069" t="s">
        <v>3212</v>
      </c>
      <c r="E1069" t="s">
        <v>324</v>
      </c>
      <c r="F1069" t="s">
        <v>325</v>
      </c>
      <c r="G1069" t="s">
        <v>750</v>
      </c>
      <c r="H1069" t="s">
        <v>2894</v>
      </c>
      <c r="I1069" t="s">
        <v>193</v>
      </c>
      <c r="J1069" t="s">
        <v>327</v>
      </c>
      <c r="K1069">
        <v>1</v>
      </c>
      <c r="L1069">
        <v>1</v>
      </c>
      <c r="M1069">
        <v>1</v>
      </c>
      <c r="N1069">
        <v>1</v>
      </c>
    </row>
    <row r="1070" spans="1:14" x14ac:dyDescent="0.45">
      <c r="A1070" t="s">
        <v>1013</v>
      </c>
      <c r="B1070" t="s">
        <v>3226</v>
      </c>
      <c r="C1070" t="s">
        <v>3211</v>
      </c>
      <c r="D1070" t="s">
        <v>3212</v>
      </c>
      <c r="E1070" t="s">
        <v>324</v>
      </c>
      <c r="F1070" t="s">
        <v>325</v>
      </c>
      <c r="G1070" t="s">
        <v>750</v>
      </c>
      <c r="H1070" t="s">
        <v>2894</v>
      </c>
      <c r="I1070" t="s">
        <v>193</v>
      </c>
      <c r="J1070" t="s">
        <v>327</v>
      </c>
      <c r="K1070">
        <v>1</v>
      </c>
      <c r="L1070">
        <v>1</v>
      </c>
      <c r="M1070">
        <v>1</v>
      </c>
      <c r="N1070">
        <v>1</v>
      </c>
    </row>
    <row r="1071" spans="1:14" x14ac:dyDescent="0.45">
      <c r="A1071" t="s">
        <v>3227</v>
      </c>
      <c r="B1071" t="s">
        <v>3228</v>
      </c>
      <c r="C1071" t="s">
        <v>3211</v>
      </c>
      <c r="D1071" t="s">
        <v>3212</v>
      </c>
      <c r="E1071" t="s">
        <v>324</v>
      </c>
      <c r="F1071" t="s">
        <v>325</v>
      </c>
      <c r="G1071" t="s">
        <v>750</v>
      </c>
      <c r="H1071" t="s">
        <v>2894</v>
      </c>
      <c r="I1071" t="s">
        <v>193</v>
      </c>
      <c r="J1071" t="s">
        <v>327</v>
      </c>
      <c r="K1071">
        <v>1</v>
      </c>
      <c r="L1071">
        <v>1</v>
      </c>
      <c r="M1071">
        <v>1</v>
      </c>
      <c r="N1071">
        <v>1</v>
      </c>
    </row>
    <row r="1072" spans="1:14" x14ac:dyDescent="0.45">
      <c r="A1072" t="s">
        <v>3229</v>
      </c>
      <c r="B1072" t="s">
        <v>3230</v>
      </c>
      <c r="C1072" t="s">
        <v>3211</v>
      </c>
      <c r="D1072" t="s">
        <v>3212</v>
      </c>
      <c r="E1072" t="s">
        <v>324</v>
      </c>
      <c r="F1072" t="s">
        <v>325</v>
      </c>
      <c r="G1072" t="s">
        <v>750</v>
      </c>
      <c r="H1072" t="s">
        <v>2894</v>
      </c>
      <c r="I1072" t="s">
        <v>193</v>
      </c>
      <c r="J1072" t="s">
        <v>327</v>
      </c>
      <c r="K1072">
        <v>1</v>
      </c>
      <c r="L1072">
        <v>1</v>
      </c>
      <c r="M1072">
        <v>1</v>
      </c>
      <c r="N1072">
        <v>1</v>
      </c>
    </row>
    <row r="1073" spans="1:14" x14ac:dyDescent="0.45">
      <c r="A1073" t="s">
        <v>1294</v>
      </c>
      <c r="B1073" t="s">
        <v>3286</v>
      </c>
      <c r="C1073" t="s">
        <v>3287</v>
      </c>
      <c r="D1073" t="s">
        <v>3288</v>
      </c>
      <c r="E1073" t="s">
        <v>324</v>
      </c>
      <c r="F1073" t="s">
        <v>325</v>
      </c>
      <c r="G1073" t="s">
        <v>750</v>
      </c>
      <c r="H1073" t="s">
        <v>2894</v>
      </c>
      <c r="I1073" t="s">
        <v>193</v>
      </c>
      <c r="J1073" t="s">
        <v>327</v>
      </c>
      <c r="K1073">
        <v>1</v>
      </c>
      <c r="L1073">
        <v>1</v>
      </c>
      <c r="M1073">
        <v>1</v>
      </c>
      <c r="N1073">
        <v>1</v>
      </c>
    </row>
    <row r="1074" spans="1:14" x14ac:dyDescent="0.45">
      <c r="A1074" t="s">
        <v>3292</v>
      </c>
      <c r="B1074" t="s">
        <v>3293</v>
      </c>
      <c r="C1074" t="s">
        <v>3287</v>
      </c>
      <c r="D1074" t="s">
        <v>3288</v>
      </c>
      <c r="E1074" t="s">
        <v>324</v>
      </c>
      <c r="F1074" t="s">
        <v>325</v>
      </c>
      <c r="G1074" t="s">
        <v>750</v>
      </c>
      <c r="H1074" t="s">
        <v>2894</v>
      </c>
      <c r="I1074" t="s">
        <v>193</v>
      </c>
      <c r="J1074" t="s">
        <v>327</v>
      </c>
      <c r="K1074">
        <v>1</v>
      </c>
      <c r="L1074">
        <v>1</v>
      </c>
      <c r="M1074">
        <v>1</v>
      </c>
      <c r="N1074">
        <v>1</v>
      </c>
    </row>
    <row r="1075" spans="1:14" x14ac:dyDescent="0.45">
      <c r="A1075" t="s">
        <v>3294</v>
      </c>
      <c r="B1075" t="s">
        <v>3295</v>
      </c>
      <c r="C1075" t="s">
        <v>3287</v>
      </c>
      <c r="D1075" t="s">
        <v>3288</v>
      </c>
      <c r="E1075" t="s">
        <v>324</v>
      </c>
      <c r="F1075" t="s">
        <v>325</v>
      </c>
      <c r="G1075" t="s">
        <v>750</v>
      </c>
      <c r="H1075" t="s">
        <v>2894</v>
      </c>
      <c r="I1075" t="s">
        <v>193</v>
      </c>
      <c r="J1075" t="s">
        <v>327</v>
      </c>
      <c r="K1075">
        <v>1</v>
      </c>
      <c r="L1075">
        <v>1</v>
      </c>
      <c r="M1075">
        <v>1</v>
      </c>
      <c r="N1075">
        <v>1</v>
      </c>
    </row>
    <row r="1076" spans="1:14" x14ac:dyDescent="0.45">
      <c r="A1076" t="s">
        <v>3298</v>
      </c>
      <c r="B1076" t="s">
        <v>3299</v>
      </c>
      <c r="C1076" t="s">
        <v>3287</v>
      </c>
      <c r="D1076" t="s">
        <v>3288</v>
      </c>
      <c r="E1076" t="s">
        <v>324</v>
      </c>
      <c r="F1076" t="s">
        <v>325</v>
      </c>
      <c r="G1076" t="s">
        <v>750</v>
      </c>
      <c r="H1076" t="s">
        <v>2894</v>
      </c>
      <c r="I1076" t="s">
        <v>193</v>
      </c>
      <c r="J1076" t="s">
        <v>327</v>
      </c>
      <c r="K1076">
        <v>1</v>
      </c>
      <c r="L1076">
        <v>1</v>
      </c>
      <c r="M1076">
        <v>1</v>
      </c>
      <c r="N1076">
        <v>1</v>
      </c>
    </row>
    <row r="1077" spans="1:14" x14ac:dyDescent="0.45">
      <c r="A1077" t="s">
        <v>3301</v>
      </c>
      <c r="B1077" t="s">
        <v>3302</v>
      </c>
      <c r="C1077" t="s">
        <v>3287</v>
      </c>
      <c r="D1077" t="s">
        <v>3288</v>
      </c>
      <c r="E1077" t="s">
        <v>324</v>
      </c>
      <c r="F1077" t="s">
        <v>325</v>
      </c>
      <c r="G1077" t="s">
        <v>750</v>
      </c>
      <c r="H1077" t="s">
        <v>2894</v>
      </c>
      <c r="I1077" t="s">
        <v>193</v>
      </c>
      <c r="J1077" t="s">
        <v>327</v>
      </c>
      <c r="K1077">
        <v>1</v>
      </c>
      <c r="L1077">
        <v>1</v>
      </c>
      <c r="M1077">
        <v>1</v>
      </c>
      <c r="N1077">
        <v>1</v>
      </c>
    </row>
    <row r="1078" spans="1:14" x14ac:dyDescent="0.45">
      <c r="A1078" t="s">
        <v>3213</v>
      </c>
      <c r="B1078" t="s">
        <v>3214</v>
      </c>
      <c r="C1078" t="s">
        <v>3211</v>
      </c>
      <c r="D1078" t="s">
        <v>3212</v>
      </c>
      <c r="E1078" t="s">
        <v>324</v>
      </c>
      <c r="F1078" t="s">
        <v>325</v>
      </c>
      <c r="G1078" t="s">
        <v>750</v>
      </c>
      <c r="H1078" t="s">
        <v>254</v>
      </c>
      <c r="I1078" t="s">
        <v>196</v>
      </c>
      <c r="J1078" t="s">
        <v>328</v>
      </c>
      <c r="K1078">
        <v>1</v>
      </c>
      <c r="M1078">
        <v>1</v>
      </c>
      <c r="N1078">
        <v>1</v>
      </c>
    </row>
    <row r="1079" spans="1:14" x14ac:dyDescent="0.45">
      <c r="A1079" t="s">
        <v>3215</v>
      </c>
      <c r="B1079" t="s">
        <v>3216</v>
      </c>
      <c r="C1079" t="s">
        <v>3211</v>
      </c>
      <c r="D1079" t="s">
        <v>3212</v>
      </c>
      <c r="E1079" t="s">
        <v>324</v>
      </c>
      <c r="F1079" t="s">
        <v>325</v>
      </c>
      <c r="G1079" t="s">
        <v>750</v>
      </c>
      <c r="H1079" t="s">
        <v>254</v>
      </c>
      <c r="I1079" t="s">
        <v>196</v>
      </c>
      <c r="J1079" t="s">
        <v>328</v>
      </c>
      <c r="K1079">
        <v>1</v>
      </c>
      <c r="M1079">
        <v>1</v>
      </c>
      <c r="N1079">
        <v>1</v>
      </c>
    </row>
    <row r="1080" spans="1:14" x14ac:dyDescent="0.45">
      <c r="A1080" t="s">
        <v>3217</v>
      </c>
      <c r="B1080" t="s">
        <v>3218</v>
      </c>
      <c r="C1080" t="s">
        <v>3211</v>
      </c>
      <c r="D1080" t="s">
        <v>3212</v>
      </c>
      <c r="E1080" t="s">
        <v>324</v>
      </c>
      <c r="F1080" t="s">
        <v>325</v>
      </c>
      <c r="G1080" t="s">
        <v>750</v>
      </c>
      <c r="H1080" t="s">
        <v>254</v>
      </c>
      <c r="I1080" t="s">
        <v>196</v>
      </c>
      <c r="J1080" t="s">
        <v>328</v>
      </c>
      <c r="K1080">
        <v>1</v>
      </c>
      <c r="M1080">
        <v>1</v>
      </c>
      <c r="N1080">
        <v>1</v>
      </c>
    </row>
    <row r="1081" spans="1:14" x14ac:dyDescent="0.45">
      <c r="A1081" t="s">
        <v>872</v>
      </c>
      <c r="B1081" t="s">
        <v>3219</v>
      </c>
      <c r="C1081" t="s">
        <v>3211</v>
      </c>
      <c r="D1081" t="s">
        <v>3212</v>
      </c>
      <c r="E1081" t="s">
        <v>324</v>
      </c>
      <c r="F1081" t="s">
        <v>325</v>
      </c>
      <c r="G1081" t="s">
        <v>750</v>
      </c>
      <c r="H1081" t="s">
        <v>254</v>
      </c>
      <c r="I1081" t="s">
        <v>196</v>
      </c>
      <c r="J1081" t="s">
        <v>328</v>
      </c>
      <c r="K1081">
        <v>1</v>
      </c>
      <c r="M1081">
        <v>1</v>
      </c>
      <c r="N1081">
        <v>1</v>
      </c>
    </row>
    <row r="1082" spans="1:14" x14ac:dyDescent="0.45">
      <c r="A1082" t="s">
        <v>3220</v>
      </c>
      <c r="B1082" t="s">
        <v>3221</v>
      </c>
      <c r="C1082" t="s">
        <v>3211</v>
      </c>
      <c r="D1082" t="s">
        <v>3212</v>
      </c>
      <c r="E1082" t="s">
        <v>324</v>
      </c>
      <c r="F1082" t="s">
        <v>325</v>
      </c>
      <c r="G1082" t="s">
        <v>750</v>
      </c>
      <c r="H1082" t="s">
        <v>1003</v>
      </c>
      <c r="I1082" t="s">
        <v>199</v>
      </c>
      <c r="J1082" t="s">
        <v>329</v>
      </c>
      <c r="M1082">
        <v>1</v>
      </c>
      <c r="N1082">
        <v>1</v>
      </c>
    </row>
    <row r="1083" spans="1:14" x14ac:dyDescent="0.45">
      <c r="A1083" t="s">
        <v>324</v>
      </c>
      <c r="B1083" t="s">
        <v>3300</v>
      </c>
      <c r="C1083" t="s">
        <v>3287</v>
      </c>
      <c r="D1083" t="s">
        <v>3288</v>
      </c>
      <c r="E1083" t="s">
        <v>324</v>
      </c>
      <c r="F1083" t="s">
        <v>325</v>
      </c>
      <c r="G1083" t="s">
        <v>750</v>
      </c>
      <c r="H1083" t="s">
        <v>1644</v>
      </c>
      <c r="I1083" t="s">
        <v>193</v>
      </c>
      <c r="J1083" t="s">
        <v>331</v>
      </c>
      <c r="K1083">
        <v>1</v>
      </c>
      <c r="L1083">
        <v>1</v>
      </c>
      <c r="M1083">
        <v>1</v>
      </c>
      <c r="N1083">
        <v>1</v>
      </c>
    </row>
    <row r="1084" spans="1:14" x14ac:dyDescent="0.45">
      <c r="A1084" t="s">
        <v>3305</v>
      </c>
      <c r="B1084" t="s">
        <v>3306</v>
      </c>
      <c r="C1084" t="s">
        <v>3307</v>
      </c>
      <c r="D1084" t="s">
        <v>3308</v>
      </c>
      <c r="E1084" t="s">
        <v>332</v>
      </c>
      <c r="F1084" t="s">
        <v>333</v>
      </c>
      <c r="G1084" t="s">
        <v>750</v>
      </c>
      <c r="H1084" t="s">
        <v>751</v>
      </c>
      <c r="I1084" t="s">
        <v>199</v>
      </c>
      <c r="J1084" t="s">
        <v>334</v>
      </c>
      <c r="M1084">
        <v>1</v>
      </c>
      <c r="N1084">
        <v>1</v>
      </c>
    </row>
    <row r="1085" spans="1:14" x14ac:dyDescent="0.45">
      <c r="A1085" t="s">
        <v>3309</v>
      </c>
      <c r="B1085" t="s">
        <v>3310</v>
      </c>
      <c r="C1085" t="s">
        <v>3307</v>
      </c>
      <c r="D1085" t="s">
        <v>3308</v>
      </c>
      <c r="E1085" t="s">
        <v>332</v>
      </c>
      <c r="F1085" t="s">
        <v>333</v>
      </c>
      <c r="G1085" t="s">
        <v>750</v>
      </c>
      <c r="H1085" t="s">
        <v>751</v>
      </c>
      <c r="I1085" t="s">
        <v>199</v>
      </c>
      <c r="J1085" t="s">
        <v>334</v>
      </c>
      <c r="M1085">
        <v>1</v>
      </c>
      <c r="N1085">
        <v>1</v>
      </c>
    </row>
    <row r="1086" spans="1:14" x14ac:dyDescent="0.45">
      <c r="A1086" t="s">
        <v>3311</v>
      </c>
      <c r="B1086" t="s">
        <v>3312</v>
      </c>
      <c r="C1086" t="s">
        <v>3307</v>
      </c>
      <c r="D1086" t="s">
        <v>3308</v>
      </c>
      <c r="E1086" t="s">
        <v>332</v>
      </c>
      <c r="F1086" t="s">
        <v>333</v>
      </c>
      <c r="G1086" t="s">
        <v>750</v>
      </c>
      <c r="H1086" t="s">
        <v>751</v>
      </c>
      <c r="I1086" t="s">
        <v>199</v>
      </c>
      <c r="J1086" t="s">
        <v>334</v>
      </c>
      <c r="M1086">
        <v>1</v>
      </c>
      <c r="N1086">
        <v>1</v>
      </c>
    </row>
    <row r="1087" spans="1:14" x14ac:dyDescent="0.45">
      <c r="A1087" t="s">
        <v>3313</v>
      </c>
      <c r="B1087" t="s">
        <v>3314</v>
      </c>
      <c r="C1087" t="s">
        <v>3307</v>
      </c>
      <c r="D1087" t="s">
        <v>3308</v>
      </c>
      <c r="E1087" t="s">
        <v>332</v>
      </c>
      <c r="F1087" t="s">
        <v>333</v>
      </c>
      <c r="G1087" t="s">
        <v>750</v>
      </c>
      <c r="H1087" t="s">
        <v>751</v>
      </c>
      <c r="I1087" t="s">
        <v>199</v>
      </c>
      <c r="J1087" t="s">
        <v>334</v>
      </c>
      <c r="M1087">
        <v>1</v>
      </c>
      <c r="N1087">
        <v>1</v>
      </c>
    </row>
    <row r="1088" spans="1:14" x14ac:dyDescent="0.45">
      <c r="A1088" t="s">
        <v>3315</v>
      </c>
      <c r="B1088" t="s">
        <v>3316</v>
      </c>
      <c r="C1088" t="s">
        <v>3307</v>
      </c>
      <c r="D1088" t="s">
        <v>3308</v>
      </c>
      <c r="E1088" t="s">
        <v>332</v>
      </c>
      <c r="F1088" t="s">
        <v>333</v>
      </c>
      <c r="G1088" t="s">
        <v>750</v>
      </c>
      <c r="H1088" t="s">
        <v>751</v>
      </c>
      <c r="I1088" t="s">
        <v>199</v>
      </c>
      <c r="J1088" t="s">
        <v>334</v>
      </c>
      <c r="M1088">
        <v>1</v>
      </c>
      <c r="N1088">
        <v>1</v>
      </c>
    </row>
    <row r="1089" spans="1:14" x14ac:dyDescent="0.45">
      <c r="A1089" t="s">
        <v>3317</v>
      </c>
      <c r="B1089" t="s">
        <v>3318</v>
      </c>
      <c r="C1089" t="s">
        <v>3307</v>
      </c>
      <c r="D1089" t="s">
        <v>3308</v>
      </c>
      <c r="E1089" t="s">
        <v>332</v>
      </c>
      <c r="F1089" t="s">
        <v>333</v>
      </c>
      <c r="G1089" t="s">
        <v>750</v>
      </c>
      <c r="H1089" t="s">
        <v>751</v>
      </c>
      <c r="I1089" t="s">
        <v>199</v>
      </c>
      <c r="J1089" t="s">
        <v>334</v>
      </c>
      <c r="M1089">
        <v>1</v>
      </c>
      <c r="N1089">
        <v>1</v>
      </c>
    </row>
    <row r="1090" spans="1:14" x14ac:dyDescent="0.45">
      <c r="A1090" t="s">
        <v>1004</v>
      </c>
      <c r="B1090" t="s">
        <v>3319</v>
      </c>
      <c r="C1090" t="s">
        <v>3307</v>
      </c>
      <c r="D1090" t="s">
        <v>3308</v>
      </c>
      <c r="E1090" t="s">
        <v>332</v>
      </c>
      <c r="F1090" t="s">
        <v>333</v>
      </c>
      <c r="G1090" t="s">
        <v>750</v>
      </c>
      <c r="H1090" t="s">
        <v>751</v>
      </c>
      <c r="I1090" t="s">
        <v>199</v>
      </c>
      <c r="J1090" t="s">
        <v>334</v>
      </c>
      <c r="M1090">
        <v>1</v>
      </c>
      <c r="N1090">
        <v>1</v>
      </c>
    </row>
    <row r="1091" spans="1:14" x14ac:dyDescent="0.45">
      <c r="A1091" t="s">
        <v>3320</v>
      </c>
      <c r="B1091" t="s">
        <v>3321</v>
      </c>
      <c r="C1091" t="s">
        <v>3307</v>
      </c>
      <c r="D1091" t="s">
        <v>3308</v>
      </c>
      <c r="E1091" t="s">
        <v>332</v>
      </c>
      <c r="F1091" t="s">
        <v>333</v>
      </c>
      <c r="G1091" t="s">
        <v>750</v>
      </c>
      <c r="H1091" t="s">
        <v>751</v>
      </c>
      <c r="I1091" t="s">
        <v>199</v>
      </c>
      <c r="J1091" t="s">
        <v>334</v>
      </c>
      <c r="M1091">
        <v>1</v>
      </c>
      <c r="N1091">
        <v>1</v>
      </c>
    </row>
    <row r="1092" spans="1:14" x14ac:dyDescent="0.45">
      <c r="A1092" t="s">
        <v>3322</v>
      </c>
      <c r="B1092" t="s">
        <v>3323</v>
      </c>
      <c r="C1092" t="s">
        <v>3307</v>
      </c>
      <c r="D1092" t="s">
        <v>3308</v>
      </c>
      <c r="E1092" t="s">
        <v>332</v>
      </c>
      <c r="F1092" t="s">
        <v>333</v>
      </c>
      <c r="G1092" t="s">
        <v>750</v>
      </c>
      <c r="H1092" t="s">
        <v>751</v>
      </c>
      <c r="I1092" t="s">
        <v>199</v>
      </c>
      <c r="J1092" t="s">
        <v>334</v>
      </c>
      <c r="M1092">
        <v>1</v>
      </c>
      <c r="N1092">
        <v>1</v>
      </c>
    </row>
    <row r="1093" spans="1:14" x14ac:dyDescent="0.45">
      <c r="A1093" t="s">
        <v>3324</v>
      </c>
      <c r="B1093" t="s">
        <v>3325</v>
      </c>
      <c r="C1093" t="s">
        <v>3307</v>
      </c>
      <c r="D1093" t="s">
        <v>3308</v>
      </c>
      <c r="E1093" t="s">
        <v>332</v>
      </c>
      <c r="F1093" t="s">
        <v>333</v>
      </c>
      <c r="G1093" t="s">
        <v>750</v>
      </c>
      <c r="H1093" t="s">
        <v>751</v>
      </c>
      <c r="I1093" t="s">
        <v>199</v>
      </c>
      <c r="J1093" t="s">
        <v>334</v>
      </c>
      <c r="M1093">
        <v>1</v>
      </c>
      <c r="N1093">
        <v>1</v>
      </c>
    </row>
    <row r="1094" spans="1:14" x14ac:dyDescent="0.45">
      <c r="A1094" t="s">
        <v>3326</v>
      </c>
      <c r="B1094" t="s">
        <v>3327</v>
      </c>
      <c r="C1094" t="s">
        <v>3307</v>
      </c>
      <c r="D1094" t="s">
        <v>3308</v>
      </c>
      <c r="E1094" t="s">
        <v>332</v>
      </c>
      <c r="F1094" t="s">
        <v>333</v>
      </c>
      <c r="G1094" t="s">
        <v>750</v>
      </c>
      <c r="H1094" t="s">
        <v>751</v>
      </c>
      <c r="I1094" t="s">
        <v>199</v>
      </c>
      <c r="J1094" t="s">
        <v>334</v>
      </c>
      <c r="M1094">
        <v>1</v>
      </c>
      <c r="N1094">
        <v>1</v>
      </c>
    </row>
    <row r="1095" spans="1:14" x14ac:dyDescent="0.45">
      <c r="A1095" t="s">
        <v>3328</v>
      </c>
      <c r="B1095" t="s">
        <v>3329</v>
      </c>
      <c r="C1095" t="s">
        <v>3307</v>
      </c>
      <c r="D1095" t="s">
        <v>3308</v>
      </c>
      <c r="E1095" t="s">
        <v>332</v>
      </c>
      <c r="F1095" t="s">
        <v>333</v>
      </c>
      <c r="G1095" t="s">
        <v>750</v>
      </c>
      <c r="H1095" t="s">
        <v>751</v>
      </c>
      <c r="I1095" t="s">
        <v>199</v>
      </c>
      <c r="J1095" t="s">
        <v>334</v>
      </c>
      <c r="M1095">
        <v>1</v>
      </c>
      <c r="N1095">
        <v>1</v>
      </c>
    </row>
    <row r="1096" spans="1:14" x14ac:dyDescent="0.45">
      <c r="A1096" t="s">
        <v>3330</v>
      </c>
      <c r="B1096" t="s">
        <v>3331</v>
      </c>
      <c r="C1096" t="s">
        <v>3307</v>
      </c>
      <c r="D1096" t="s">
        <v>3308</v>
      </c>
      <c r="E1096" t="s">
        <v>332</v>
      </c>
      <c r="F1096" t="s">
        <v>333</v>
      </c>
      <c r="G1096" t="s">
        <v>750</v>
      </c>
      <c r="H1096" t="s">
        <v>751</v>
      </c>
      <c r="I1096" t="s">
        <v>199</v>
      </c>
      <c r="J1096" t="s">
        <v>334</v>
      </c>
      <c r="M1096">
        <v>1</v>
      </c>
      <c r="N1096">
        <v>1</v>
      </c>
    </row>
    <row r="1097" spans="1:14" x14ac:dyDescent="0.45">
      <c r="A1097" t="s">
        <v>3332</v>
      </c>
      <c r="B1097" t="s">
        <v>3333</v>
      </c>
      <c r="C1097" t="s">
        <v>3307</v>
      </c>
      <c r="D1097" t="s">
        <v>3308</v>
      </c>
      <c r="E1097" t="s">
        <v>332</v>
      </c>
      <c r="F1097" t="s">
        <v>333</v>
      </c>
      <c r="G1097" t="s">
        <v>750</v>
      </c>
      <c r="H1097" t="s">
        <v>751</v>
      </c>
      <c r="I1097" t="s">
        <v>199</v>
      </c>
      <c r="J1097" t="s">
        <v>334</v>
      </c>
      <c r="M1097">
        <v>1</v>
      </c>
      <c r="N1097">
        <v>1</v>
      </c>
    </row>
    <row r="1098" spans="1:14" x14ac:dyDescent="0.45">
      <c r="A1098" t="s">
        <v>3334</v>
      </c>
      <c r="B1098" t="s">
        <v>3335</v>
      </c>
      <c r="C1098" t="s">
        <v>3307</v>
      </c>
      <c r="D1098" t="s">
        <v>3308</v>
      </c>
      <c r="E1098" t="s">
        <v>332</v>
      </c>
      <c r="F1098" t="s">
        <v>333</v>
      </c>
      <c r="G1098" t="s">
        <v>750</v>
      </c>
      <c r="H1098" t="s">
        <v>751</v>
      </c>
      <c r="I1098" t="s">
        <v>199</v>
      </c>
      <c r="J1098" t="s">
        <v>334</v>
      </c>
      <c r="M1098">
        <v>1</v>
      </c>
      <c r="N1098">
        <v>1</v>
      </c>
    </row>
    <row r="1099" spans="1:14" x14ac:dyDescent="0.45">
      <c r="A1099" t="s">
        <v>3336</v>
      </c>
      <c r="B1099" t="s">
        <v>3337</v>
      </c>
      <c r="C1099" t="s">
        <v>3338</v>
      </c>
      <c r="D1099" t="s">
        <v>3339</v>
      </c>
      <c r="E1099" t="s">
        <v>332</v>
      </c>
      <c r="F1099" t="s">
        <v>333</v>
      </c>
      <c r="G1099" t="s">
        <v>750</v>
      </c>
      <c r="H1099" t="s">
        <v>751</v>
      </c>
      <c r="I1099" t="s">
        <v>199</v>
      </c>
      <c r="J1099" t="s">
        <v>334</v>
      </c>
      <c r="M1099">
        <v>1</v>
      </c>
      <c r="N1099">
        <v>1</v>
      </c>
    </row>
    <row r="1100" spans="1:14" x14ac:dyDescent="0.45">
      <c r="A1100" t="s">
        <v>3340</v>
      </c>
      <c r="B1100" t="s">
        <v>3341</v>
      </c>
      <c r="C1100" t="s">
        <v>3338</v>
      </c>
      <c r="D1100" t="s">
        <v>3339</v>
      </c>
      <c r="E1100" t="s">
        <v>332</v>
      </c>
      <c r="F1100" t="s">
        <v>333</v>
      </c>
      <c r="G1100" t="s">
        <v>750</v>
      </c>
      <c r="H1100" t="s">
        <v>751</v>
      </c>
      <c r="I1100" t="s">
        <v>199</v>
      </c>
      <c r="J1100" t="s">
        <v>334</v>
      </c>
      <c r="M1100">
        <v>1</v>
      </c>
      <c r="N1100">
        <v>1</v>
      </c>
    </row>
    <row r="1101" spans="1:14" x14ac:dyDescent="0.45">
      <c r="A1101" t="s">
        <v>3342</v>
      </c>
      <c r="B1101" t="s">
        <v>3343</v>
      </c>
      <c r="C1101" t="s">
        <v>3338</v>
      </c>
      <c r="D1101" t="s">
        <v>3339</v>
      </c>
      <c r="E1101" t="s">
        <v>332</v>
      </c>
      <c r="F1101" t="s">
        <v>333</v>
      </c>
      <c r="G1101" t="s">
        <v>750</v>
      </c>
      <c r="H1101" t="s">
        <v>751</v>
      </c>
      <c r="I1101" t="s">
        <v>199</v>
      </c>
      <c r="J1101" t="s">
        <v>334</v>
      </c>
      <c r="M1101">
        <v>1</v>
      </c>
      <c r="N1101">
        <v>1</v>
      </c>
    </row>
    <row r="1102" spans="1:14" x14ac:dyDescent="0.45">
      <c r="A1102" t="s">
        <v>3344</v>
      </c>
      <c r="B1102" t="s">
        <v>3345</v>
      </c>
      <c r="C1102" t="s">
        <v>3338</v>
      </c>
      <c r="D1102" t="s">
        <v>3339</v>
      </c>
      <c r="E1102" t="s">
        <v>332</v>
      </c>
      <c r="F1102" t="s">
        <v>333</v>
      </c>
      <c r="G1102" t="s">
        <v>750</v>
      </c>
      <c r="H1102" t="s">
        <v>751</v>
      </c>
      <c r="I1102" t="s">
        <v>199</v>
      </c>
      <c r="J1102" t="s">
        <v>334</v>
      </c>
      <c r="M1102">
        <v>1</v>
      </c>
      <c r="N1102">
        <v>1</v>
      </c>
    </row>
    <row r="1103" spans="1:14" x14ac:dyDescent="0.45">
      <c r="A1103" t="s">
        <v>3346</v>
      </c>
      <c r="B1103" t="s">
        <v>3347</v>
      </c>
      <c r="C1103" t="s">
        <v>3338</v>
      </c>
      <c r="D1103" t="s">
        <v>3339</v>
      </c>
      <c r="E1103" t="s">
        <v>332</v>
      </c>
      <c r="F1103" t="s">
        <v>333</v>
      </c>
      <c r="G1103" t="s">
        <v>750</v>
      </c>
      <c r="H1103" t="s">
        <v>751</v>
      </c>
      <c r="I1103" t="s">
        <v>199</v>
      </c>
      <c r="J1103" t="s">
        <v>334</v>
      </c>
      <c r="M1103">
        <v>1</v>
      </c>
      <c r="N1103">
        <v>1</v>
      </c>
    </row>
    <row r="1104" spans="1:14" x14ac:dyDescent="0.45">
      <c r="A1104" t="s">
        <v>3348</v>
      </c>
      <c r="B1104" t="s">
        <v>3349</v>
      </c>
      <c r="C1104" t="s">
        <v>3338</v>
      </c>
      <c r="D1104" t="s">
        <v>3339</v>
      </c>
      <c r="E1104" t="s">
        <v>332</v>
      </c>
      <c r="F1104" t="s">
        <v>333</v>
      </c>
      <c r="G1104" t="s">
        <v>750</v>
      </c>
      <c r="H1104" t="s">
        <v>751</v>
      </c>
      <c r="I1104" t="s">
        <v>199</v>
      </c>
      <c r="J1104" t="s">
        <v>334</v>
      </c>
      <c r="M1104">
        <v>1</v>
      </c>
      <c r="N1104">
        <v>1</v>
      </c>
    </row>
    <row r="1105" spans="1:14" x14ac:dyDescent="0.45">
      <c r="A1105" t="s">
        <v>1357</v>
      </c>
      <c r="B1105" t="s">
        <v>3350</v>
      </c>
      <c r="C1105" t="s">
        <v>3338</v>
      </c>
      <c r="D1105" t="s">
        <v>3339</v>
      </c>
      <c r="E1105" t="s">
        <v>332</v>
      </c>
      <c r="F1105" t="s">
        <v>333</v>
      </c>
      <c r="G1105" t="s">
        <v>750</v>
      </c>
      <c r="H1105" t="s">
        <v>751</v>
      </c>
      <c r="I1105" t="s">
        <v>199</v>
      </c>
      <c r="J1105" t="s">
        <v>334</v>
      </c>
      <c r="M1105">
        <v>1</v>
      </c>
      <c r="N1105">
        <v>1</v>
      </c>
    </row>
    <row r="1106" spans="1:14" x14ac:dyDescent="0.45">
      <c r="A1106" t="s">
        <v>3351</v>
      </c>
      <c r="B1106" t="s">
        <v>3352</v>
      </c>
      <c r="C1106" t="s">
        <v>3338</v>
      </c>
      <c r="D1106" t="s">
        <v>3339</v>
      </c>
      <c r="E1106" t="s">
        <v>332</v>
      </c>
      <c r="F1106" t="s">
        <v>333</v>
      </c>
      <c r="G1106" t="s">
        <v>750</v>
      </c>
      <c r="H1106" t="s">
        <v>751</v>
      </c>
      <c r="I1106" t="s">
        <v>199</v>
      </c>
      <c r="J1106" t="s">
        <v>334</v>
      </c>
      <c r="M1106">
        <v>1</v>
      </c>
      <c r="N1106">
        <v>1</v>
      </c>
    </row>
    <row r="1107" spans="1:14" x14ac:dyDescent="0.45">
      <c r="A1107" t="s">
        <v>3353</v>
      </c>
      <c r="B1107" t="s">
        <v>3354</v>
      </c>
      <c r="C1107" t="s">
        <v>3338</v>
      </c>
      <c r="D1107" t="s">
        <v>3339</v>
      </c>
      <c r="E1107" t="s">
        <v>332</v>
      </c>
      <c r="F1107" t="s">
        <v>333</v>
      </c>
      <c r="G1107" t="s">
        <v>750</v>
      </c>
      <c r="H1107" t="s">
        <v>751</v>
      </c>
      <c r="I1107" t="s">
        <v>199</v>
      </c>
      <c r="J1107" t="s">
        <v>334</v>
      </c>
      <c r="M1107">
        <v>1</v>
      </c>
      <c r="N1107">
        <v>1</v>
      </c>
    </row>
    <row r="1108" spans="1:14" x14ac:dyDescent="0.45">
      <c r="A1108" t="s">
        <v>2714</v>
      </c>
      <c r="B1108" t="s">
        <v>3355</v>
      </c>
      <c r="C1108" t="s">
        <v>3338</v>
      </c>
      <c r="D1108" t="s">
        <v>3339</v>
      </c>
      <c r="E1108" t="s">
        <v>332</v>
      </c>
      <c r="F1108" t="s">
        <v>333</v>
      </c>
      <c r="G1108" t="s">
        <v>750</v>
      </c>
      <c r="H1108" t="s">
        <v>751</v>
      </c>
      <c r="I1108" t="s">
        <v>199</v>
      </c>
      <c r="J1108" t="s">
        <v>334</v>
      </c>
      <c r="M1108">
        <v>1</v>
      </c>
      <c r="N1108">
        <v>1</v>
      </c>
    </row>
    <row r="1109" spans="1:14" x14ac:dyDescent="0.45">
      <c r="A1109" t="s">
        <v>3356</v>
      </c>
      <c r="B1109" t="s">
        <v>3357</v>
      </c>
      <c r="C1109" t="s">
        <v>3338</v>
      </c>
      <c r="D1109" t="s">
        <v>3339</v>
      </c>
      <c r="E1109" t="s">
        <v>332</v>
      </c>
      <c r="F1109" t="s">
        <v>333</v>
      </c>
      <c r="G1109" t="s">
        <v>750</v>
      </c>
      <c r="H1109" t="s">
        <v>751</v>
      </c>
      <c r="I1109" t="s">
        <v>199</v>
      </c>
      <c r="J1109" t="s">
        <v>334</v>
      </c>
      <c r="M1109">
        <v>1</v>
      </c>
      <c r="N1109">
        <v>1</v>
      </c>
    </row>
    <row r="1110" spans="1:14" x14ac:dyDescent="0.45">
      <c r="A1110" t="s">
        <v>3358</v>
      </c>
      <c r="B1110" t="s">
        <v>3359</v>
      </c>
      <c r="C1110" t="s">
        <v>3338</v>
      </c>
      <c r="D1110" t="s">
        <v>3339</v>
      </c>
      <c r="E1110" t="s">
        <v>332</v>
      </c>
      <c r="F1110" t="s">
        <v>333</v>
      </c>
      <c r="G1110" t="s">
        <v>750</v>
      </c>
      <c r="H1110" t="s">
        <v>751</v>
      </c>
      <c r="I1110" t="s">
        <v>199</v>
      </c>
      <c r="J1110" t="s">
        <v>334</v>
      </c>
      <c r="M1110">
        <v>1</v>
      </c>
      <c r="N1110">
        <v>1</v>
      </c>
    </row>
    <row r="1111" spans="1:14" x14ac:dyDescent="0.45">
      <c r="A1111" t="s">
        <v>3360</v>
      </c>
      <c r="B1111" t="s">
        <v>3361</v>
      </c>
      <c r="C1111" t="s">
        <v>3338</v>
      </c>
      <c r="D1111" t="s">
        <v>3339</v>
      </c>
      <c r="E1111" t="s">
        <v>332</v>
      </c>
      <c r="F1111" t="s">
        <v>333</v>
      </c>
      <c r="G1111" t="s">
        <v>750</v>
      </c>
      <c r="H1111" t="s">
        <v>751</v>
      </c>
      <c r="I1111" t="s">
        <v>199</v>
      </c>
      <c r="J1111" t="s">
        <v>334</v>
      </c>
      <c r="M1111">
        <v>1</v>
      </c>
      <c r="N1111">
        <v>1</v>
      </c>
    </row>
    <row r="1112" spans="1:14" x14ac:dyDescent="0.45">
      <c r="A1112" t="s">
        <v>3362</v>
      </c>
      <c r="B1112" t="s">
        <v>3363</v>
      </c>
      <c r="C1112" t="s">
        <v>3338</v>
      </c>
      <c r="D1112" t="s">
        <v>3339</v>
      </c>
      <c r="E1112" t="s">
        <v>332</v>
      </c>
      <c r="F1112" t="s">
        <v>333</v>
      </c>
      <c r="G1112" t="s">
        <v>750</v>
      </c>
      <c r="H1112" t="s">
        <v>751</v>
      </c>
      <c r="I1112" t="s">
        <v>199</v>
      </c>
      <c r="J1112" t="s">
        <v>334</v>
      </c>
      <c r="M1112">
        <v>1</v>
      </c>
      <c r="N1112">
        <v>1</v>
      </c>
    </row>
    <row r="1113" spans="1:14" x14ac:dyDescent="0.45">
      <c r="A1113" t="s">
        <v>3364</v>
      </c>
      <c r="B1113" t="s">
        <v>3365</v>
      </c>
      <c r="C1113" t="s">
        <v>3338</v>
      </c>
      <c r="D1113" t="s">
        <v>3339</v>
      </c>
      <c r="E1113" t="s">
        <v>332</v>
      </c>
      <c r="F1113" t="s">
        <v>333</v>
      </c>
      <c r="G1113" t="s">
        <v>750</v>
      </c>
      <c r="H1113" t="s">
        <v>751</v>
      </c>
      <c r="I1113" t="s">
        <v>199</v>
      </c>
      <c r="J1113" t="s">
        <v>334</v>
      </c>
      <c r="M1113">
        <v>1</v>
      </c>
      <c r="N1113">
        <v>1</v>
      </c>
    </row>
    <row r="1114" spans="1:14" x14ac:dyDescent="0.45">
      <c r="A1114" t="s">
        <v>3366</v>
      </c>
      <c r="B1114" t="s">
        <v>3367</v>
      </c>
      <c r="C1114" t="s">
        <v>3338</v>
      </c>
      <c r="D1114" t="s">
        <v>3339</v>
      </c>
      <c r="E1114" t="s">
        <v>332</v>
      </c>
      <c r="F1114" t="s">
        <v>333</v>
      </c>
      <c r="G1114" t="s">
        <v>750</v>
      </c>
      <c r="H1114" t="s">
        <v>751</v>
      </c>
      <c r="I1114" t="s">
        <v>199</v>
      </c>
      <c r="J1114" t="s">
        <v>334</v>
      </c>
      <c r="M1114">
        <v>1</v>
      </c>
      <c r="N1114">
        <v>1</v>
      </c>
    </row>
    <row r="1115" spans="1:14" x14ac:dyDescent="0.45">
      <c r="A1115" t="s">
        <v>3368</v>
      </c>
      <c r="B1115" t="s">
        <v>3369</v>
      </c>
      <c r="C1115" t="s">
        <v>3338</v>
      </c>
      <c r="D1115" t="s">
        <v>3339</v>
      </c>
      <c r="E1115" t="s">
        <v>332</v>
      </c>
      <c r="F1115" t="s">
        <v>333</v>
      </c>
      <c r="G1115" t="s">
        <v>750</v>
      </c>
      <c r="H1115" t="s">
        <v>751</v>
      </c>
      <c r="I1115" t="s">
        <v>199</v>
      </c>
      <c r="J1115" t="s">
        <v>334</v>
      </c>
      <c r="M1115">
        <v>1</v>
      </c>
      <c r="N1115">
        <v>1</v>
      </c>
    </row>
    <row r="1116" spans="1:14" x14ac:dyDescent="0.45">
      <c r="A1116" t="s">
        <v>3370</v>
      </c>
      <c r="B1116" t="s">
        <v>3371</v>
      </c>
      <c r="C1116" t="s">
        <v>3338</v>
      </c>
      <c r="D1116" t="s">
        <v>3339</v>
      </c>
      <c r="E1116" t="s">
        <v>332</v>
      </c>
      <c r="F1116" t="s">
        <v>333</v>
      </c>
      <c r="G1116" t="s">
        <v>750</v>
      </c>
      <c r="H1116" t="s">
        <v>751</v>
      </c>
      <c r="I1116" t="s">
        <v>199</v>
      </c>
      <c r="J1116" t="s">
        <v>334</v>
      </c>
      <c r="M1116">
        <v>1</v>
      </c>
      <c r="N1116">
        <v>1</v>
      </c>
    </row>
    <row r="1117" spans="1:14" x14ac:dyDescent="0.45">
      <c r="A1117" t="s">
        <v>3372</v>
      </c>
      <c r="B1117" t="s">
        <v>3373</v>
      </c>
      <c r="C1117" t="s">
        <v>3338</v>
      </c>
      <c r="D1117" t="s">
        <v>3339</v>
      </c>
      <c r="E1117" t="s">
        <v>332</v>
      </c>
      <c r="F1117" t="s">
        <v>333</v>
      </c>
      <c r="G1117" t="s">
        <v>750</v>
      </c>
      <c r="H1117" t="s">
        <v>751</v>
      </c>
      <c r="I1117" t="s">
        <v>199</v>
      </c>
      <c r="J1117" t="s">
        <v>334</v>
      </c>
      <c r="M1117">
        <v>1</v>
      </c>
      <c r="N1117">
        <v>1</v>
      </c>
    </row>
    <row r="1118" spans="1:14" x14ac:dyDescent="0.45">
      <c r="A1118" t="s">
        <v>3374</v>
      </c>
      <c r="B1118" t="s">
        <v>3375</v>
      </c>
      <c r="C1118" t="s">
        <v>3338</v>
      </c>
      <c r="D1118" t="s">
        <v>3339</v>
      </c>
      <c r="E1118" t="s">
        <v>332</v>
      </c>
      <c r="F1118" t="s">
        <v>333</v>
      </c>
      <c r="G1118" t="s">
        <v>750</v>
      </c>
      <c r="H1118" t="s">
        <v>751</v>
      </c>
      <c r="I1118" t="s">
        <v>199</v>
      </c>
      <c r="J1118" t="s">
        <v>334</v>
      </c>
      <c r="M1118">
        <v>1</v>
      </c>
      <c r="N1118">
        <v>1</v>
      </c>
    </row>
    <row r="1119" spans="1:14" x14ac:dyDescent="0.45">
      <c r="A1119" t="s">
        <v>3376</v>
      </c>
      <c r="B1119" t="s">
        <v>3377</v>
      </c>
      <c r="C1119" t="s">
        <v>3338</v>
      </c>
      <c r="D1119" t="s">
        <v>3339</v>
      </c>
      <c r="E1119" t="s">
        <v>332</v>
      </c>
      <c r="F1119" t="s">
        <v>333</v>
      </c>
      <c r="G1119" t="s">
        <v>750</v>
      </c>
      <c r="H1119" t="s">
        <v>751</v>
      </c>
      <c r="I1119" t="s">
        <v>199</v>
      </c>
      <c r="J1119" t="s">
        <v>334</v>
      </c>
      <c r="M1119">
        <v>1</v>
      </c>
      <c r="N1119">
        <v>1</v>
      </c>
    </row>
    <row r="1120" spans="1:14" x14ac:dyDescent="0.45">
      <c r="A1120" t="s">
        <v>3378</v>
      </c>
      <c r="B1120" t="s">
        <v>3379</v>
      </c>
      <c r="C1120" t="s">
        <v>3338</v>
      </c>
      <c r="D1120" t="s">
        <v>3339</v>
      </c>
      <c r="E1120" t="s">
        <v>332</v>
      </c>
      <c r="F1120" t="s">
        <v>333</v>
      </c>
      <c r="G1120" t="s">
        <v>750</v>
      </c>
      <c r="H1120" t="s">
        <v>751</v>
      </c>
      <c r="I1120" t="s">
        <v>199</v>
      </c>
      <c r="J1120" t="s">
        <v>334</v>
      </c>
      <c r="M1120">
        <v>1</v>
      </c>
      <c r="N1120">
        <v>1</v>
      </c>
    </row>
    <row r="1121" spans="1:14" x14ac:dyDescent="0.45">
      <c r="A1121" t="s">
        <v>3380</v>
      </c>
      <c r="B1121" t="s">
        <v>3381</v>
      </c>
      <c r="C1121" t="s">
        <v>3338</v>
      </c>
      <c r="D1121" t="s">
        <v>3339</v>
      </c>
      <c r="E1121" t="s">
        <v>332</v>
      </c>
      <c r="F1121" t="s">
        <v>333</v>
      </c>
      <c r="G1121" t="s">
        <v>750</v>
      </c>
      <c r="H1121" t="s">
        <v>751</v>
      </c>
      <c r="I1121" t="s">
        <v>199</v>
      </c>
      <c r="J1121" t="s">
        <v>334</v>
      </c>
      <c r="M1121">
        <v>1</v>
      </c>
      <c r="N1121">
        <v>1</v>
      </c>
    </row>
    <row r="1122" spans="1:14" x14ac:dyDescent="0.45">
      <c r="A1122" t="s">
        <v>332</v>
      </c>
      <c r="B1122" t="s">
        <v>3382</v>
      </c>
      <c r="C1122" t="s">
        <v>3338</v>
      </c>
      <c r="D1122" t="s">
        <v>3339</v>
      </c>
      <c r="E1122" t="s">
        <v>332</v>
      </c>
      <c r="F1122" t="s">
        <v>333</v>
      </c>
      <c r="G1122" t="s">
        <v>750</v>
      </c>
      <c r="H1122" t="s">
        <v>751</v>
      </c>
      <c r="I1122" t="s">
        <v>199</v>
      </c>
      <c r="J1122" t="s">
        <v>334</v>
      </c>
      <c r="M1122">
        <v>1</v>
      </c>
      <c r="N1122">
        <v>1</v>
      </c>
    </row>
    <row r="1123" spans="1:14" x14ac:dyDescent="0.45">
      <c r="A1123" t="s">
        <v>3383</v>
      </c>
      <c r="B1123" t="s">
        <v>3384</v>
      </c>
      <c r="C1123" t="s">
        <v>3338</v>
      </c>
      <c r="D1123" t="s">
        <v>3339</v>
      </c>
      <c r="E1123" t="s">
        <v>332</v>
      </c>
      <c r="F1123" t="s">
        <v>333</v>
      </c>
      <c r="G1123" t="s">
        <v>750</v>
      </c>
      <c r="H1123" t="s">
        <v>751</v>
      </c>
      <c r="I1123" t="s">
        <v>199</v>
      </c>
      <c r="J1123" t="s">
        <v>334</v>
      </c>
      <c r="M1123">
        <v>1</v>
      </c>
      <c r="N1123">
        <v>1</v>
      </c>
    </row>
    <row r="1124" spans="1:14" x14ac:dyDescent="0.45">
      <c r="A1124" t="s">
        <v>3385</v>
      </c>
      <c r="B1124" t="s">
        <v>3386</v>
      </c>
      <c r="C1124" t="s">
        <v>3338</v>
      </c>
      <c r="D1124" t="s">
        <v>3339</v>
      </c>
      <c r="E1124" t="s">
        <v>332</v>
      </c>
      <c r="F1124" t="s">
        <v>333</v>
      </c>
      <c r="G1124" t="s">
        <v>750</v>
      </c>
      <c r="H1124" t="s">
        <v>751</v>
      </c>
      <c r="I1124" t="s">
        <v>199</v>
      </c>
      <c r="J1124" t="s">
        <v>334</v>
      </c>
      <c r="M1124">
        <v>1</v>
      </c>
      <c r="N1124">
        <v>1</v>
      </c>
    </row>
    <row r="1125" spans="1:14" x14ac:dyDescent="0.45">
      <c r="A1125" t="s">
        <v>3387</v>
      </c>
      <c r="B1125" t="s">
        <v>3388</v>
      </c>
      <c r="C1125" t="s">
        <v>3338</v>
      </c>
      <c r="D1125" t="s">
        <v>3339</v>
      </c>
      <c r="E1125" t="s">
        <v>332</v>
      </c>
      <c r="F1125" t="s">
        <v>333</v>
      </c>
      <c r="G1125" t="s">
        <v>750</v>
      </c>
      <c r="H1125" t="s">
        <v>751</v>
      </c>
      <c r="I1125" t="s">
        <v>199</v>
      </c>
      <c r="J1125" t="s">
        <v>334</v>
      </c>
      <c r="M1125">
        <v>1</v>
      </c>
      <c r="N1125">
        <v>1</v>
      </c>
    </row>
    <row r="1126" spans="1:14" x14ac:dyDescent="0.45">
      <c r="A1126" t="s">
        <v>3389</v>
      </c>
      <c r="B1126" t="s">
        <v>3390</v>
      </c>
      <c r="C1126" t="s">
        <v>3391</v>
      </c>
      <c r="D1126" t="s">
        <v>3392</v>
      </c>
      <c r="E1126" t="s">
        <v>332</v>
      </c>
      <c r="F1126" t="s">
        <v>333</v>
      </c>
      <c r="G1126" t="s">
        <v>750</v>
      </c>
      <c r="H1126" t="s">
        <v>751</v>
      </c>
      <c r="I1126" t="s">
        <v>199</v>
      </c>
      <c r="J1126" t="s">
        <v>334</v>
      </c>
      <c r="M1126">
        <v>1</v>
      </c>
      <c r="N1126">
        <v>1</v>
      </c>
    </row>
    <row r="1127" spans="1:14" x14ac:dyDescent="0.45">
      <c r="A1127" t="s">
        <v>3393</v>
      </c>
      <c r="B1127" t="s">
        <v>3394</v>
      </c>
      <c r="C1127" t="s">
        <v>3391</v>
      </c>
      <c r="D1127" t="s">
        <v>3392</v>
      </c>
      <c r="E1127" t="s">
        <v>332</v>
      </c>
      <c r="F1127" t="s">
        <v>333</v>
      </c>
      <c r="G1127" t="s">
        <v>750</v>
      </c>
      <c r="H1127" t="s">
        <v>751</v>
      </c>
      <c r="I1127" t="s">
        <v>199</v>
      </c>
      <c r="J1127" t="s">
        <v>334</v>
      </c>
      <c r="M1127">
        <v>1</v>
      </c>
      <c r="N1127">
        <v>1</v>
      </c>
    </row>
    <row r="1128" spans="1:14" x14ac:dyDescent="0.45">
      <c r="A1128" t="s">
        <v>3395</v>
      </c>
      <c r="B1128" t="s">
        <v>3396</v>
      </c>
      <c r="C1128" t="s">
        <v>3391</v>
      </c>
      <c r="D1128" t="s">
        <v>3392</v>
      </c>
      <c r="E1128" t="s">
        <v>332</v>
      </c>
      <c r="F1128" t="s">
        <v>333</v>
      </c>
      <c r="G1128" t="s">
        <v>750</v>
      </c>
      <c r="H1128" t="s">
        <v>751</v>
      </c>
      <c r="I1128" t="s">
        <v>199</v>
      </c>
      <c r="J1128" t="s">
        <v>334</v>
      </c>
      <c r="M1128">
        <v>1</v>
      </c>
      <c r="N1128">
        <v>1</v>
      </c>
    </row>
    <row r="1129" spans="1:14" x14ac:dyDescent="0.45">
      <c r="A1129" t="s">
        <v>3397</v>
      </c>
      <c r="B1129" t="s">
        <v>3398</v>
      </c>
      <c r="C1129" t="s">
        <v>3391</v>
      </c>
      <c r="D1129" t="s">
        <v>3392</v>
      </c>
      <c r="E1129" t="s">
        <v>332</v>
      </c>
      <c r="F1129" t="s">
        <v>333</v>
      </c>
      <c r="G1129" t="s">
        <v>750</v>
      </c>
      <c r="H1129" t="s">
        <v>751</v>
      </c>
      <c r="I1129" t="s">
        <v>199</v>
      </c>
      <c r="J1129" t="s">
        <v>334</v>
      </c>
      <c r="M1129">
        <v>1</v>
      </c>
      <c r="N1129">
        <v>1</v>
      </c>
    </row>
    <row r="1130" spans="1:14" x14ac:dyDescent="0.45">
      <c r="A1130" t="s">
        <v>3399</v>
      </c>
      <c r="B1130" t="s">
        <v>3400</v>
      </c>
      <c r="C1130" t="s">
        <v>3391</v>
      </c>
      <c r="D1130" t="s">
        <v>3392</v>
      </c>
      <c r="E1130" t="s">
        <v>332</v>
      </c>
      <c r="F1130" t="s">
        <v>333</v>
      </c>
      <c r="G1130" t="s">
        <v>750</v>
      </c>
      <c r="H1130" t="s">
        <v>751</v>
      </c>
      <c r="I1130" t="s">
        <v>199</v>
      </c>
      <c r="J1130" t="s">
        <v>334</v>
      </c>
      <c r="M1130">
        <v>1</v>
      </c>
      <c r="N1130">
        <v>1</v>
      </c>
    </row>
    <row r="1131" spans="1:14" x14ac:dyDescent="0.45">
      <c r="A1131" t="s">
        <v>2785</v>
      </c>
      <c r="B1131" t="s">
        <v>3401</v>
      </c>
      <c r="C1131" t="s">
        <v>3391</v>
      </c>
      <c r="D1131" t="s">
        <v>3392</v>
      </c>
      <c r="E1131" t="s">
        <v>332</v>
      </c>
      <c r="F1131" t="s">
        <v>333</v>
      </c>
      <c r="G1131" t="s">
        <v>750</v>
      </c>
      <c r="H1131" t="s">
        <v>751</v>
      </c>
      <c r="I1131" t="s">
        <v>199</v>
      </c>
      <c r="J1131" t="s">
        <v>334</v>
      </c>
      <c r="M1131">
        <v>1</v>
      </c>
      <c r="N1131">
        <v>1</v>
      </c>
    </row>
    <row r="1132" spans="1:14" x14ac:dyDescent="0.45">
      <c r="A1132" t="s">
        <v>3402</v>
      </c>
      <c r="B1132" t="s">
        <v>3403</v>
      </c>
      <c r="C1132" t="s">
        <v>3391</v>
      </c>
      <c r="D1132" t="s">
        <v>3392</v>
      </c>
      <c r="E1132" t="s">
        <v>332</v>
      </c>
      <c r="F1132" t="s">
        <v>333</v>
      </c>
      <c r="G1132" t="s">
        <v>750</v>
      </c>
      <c r="H1132" t="s">
        <v>751</v>
      </c>
      <c r="I1132" t="s">
        <v>199</v>
      </c>
      <c r="J1132" t="s">
        <v>334</v>
      </c>
      <c r="M1132">
        <v>1</v>
      </c>
      <c r="N1132">
        <v>1</v>
      </c>
    </row>
    <row r="1133" spans="1:14" x14ac:dyDescent="0.45">
      <c r="A1133" t="s">
        <v>3404</v>
      </c>
      <c r="B1133" t="s">
        <v>3405</v>
      </c>
      <c r="C1133" t="s">
        <v>3391</v>
      </c>
      <c r="D1133" t="s">
        <v>3392</v>
      </c>
      <c r="E1133" t="s">
        <v>332</v>
      </c>
      <c r="F1133" t="s">
        <v>333</v>
      </c>
      <c r="G1133" t="s">
        <v>750</v>
      </c>
      <c r="H1133" t="s">
        <v>751</v>
      </c>
      <c r="I1133" t="s">
        <v>199</v>
      </c>
      <c r="J1133" t="s">
        <v>334</v>
      </c>
      <c r="M1133">
        <v>1</v>
      </c>
      <c r="N1133">
        <v>1</v>
      </c>
    </row>
    <row r="1134" spans="1:14" x14ac:dyDescent="0.45">
      <c r="A1134" t="s">
        <v>3406</v>
      </c>
      <c r="B1134" t="s">
        <v>3407</v>
      </c>
      <c r="C1134" t="s">
        <v>3391</v>
      </c>
      <c r="D1134" t="s">
        <v>3392</v>
      </c>
      <c r="E1134" t="s">
        <v>332</v>
      </c>
      <c r="F1134" t="s">
        <v>333</v>
      </c>
      <c r="G1134" t="s">
        <v>750</v>
      </c>
      <c r="H1134" t="s">
        <v>751</v>
      </c>
      <c r="I1134" t="s">
        <v>199</v>
      </c>
      <c r="J1134" t="s">
        <v>334</v>
      </c>
      <c r="M1134">
        <v>1</v>
      </c>
      <c r="N1134">
        <v>1</v>
      </c>
    </row>
    <row r="1135" spans="1:14" x14ac:dyDescent="0.45">
      <c r="A1135" t="s">
        <v>3408</v>
      </c>
      <c r="B1135" t="s">
        <v>3409</v>
      </c>
      <c r="C1135" t="s">
        <v>3391</v>
      </c>
      <c r="D1135" t="s">
        <v>3392</v>
      </c>
      <c r="E1135" t="s">
        <v>332</v>
      </c>
      <c r="F1135" t="s">
        <v>333</v>
      </c>
      <c r="G1135" t="s">
        <v>750</v>
      </c>
      <c r="H1135" t="s">
        <v>751</v>
      </c>
      <c r="I1135" t="s">
        <v>199</v>
      </c>
      <c r="J1135" t="s">
        <v>334</v>
      </c>
      <c r="M1135">
        <v>1</v>
      </c>
      <c r="N1135">
        <v>1</v>
      </c>
    </row>
    <row r="1136" spans="1:14" x14ac:dyDescent="0.45">
      <c r="A1136" t="s">
        <v>3410</v>
      </c>
      <c r="B1136" t="s">
        <v>3411</v>
      </c>
      <c r="C1136" t="s">
        <v>3391</v>
      </c>
      <c r="D1136" t="s">
        <v>3392</v>
      </c>
      <c r="E1136" t="s">
        <v>332</v>
      </c>
      <c r="F1136" t="s">
        <v>333</v>
      </c>
      <c r="G1136" t="s">
        <v>750</v>
      </c>
      <c r="H1136" t="s">
        <v>751</v>
      </c>
      <c r="I1136" t="s">
        <v>199</v>
      </c>
      <c r="J1136" t="s">
        <v>334</v>
      </c>
      <c r="M1136">
        <v>1</v>
      </c>
      <c r="N1136">
        <v>1</v>
      </c>
    </row>
    <row r="1137" spans="1:14" x14ac:dyDescent="0.45">
      <c r="A1137" t="s">
        <v>3412</v>
      </c>
      <c r="B1137" t="s">
        <v>3413</v>
      </c>
      <c r="C1137" t="s">
        <v>3391</v>
      </c>
      <c r="D1137" t="s">
        <v>3392</v>
      </c>
      <c r="E1137" t="s">
        <v>332</v>
      </c>
      <c r="F1137" t="s">
        <v>333</v>
      </c>
      <c r="G1137" t="s">
        <v>750</v>
      </c>
      <c r="H1137" t="s">
        <v>751</v>
      </c>
      <c r="I1137" t="s">
        <v>199</v>
      </c>
      <c r="J1137" t="s">
        <v>334</v>
      </c>
      <c r="M1137">
        <v>1</v>
      </c>
      <c r="N1137">
        <v>1</v>
      </c>
    </row>
    <row r="1138" spans="1:14" x14ac:dyDescent="0.45">
      <c r="A1138" t="s">
        <v>3414</v>
      </c>
      <c r="B1138" t="s">
        <v>3415</v>
      </c>
      <c r="C1138" t="s">
        <v>3391</v>
      </c>
      <c r="D1138" t="s">
        <v>3392</v>
      </c>
      <c r="E1138" t="s">
        <v>332</v>
      </c>
      <c r="F1138" t="s">
        <v>333</v>
      </c>
      <c r="G1138" t="s">
        <v>750</v>
      </c>
      <c r="H1138" t="s">
        <v>751</v>
      </c>
      <c r="I1138" t="s">
        <v>199</v>
      </c>
      <c r="J1138" t="s">
        <v>334</v>
      </c>
      <c r="M1138">
        <v>1</v>
      </c>
      <c r="N1138">
        <v>1</v>
      </c>
    </row>
    <row r="1139" spans="1:14" x14ac:dyDescent="0.45">
      <c r="A1139" t="s">
        <v>3416</v>
      </c>
      <c r="B1139" t="s">
        <v>3417</v>
      </c>
      <c r="C1139" t="s">
        <v>3391</v>
      </c>
      <c r="D1139" t="s">
        <v>3392</v>
      </c>
      <c r="E1139" t="s">
        <v>332</v>
      </c>
      <c r="F1139" t="s">
        <v>333</v>
      </c>
      <c r="G1139" t="s">
        <v>750</v>
      </c>
      <c r="H1139" t="s">
        <v>751</v>
      </c>
      <c r="I1139" t="s">
        <v>199</v>
      </c>
      <c r="J1139" t="s">
        <v>334</v>
      </c>
      <c r="M1139">
        <v>1</v>
      </c>
      <c r="N1139">
        <v>1</v>
      </c>
    </row>
    <row r="1140" spans="1:14" x14ac:dyDescent="0.45">
      <c r="A1140" t="s">
        <v>3418</v>
      </c>
      <c r="B1140" t="s">
        <v>3419</v>
      </c>
      <c r="C1140" t="s">
        <v>3391</v>
      </c>
      <c r="D1140" t="s">
        <v>3392</v>
      </c>
      <c r="E1140" t="s">
        <v>332</v>
      </c>
      <c r="F1140" t="s">
        <v>333</v>
      </c>
      <c r="G1140" t="s">
        <v>750</v>
      </c>
      <c r="H1140" t="s">
        <v>751</v>
      </c>
      <c r="I1140" t="s">
        <v>199</v>
      </c>
      <c r="J1140" t="s">
        <v>334</v>
      </c>
      <c r="M1140">
        <v>1</v>
      </c>
      <c r="N1140">
        <v>1</v>
      </c>
    </row>
    <row r="1141" spans="1:14" x14ac:dyDescent="0.45">
      <c r="A1141" t="s">
        <v>3420</v>
      </c>
      <c r="B1141" t="s">
        <v>3421</v>
      </c>
      <c r="C1141" t="s">
        <v>3391</v>
      </c>
      <c r="D1141" t="s">
        <v>3392</v>
      </c>
      <c r="E1141" t="s">
        <v>332</v>
      </c>
      <c r="F1141" t="s">
        <v>333</v>
      </c>
      <c r="G1141" t="s">
        <v>750</v>
      </c>
      <c r="H1141" t="s">
        <v>751</v>
      </c>
      <c r="I1141" t="s">
        <v>199</v>
      </c>
      <c r="J1141" t="s">
        <v>334</v>
      </c>
      <c r="M1141">
        <v>1</v>
      </c>
      <c r="N1141">
        <v>1</v>
      </c>
    </row>
    <row r="1142" spans="1:14" x14ac:dyDescent="0.45">
      <c r="A1142" t="s">
        <v>3422</v>
      </c>
      <c r="B1142" t="s">
        <v>3423</v>
      </c>
      <c r="C1142" t="s">
        <v>3391</v>
      </c>
      <c r="D1142" t="s">
        <v>3392</v>
      </c>
      <c r="E1142" t="s">
        <v>332</v>
      </c>
      <c r="F1142" t="s">
        <v>333</v>
      </c>
      <c r="G1142" t="s">
        <v>750</v>
      </c>
      <c r="H1142" t="s">
        <v>751</v>
      </c>
      <c r="I1142" t="s">
        <v>199</v>
      </c>
      <c r="J1142" t="s">
        <v>334</v>
      </c>
      <c r="M1142">
        <v>1</v>
      </c>
      <c r="N1142">
        <v>1</v>
      </c>
    </row>
    <row r="1143" spans="1:14" x14ac:dyDescent="0.45">
      <c r="A1143" t="s">
        <v>840</v>
      </c>
      <c r="B1143" t="s">
        <v>3424</v>
      </c>
      <c r="C1143" t="s">
        <v>3391</v>
      </c>
      <c r="D1143" t="s">
        <v>3392</v>
      </c>
      <c r="E1143" t="s">
        <v>332</v>
      </c>
      <c r="F1143" t="s">
        <v>333</v>
      </c>
      <c r="G1143" t="s">
        <v>750</v>
      </c>
      <c r="H1143" t="s">
        <v>751</v>
      </c>
      <c r="I1143" t="s">
        <v>199</v>
      </c>
      <c r="J1143" t="s">
        <v>334</v>
      </c>
      <c r="M1143">
        <v>1</v>
      </c>
      <c r="N1143">
        <v>1</v>
      </c>
    </row>
    <row r="1144" spans="1:14" x14ac:dyDescent="0.45">
      <c r="A1144" t="s">
        <v>3425</v>
      </c>
      <c r="B1144" t="s">
        <v>3426</v>
      </c>
      <c r="C1144" t="s">
        <v>3427</v>
      </c>
      <c r="D1144" t="s">
        <v>3428</v>
      </c>
      <c r="E1144" t="s">
        <v>335</v>
      </c>
      <c r="F1144" t="s">
        <v>336</v>
      </c>
      <c r="G1144" t="s">
        <v>750</v>
      </c>
      <c r="H1144" t="s">
        <v>751</v>
      </c>
      <c r="I1144" t="s">
        <v>199</v>
      </c>
      <c r="J1144" t="s">
        <v>337</v>
      </c>
      <c r="M1144">
        <v>1</v>
      </c>
      <c r="N1144">
        <v>1</v>
      </c>
    </row>
    <row r="1145" spans="1:14" x14ac:dyDescent="0.45">
      <c r="A1145" t="s">
        <v>3429</v>
      </c>
      <c r="B1145" t="s">
        <v>3430</v>
      </c>
      <c r="C1145" t="s">
        <v>3427</v>
      </c>
      <c r="D1145" t="s">
        <v>3428</v>
      </c>
      <c r="E1145" t="s">
        <v>335</v>
      </c>
      <c r="F1145" t="s">
        <v>336</v>
      </c>
      <c r="G1145" t="s">
        <v>750</v>
      </c>
      <c r="H1145" t="s">
        <v>751</v>
      </c>
      <c r="I1145" t="s">
        <v>199</v>
      </c>
      <c r="J1145" t="s">
        <v>337</v>
      </c>
      <c r="M1145">
        <v>1</v>
      </c>
      <c r="N1145">
        <v>1</v>
      </c>
    </row>
    <row r="1146" spans="1:14" x14ac:dyDescent="0.45">
      <c r="A1146" t="s">
        <v>3431</v>
      </c>
      <c r="B1146" t="s">
        <v>3432</v>
      </c>
      <c r="C1146" t="s">
        <v>3427</v>
      </c>
      <c r="D1146" t="s">
        <v>3428</v>
      </c>
      <c r="E1146" t="s">
        <v>335</v>
      </c>
      <c r="F1146" t="s">
        <v>336</v>
      </c>
      <c r="G1146" t="s">
        <v>750</v>
      </c>
      <c r="H1146" t="s">
        <v>751</v>
      </c>
      <c r="I1146" t="s">
        <v>199</v>
      </c>
      <c r="J1146" t="s">
        <v>337</v>
      </c>
      <c r="M1146">
        <v>1</v>
      </c>
      <c r="N1146">
        <v>1</v>
      </c>
    </row>
    <row r="1147" spans="1:14" x14ac:dyDescent="0.45">
      <c r="A1147" t="s">
        <v>1351</v>
      </c>
      <c r="B1147" t="s">
        <v>3433</v>
      </c>
      <c r="C1147" t="s">
        <v>3427</v>
      </c>
      <c r="D1147" t="s">
        <v>3428</v>
      </c>
      <c r="E1147" t="s">
        <v>335</v>
      </c>
      <c r="F1147" t="s">
        <v>336</v>
      </c>
      <c r="G1147" t="s">
        <v>750</v>
      </c>
      <c r="H1147" t="s">
        <v>751</v>
      </c>
      <c r="I1147" t="s">
        <v>199</v>
      </c>
      <c r="J1147" t="s">
        <v>337</v>
      </c>
      <c r="M1147">
        <v>1</v>
      </c>
      <c r="N1147">
        <v>1</v>
      </c>
    </row>
    <row r="1148" spans="1:14" x14ac:dyDescent="0.45">
      <c r="A1148" t="s">
        <v>3434</v>
      </c>
      <c r="B1148" t="s">
        <v>3435</v>
      </c>
      <c r="C1148" t="s">
        <v>3427</v>
      </c>
      <c r="D1148" t="s">
        <v>3428</v>
      </c>
      <c r="E1148" t="s">
        <v>335</v>
      </c>
      <c r="F1148" t="s">
        <v>336</v>
      </c>
      <c r="G1148" t="s">
        <v>750</v>
      </c>
      <c r="H1148" t="s">
        <v>751</v>
      </c>
      <c r="I1148" t="s">
        <v>199</v>
      </c>
      <c r="J1148" t="s">
        <v>337</v>
      </c>
      <c r="M1148">
        <v>1</v>
      </c>
      <c r="N1148">
        <v>1</v>
      </c>
    </row>
    <row r="1149" spans="1:14" x14ac:dyDescent="0.45">
      <c r="A1149" t="s">
        <v>3436</v>
      </c>
      <c r="B1149" t="s">
        <v>3437</v>
      </c>
      <c r="C1149" t="s">
        <v>3427</v>
      </c>
      <c r="D1149" t="s">
        <v>3428</v>
      </c>
      <c r="E1149" t="s">
        <v>335</v>
      </c>
      <c r="F1149" t="s">
        <v>336</v>
      </c>
      <c r="G1149" t="s">
        <v>750</v>
      </c>
      <c r="H1149" t="s">
        <v>751</v>
      </c>
      <c r="I1149" t="s">
        <v>199</v>
      </c>
      <c r="J1149" t="s">
        <v>337</v>
      </c>
      <c r="M1149">
        <v>1</v>
      </c>
      <c r="N1149">
        <v>1</v>
      </c>
    </row>
    <row r="1150" spans="1:14" x14ac:dyDescent="0.45">
      <c r="A1150" t="s">
        <v>3438</v>
      </c>
      <c r="B1150" t="s">
        <v>3439</v>
      </c>
      <c r="C1150" t="s">
        <v>3427</v>
      </c>
      <c r="D1150" t="s">
        <v>3428</v>
      </c>
      <c r="E1150" t="s">
        <v>335</v>
      </c>
      <c r="F1150" t="s">
        <v>336</v>
      </c>
      <c r="G1150" t="s">
        <v>750</v>
      </c>
      <c r="H1150" t="s">
        <v>751</v>
      </c>
      <c r="I1150" t="s">
        <v>199</v>
      </c>
      <c r="J1150" t="s">
        <v>337</v>
      </c>
      <c r="M1150">
        <v>1</v>
      </c>
      <c r="N1150">
        <v>1</v>
      </c>
    </row>
    <row r="1151" spans="1:14" x14ac:dyDescent="0.45">
      <c r="A1151" t="s">
        <v>3440</v>
      </c>
      <c r="B1151" t="s">
        <v>3441</v>
      </c>
      <c r="C1151" t="s">
        <v>3427</v>
      </c>
      <c r="D1151" t="s">
        <v>3428</v>
      </c>
      <c r="E1151" t="s">
        <v>335</v>
      </c>
      <c r="F1151" t="s">
        <v>336</v>
      </c>
      <c r="G1151" t="s">
        <v>750</v>
      </c>
      <c r="H1151" t="s">
        <v>751</v>
      </c>
      <c r="I1151" t="s">
        <v>199</v>
      </c>
      <c r="J1151" t="s">
        <v>337</v>
      </c>
      <c r="M1151">
        <v>1</v>
      </c>
      <c r="N1151">
        <v>1</v>
      </c>
    </row>
    <row r="1152" spans="1:14" x14ac:dyDescent="0.45">
      <c r="A1152" t="s">
        <v>3442</v>
      </c>
      <c r="B1152" t="s">
        <v>3443</v>
      </c>
      <c r="C1152" t="s">
        <v>3427</v>
      </c>
      <c r="D1152" t="s">
        <v>3428</v>
      </c>
      <c r="E1152" t="s">
        <v>335</v>
      </c>
      <c r="F1152" t="s">
        <v>336</v>
      </c>
      <c r="G1152" t="s">
        <v>750</v>
      </c>
      <c r="H1152" t="s">
        <v>751</v>
      </c>
      <c r="I1152" t="s">
        <v>199</v>
      </c>
      <c r="J1152" t="s">
        <v>337</v>
      </c>
      <c r="M1152">
        <v>1</v>
      </c>
      <c r="N1152">
        <v>1</v>
      </c>
    </row>
    <row r="1153" spans="1:14" x14ac:dyDescent="0.45">
      <c r="A1153" t="s">
        <v>3444</v>
      </c>
      <c r="B1153" t="s">
        <v>3445</v>
      </c>
      <c r="C1153" t="s">
        <v>3427</v>
      </c>
      <c r="D1153" t="s">
        <v>3428</v>
      </c>
      <c r="E1153" t="s">
        <v>335</v>
      </c>
      <c r="F1153" t="s">
        <v>336</v>
      </c>
      <c r="G1153" t="s">
        <v>750</v>
      </c>
      <c r="H1153" t="s">
        <v>751</v>
      </c>
      <c r="I1153" t="s">
        <v>199</v>
      </c>
      <c r="J1153" t="s">
        <v>337</v>
      </c>
      <c r="M1153">
        <v>1</v>
      </c>
      <c r="N1153">
        <v>1</v>
      </c>
    </row>
    <row r="1154" spans="1:14" x14ac:dyDescent="0.45">
      <c r="A1154" t="s">
        <v>3446</v>
      </c>
      <c r="B1154" t="s">
        <v>3447</v>
      </c>
      <c r="C1154" t="s">
        <v>3427</v>
      </c>
      <c r="D1154" t="s">
        <v>3428</v>
      </c>
      <c r="E1154" t="s">
        <v>335</v>
      </c>
      <c r="F1154" t="s">
        <v>336</v>
      </c>
      <c r="G1154" t="s">
        <v>750</v>
      </c>
      <c r="H1154" t="s">
        <v>751</v>
      </c>
      <c r="I1154" t="s">
        <v>199</v>
      </c>
      <c r="J1154" t="s">
        <v>337</v>
      </c>
      <c r="M1154">
        <v>1</v>
      </c>
      <c r="N1154">
        <v>1</v>
      </c>
    </row>
    <row r="1155" spans="1:14" x14ac:dyDescent="0.45">
      <c r="A1155" t="s">
        <v>3448</v>
      </c>
      <c r="B1155" t="s">
        <v>3449</v>
      </c>
      <c r="C1155" t="s">
        <v>3427</v>
      </c>
      <c r="D1155" t="s">
        <v>3428</v>
      </c>
      <c r="E1155" t="s">
        <v>335</v>
      </c>
      <c r="F1155" t="s">
        <v>336</v>
      </c>
      <c r="G1155" t="s">
        <v>750</v>
      </c>
      <c r="H1155" t="s">
        <v>751</v>
      </c>
      <c r="I1155" t="s">
        <v>199</v>
      </c>
      <c r="J1155" t="s">
        <v>337</v>
      </c>
      <c r="M1155">
        <v>1</v>
      </c>
      <c r="N1155">
        <v>1</v>
      </c>
    </row>
    <row r="1156" spans="1:14" x14ac:dyDescent="0.45">
      <c r="A1156" t="s">
        <v>3450</v>
      </c>
      <c r="B1156" t="s">
        <v>3451</v>
      </c>
      <c r="C1156" t="s">
        <v>3427</v>
      </c>
      <c r="D1156" t="s">
        <v>3428</v>
      </c>
      <c r="E1156" t="s">
        <v>335</v>
      </c>
      <c r="F1156" t="s">
        <v>336</v>
      </c>
      <c r="G1156" t="s">
        <v>750</v>
      </c>
      <c r="H1156" t="s">
        <v>751</v>
      </c>
      <c r="I1156" t="s">
        <v>199</v>
      </c>
      <c r="J1156" t="s">
        <v>337</v>
      </c>
      <c r="M1156">
        <v>1</v>
      </c>
      <c r="N1156">
        <v>1</v>
      </c>
    </row>
    <row r="1157" spans="1:14" x14ac:dyDescent="0.45">
      <c r="A1157" t="s">
        <v>3452</v>
      </c>
      <c r="B1157" t="s">
        <v>3453</v>
      </c>
      <c r="C1157" t="s">
        <v>3427</v>
      </c>
      <c r="D1157" t="s">
        <v>3428</v>
      </c>
      <c r="E1157" t="s">
        <v>335</v>
      </c>
      <c r="F1157" t="s">
        <v>336</v>
      </c>
      <c r="G1157" t="s">
        <v>750</v>
      </c>
      <c r="H1157" t="s">
        <v>751</v>
      </c>
      <c r="I1157" t="s">
        <v>199</v>
      </c>
      <c r="J1157" t="s">
        <v>337</v>
      </c>
      <c r="M1157">
        <v>1</v>
      </c>
      <c r="N1157">
        <v>1</v>
      </c>
    </row>
    <row r="1158" spans="1:14" x14ac:dyDescent="0.45">
      <c r="A1158" t="s">
        <v>3454</v>
      </c>
      <c r="B1158" t="s">
        <v>3455</v>
      </c>
      <c r="C1158" t="s">
        <v>3427</v>
      </c>
      <c r="D1158" t="s">
        <v>3428</v>
      </c>
      <c r="E1158" t="s">
        <v>335</v>
      </c>
      <c r="F1158" t="s">
        <v>336</v>
      </c>
      <c r="G1158" t="s">
        <v>750</v>
      </c>
      <c r="H1158" t="s">
        <v>751</v>
      </c>
      <c r="I1158" t="s">
        <v>199</v>
      </c>
      <c r="J1158" t="s">
        <v>337</v>
      </c>
      <c r="M1158">
        <v>1</v>
      </c>
      <c r="N1158">
        <v>1</v>
      </c>
    </row>
    <row r="1159" spans="1:14" x14ac:dyDescent="0.45">
      <c r="A1159" t="s">
        <v>2432</v>
      </c>
      <c r="B1159" t="s">
        <v>3456</v>
      </c>
      <c r="C1159" t="s">
        <v>3427</v>
      </c>
      <c r="D1159" t="s">
        <v>3428</v>
      </c>
      <c r="E1159" t="s">
        <v>335</v>
      </c>
      <c r="F1159" t="s">
        <v>336</v>
      </c>
      <c r="G1159" t="s">
        <v>750</v>
      </c>
      <c r="H1159" t="s">
        <v>751</v>
      </c>
      <c r="I1159" t="s">
        <v>199</v>
      </c>
      <c r="J1159" t="s">
        <v>337</v>
      </c>
      <c r="M1159">
        <v>1</v>
      </c>
      <c r="N1159">
        <v>1</v>
      </c>
    </row>
    <row r="1160" spans="1:14" x14ac:dyDescent="0.45">
      <c r="A1160" t="s">
        <v>3457</v>
      </c>
      <c r="B1160" t="s">
        <v>3458</v>
      </c>
      <c r="C1160" t="s">
        <v>3427</v>
      </c>
      <c r="D1160" t="s">
        <v>3428</v>
      </c>
      <c r="E1160" t="s">
        <v>335</v>
      </c>
      <c r="F1160" t="s">
        <v>336</v>
      </c>
      <c r="G1160" t="s">
        <v>750</v>
      </c>
      <c r="H1160" t="s">
        <v>751</v>
      </c>
      <c r="I1160" t="s">
        <v>199</v>
      </c>
      <c r="J1160" t="s">
        <v>337</v>
      </c>
      <c r="M1160">
        <v>1</v>
      </c>
      <c r="N1160">
        <v>1</v>
      </c>
    </row>
    <row r="1161" spans="1:14" x14ac:dyDescent="0.45">
      <c r="A1161" t="s">
        <v>3459</v>
      </c>
      <c r="B1161" t="s">
        <v>3460</v>
      </c>
      <c r="C1161" t="s">
        <v>3461</v>
      </c>
      <c r="D1161" t="s">
        <v>3462</v>
      </c>
      <c r="E1161" t="s">
        <v>335</v>
      </c>
      <c r="F1161" t="s">
        <v>336</v>
      </c>
      <c r="G1161" t="s">
        <v>750</v>
      </c>
      <c r="H1161" t="s">
        <v>751</v>
      </c>
      <c r="I1161" t="s">
        <v>199</v>
      </c>
      <c r="J1161" t="s">
        <v>337</v>
      </c>
      <c r="M1161">
        <v>1</v>
      </c>
      <c r="N1161">
        <v>1</v>
      </c>
    </row>
    <row r="1162" spans="1:14" x14ac:dyDescent="0.45">
      <c r="A1162" t="s">
        <v>2379</v>
      </c>
      <c r="B1162" t="s">
        <v>3463</v>
      </c>
      <c r="C1162" t="s">
        <v>3461</v>
      </c>
      <c r="D1162" t="s">
        <v>3462</v>
      </c>
      <c r="E1162" t="s">
        <v>335</v>
      </c>
      <c r="F1162" t="s">
        <v>336</v>
      </c>
      <c r="G1162" t="s">
        <v>750</v>
      </c>
      <c r="H1162" t="s">
        <v>751</v>
      </c>
      <c r="I1162" t="s">
        <v>199</v>
      </c>
      <c r="J1162" t="s">
        <v>337</v>
      </c>
      <c r="M1162">
        <v>1</v>
      </c>
      <c r="N1162">
        <v>1</v>
      </c>
    </row>
    <row r="1163" spans="1:14" x14ac:dyDescent="0.45">
      <c r="A1163" t="s">
        <v>3464</v>
      </c>
      <c r="B1163" t="s">
        <v>3465</v>
      </c>
      <c r="C1163" t="s">
        <v>3461</v>
      </c>
      <c r="D1163" t="s">
        <v>3462</v>
      </c>
      <c r="E1163" t="s">
        <v>335</v>
      </c>
      <c r="F1163" t="s">
        <v>336</v>
      </c>
      <c r="G1163" t="s">
        <v>750</v>
      </c>
      <c r="H1163" t="s">
        <v>751</v>
      </c>
      <c r="I1163" t="s">
        <v>199</v>
      </c>
      <c r="J1163" t="s">
        <v>337</v>
      </c>
      <c r="M1163">
        <v>1</v>
      </c>
      <c r="N1163">
        <v>1</v>
      </c>
    </row>
    <row r="1164" spans="1:14" x14ac:dyDescent="0.45">
      <c r="A1164" t="s">
        <v>3466</v>
      </c>
      <c r="B1164" t="s">
        <v>3467</v>
      </c>
      <c r="C1164" t="s">
        <v>3461</v>
      </c>
      <c r="D1164" t="s">
        <v>3462</v>
      </c>
      <c r="E1164" t="s">
        <v>335</v>
      </c>
      <c r="F1164" t="s">
        <v>336</v>
      </c>
      <c r="G1164" t="s">
        <v>750</v>
      </c>
      <c r="H1164" t="s">
        <v>751</v>
      </c>
      <c r="I1164" t="s">
        <v>199</v>
      </c>
      <c r="J1164" t="s">
        <v>337</v>
      </c>
      <c r="M1164">
        <v>1</v>
      </c>
      <c r="N1164">
        <v>1</v>
      </c>
    </row>
    <row r="1165" spans="1:14" x14ac:dyDescent="0.45">
      <c r="A1165" t="s">
        <v>3468</v>
      </c>
      <c r="B1165" t="s">
        <v>3469</v>
      </c>
      <c r="C1165" t="s">
        <v>3461</v>
      </c>
      <c r="D1165" t="s">
        <v>3462</v>
      </c>
      <c r="E1165" t="s">
        <v>335</v>
      </c>
      <c r="F1165" t="s">
        <v>336</v>
      </c>
      <c r="G1165" t="s">
        <v>750</v>
      </c>
      <c r="H1165" t="s">
        <v>751</v>
      </c>
      <c r="I1165" t="s">
        <v>199</v>
      </c>
      <c r="J1165" t="s">
        <v>337</v>
      </c>
      <c r="M1165">
        <v>1</v>
      </c>
      <c r="N1165">
        <v>1</v>
      </c>
    </row>
    <row r="1166" spans="1:14" x14ac:dyDescent="0.45">
      <c r="A1166" t="s">
        <v>3470</v>
      </c>
      <c r="B1166" t="s">
        <v>3471</v>
      </c>
      <c r="C1166" t="s">
        <v>3461</v>
      </c>
      <c r="D1166" t="s">
        <v>3462</v>
      </c>
      <c r="E1166" t="s">
        <v>335</v>
      </c>
      <c r="F1166" t="s">
        <v>336</v>
      </c>
      <c r="G1166" t="s">
        <v>750</v>
      </c>
      <c r="H1166" t="s">
        <v>751</v>
      </c>
      <c r="I1166" t="s">
        <v>199</v>
      </c>
      <c r="J1166" t="s">
        <v>337</v>
      </c>
      <c r="M1166">
        <v>1</v>
      </c>
      <c r="N1166">
        <v>1</v>
      </c>
    </row>
    <row r="1167" spans="1:14" x14ac:dyDescent="0.45">
      <c r="A1167" t="s">
        <v>3472</v>
      </c>
      <c r="B1167" t="s">
        <v>3473</v>
      </c>
      <c r="C1167" t="s">
        <v>3461</v>
      </c>
      <c r="D1167" t="s">
        <v>3462</v>
      </c>
      <c r="E1167" t="s">
        <v>335</v>
      </c>
      <c r="F1167" t="s">
        <v>336</v>
      </c>
      <c r="G1167" t="s">
        <v>750</v>
      </c>
      <c r="H1167" t="s">
        <v>751</v>
      </c>
      <c r="I1167" t="s">
        <v>199</v>
      </c>
      <c r="J1167" t="s">
        <v>337</v>
      </c>
      <c r="M1167">
        <v>1</v>
      </c>
      <c r="N1167">
        <v>1</v>
      </c>
    </row>
    <row r="1168" spans="1:14" x14ac:dyDescent="0.45">
      <c r="A1168" t="s">
        <v>3474</v>
      </c>
      <c r="B1168" t="s">
        <v>3475</v>
      </c>
      <c r="C1168" t="s">
        <v>3461</v>
      </c>
      <c r="D1168" t="s">
        <v>3462</v>
      </c>
      <c r="E1168" t="s">
        <v>335</v>
      </c>
      <c r="F1168" t="s">
        <v>336</v>
      </c>
      <c r="G1168" t="s">
        <v>750</v>
      </c>
      <c r="H1168" t="s">
        <v>751</v>
      </c>
      <c r="I1168" t="s">
        <v>199</v>
      </c>
      <c r="J1168" t="s">
        <v>337</v>
      </c>
      <c r="M1168">
        <v>1</v>
      </c>
      <c r="N1168">
        <v>1</v>
      </c>
    </row>
    <row r="1169" spans="1:14" x14ac:dyDescent="0.45">
      <c r="A1169" t="s">
        <v>854</v>
      </c>
      <c r="B1169" t="s">
        <v>3476</v>
      </c>
      <c r="C1169" t="s">
        <v>3461</v>
      </c>
      <c r="D1169" t="s">
        <v>3462</v>
      </c>
      <c r="E1169" t="s">
        <v>335</v>
      </c>
      <c r="F1169" t="s">
        <v>336</v>
      </c>
      <c r="G1169" t="s">
        <v>750</v>
      </c>
      <c r="H1169" t="s">
        <v>751</v>
      </c>
      <c r="I1169" t="s">
        <v>199</v>
      </c>
      <c r="J1169" t="s">
        <v>337</v>
      </c>
      <c r="M1169">
        <v>1</v>
      </c>
      <c r="N1169">
        <v>1</v>
      </c>
    </row>
    <row r="1170" spans="1:14" x14ac:dyDescent="0.45">
      <c r="A1170" t="s">
        <v>3301</v>
      </c>
      <c r="B1170" t="s">
        <v>3477</v>
      </c>
      <c r="C1170" t="s">
        <v>3461</v>
      </c>
      <c r="D1170" t="s">
        <v>3462</v>
      </c>
      <c r="E1170" t="s">
        <v>335</v>
      </c>
      <c r="F1170" t="s">
        <v>336</v>
      </c>
      <c r="G1170" t="s">
        <v>750</v>
      </c>
      <c r="H1170" t="s">
        <v>751</v>
      </c>
      <c r="I1170" t="s">
        <v>199</v>
      </c>
      <c r="J1170" t="s">
        <v>337</v>
      </c>
      <c r="M1170">
        <v>1</v>
      </c>
      <c r="N1170">
        <v>1</v>
      </c>
    </row>
    <row r="1171" spans="1:14" x14ac:dyDescent="0.45">
      <c r="A1171" t="s">
        <v>3478</v>
      </c>
      <c r="B1171" t="s">
        <v>3479</v>
      </c>
      <c r="C1171" t="s">
        <v>3461</v>
      </c>
      <c r="D1171" t="s">
        <v>3462</v>
      </c>
      <c r="E1171" t="s">
        <v>335</v>
      </c>
      <c r="F1171" t="s">
        <v>336</v>
      </c>
      <c r="G1171" t="s">
        <v>750</v>
      </c>
      <c r="H1171" t="s">
        <v>751</v>
      </c>
      <c r="I1171" t="s">
        <v>199</v>
      </c>
      <c r="J1171" t="s">
        <v>337</v>
      </c>
      <c r="M1171">
        <v>1</v>
      </c>
      <c r="N1171">
        <v>1</v>
      </c>
    </row>
    <row r="1172" spans="1:14" x14ac:dyDescent="0.45">
      <c r="A1172" t="s">
        <v>3480</v>
      </c>
      <c r="B1172" t="s">
        <v>3481</v>
      </c>
      <c r="C1172" t="s">
        <v>3482</v>
      </c>
      <c r="D1172" t="s">
        <v>3483</v>
      </c>
      <c r="E1172" t="s">
        <v>335</v>
      </c>
      <c r="F1172" t="s">
        <v>336</v>
      </c>
      <c r="G1172" t="s">
        <v>750</v>
      </c>
      <c r="H1172" t="s">
        <v>751</v>
      </c>
      <c r="I1172" t="s">
        <v>199</v>
      </c>
      <c r="J1172" t="s">
        <v>337</v>
      </c>
      <c r="M1172">
        <v>1</v>
      </c>
      <c r="N1172">
        <v>1</v>
      </c>
    </row>
    <row r="1173" spans="1:14" x14ac:dyDescent="0.45">
      <c r="A1173" t="s">
        <v>3484</v>
      </c>
      <c r="B1173" t="s">
        <v>3485</v>
      </c>
      <c r="C1173" t="s">
        <v>3482</v>
      </c>
      <c r="D1173" t="s">
        <v>3483</v>
      </c>
      <c r="E1173" t="s">
        <v>335</v>
      </c>
      <c r="F1173" t="s">
        <v>336</v>
      </c>
      <c r="G1173" t="s">
        <v>750</v>
      </c>
      <c r="H1173" t="s">
        <v>751</v>
      </c>
      <c r="I1173" t="s">
        <v>199</v>
      </c>
      <c r="J1173" t="s">
        <v>337</v>
      </c>
      <c r="M1173">
        <v>1</v>
      </c>
      <c r="N1173">
        <v>1</v>
      </c>
    </row>
    <row r="1174" spans="1:14" x14ac:dyDescent="0.45">
      <c r="A1174" t="s">
        <v>3486</v>
      </c>
      <c r="B1174" t="s">
        <v>3487</v>
      </c>
      <c r="C1174" t="s">
        <v>3482</v>
      </c>
      <c r="D1174" t="s">
        <v>3483</v>
      </c>
      <c r="E1174" t="s">
        <v>335</v>
      </c>
      <c r="F1174" t="s">
        <v>336</v>
      </c>
      <c r="G1174" t="s">
        <v>750</v>
      </c>
      <c r="H1174" t="s">
        <v>751</v>
      </c>
      <c r="I1174" t="s">
        <v>199</v>
      </c>
      <c r="J1174" t="s">
        <v>337</v>
      </c>
      <c r="M1174">
        <v>1</v>
      </c>
      <c r="N1174">
        <v>1</v>
      </c>
    </row>
    <row r="1175" spans="1:14" x14ac:dyDescent="0.45">
      <c r="A1175" t="s">
        <v>3488</v>
      </c>
      <c r="B1175" t="s">
        <v>3489</v>
      </c>
      <c r="C1175" t="s">
        <v>3482</v>
      </c>
      <c r="D1175" t="s">
        <v>3483</v>
      </c>
      <c r="E1175" t="s">
        <v>335</v>
      </c>
      <c r="F1175" t="s">
        <v>336</v>
      </c>
      <c r="G1175" t="s">
        <v>750</v>
      </c>
      <c r="H1175" t="s">
        <v>751</v>
      </c>
      <c r="I1175" t="s">
        <v>199</v>
      </c>
      <c r="J1175" t="s">
        <v>337</v>
      </c>
      <c r="M1175">
        <v>1</v>
      </c>
      <c r="N1175">
        <v>1</v>
      </c>
    </row>
    <row r="1176" spans="1:14" x14ac:dyDescent="0.45">
      <c r="A1176" t="s">
        <v>3490</v>
      </c>
      <c r="B1176" t="s">
        <v>3491</v>
      </c>
      <c r="C1176" t="s">
        <v>3482</v>
      </c>
      <c r="D1176" t="s">
        <v>3483</v>
      </c>
      <c r="E1176" t="s">
        <v>335</v>
      </c>
      <c r="F1176" t="s">
        <v>336</v>
      </c>
      <c r="G1176" t="s">
        <v>750</v>
      </c>
      <c r="H1176" t="s">
        <v>751</v>
      </c>
      <c r="I1176" t="s">
        <v>199</v>
      </c>
      <c r="J1176" t="s">
        <v>337</v>
      </c>
      <c r="M1176">
        <v>1</v>
      </c>
      <c r="N1176">
        <v>1</v>
      </c>
    </row>
    <row r="1177" spans="1:14" x14ac:dyDescent="0.45">
      <c r="A1177" t="s">
        <v>1962</v>
      </c>
      <c r="B1177" t="s">
        <v>3492</v>
      </c>
      <c r="C1177" t="s">
        <v>3482</v>
      </c>
      <c r="D1177" t="s">
        <v>3483</v>
      </c>
      <c r="E1177" t="s">
        <v>335</v>
      </c>
      <c r="F1177" t="s">
        <v>336</v>
      </c>
      <c r="G1177" t="s">
        <v>750</v>
      </c>
      <c r="H1177" t="s">
        <v>751</v>
      </c>
      <c r="I1177" t="s">
        <v>199</v>
      </c>
      <c r="J1177" t="s">
        <v>337</v>
      </c>
      <c r="M1177">
        <v>1</v>
      </c>
      <c r="N1177">
        <v>1</v>
      </c>
    </row>
    <row r="1178" spans="1:14" x14ac:dyDescent="0.45">
      <c r="A1178" t="s">
        <v>795</v>
      </c>
      <c r="B1178" t="s">
        <v>3493</v>
      </c>
      <c r="C1178" t="s">
        <v>3482</v>
      </c>
      <c r="D1178" t="s">
        <v>3483</v>
      </c>
      <c r="E1178" t="s">
        <v>335</v>
      </c>
      <c r="F1178" t="s">
        <v>336</v>
      </c>
      <c r="G1178" t="s">
        <v>750</v>
      </c>
      <c r="H1178" t="s">
        <v>751</v>
      </c>
      <c r="I1178" t="s">
        <v>199</v>
      </c>
      <c r="J1178" t="s">
        <v>337</v>
      </c>
      <c r="M1178">
        <v>1</v>
      </c>
      <c r="N1178">
        <v>1</v>
      </c>
    </row>
    <row r="1179" spans="1:14" x14ac:dyDescent="0.45">
      <c r="A1179" t="s">
        <v>3494</v>
      </c>
      <c r="B1179" t="s">
        <v>3495</v>
      </c>
      <c r="C1179" t="s">
        <v>3482</v>
      </c>
      <c r="D1179" t="s">
        <v>3483</v>
      </c>
      <c r="E1179" t="s">
        <v>335</v>
      </c>
      <c r="F1179" t="s">
        <v>336</v>
      </c>
      <c r="G1179" t="s">
        <v>750</v>
      </c>
      <c r="H1179" t="s">
        <v>751</v>
      </c>
      <c r="I1179" t="s">
        <v>199</v>
      </c>
      <c r="J1179" t="s">
        <v>337</v>
      </c>
      <c r="M1179">
        <v>1</v>
      </c>
      <c r="N1179">
        <v>1</v>
      </c>
    </row>
    <row r="1180" spans="1:14" x14ac:dyDescent="0.45">
      <c r="A1180" t="s">
        <v>3496</v>
      </c>
      <c r="B1180" t="s">
        <v>3497</v>
      </c>
      <c r="C1180" t="s">
        <v>3482</v>
      </c>
      <c r="D1180" t="s">
        <v>3483</v>
      </c>
      <c r="E1180" t="s">
        <v>335</v>
      </c>
      <c r="F1180" t="s">
        <v>336</v>
      </c>
      <c r="G1180" t="s">
        <v>750</v>
      </c>
      <c r="H1180" t="s">
        <v>751</v>
      </c>
      <c r="I1180" t="s">
        <v>199</v>
      </c>
      <c r="J1180" t="s">
        <v>337</v>
      </c>
      <c r="M1180">
        <v>1</v>
      </c>
      <c r="N1180">
        <v>1</v>
      </c>
    </row>
    <row r="1181" spans="1:14" x14ac:dyDescent="0.45">
      <c r="A1181" t="s">
        <v>3498</v>
      </c>
      <c r="B1181" t="s">
        <v>3499</v>
      </c>
      <c r="C1181" t="s">
        <v>3482</v>
      </c>
      <c r="D1181" t="s">
        <v>3483</v>
      </c>
      <c r="E1181" t="s">
        <v>335</v>
      </c>
      <c r="F1181" t="s">
        <v>336</v>
      </c>
      <c r="G1181" t="s">
        <v>750</v>
      </c>
      <c r="H1181" t="s">
        <v>751</v>
      </c>
      <c r="I1181" t="s">
        <v>199</v>
      </c>
      <c r="J1181" t="s">
        <v>337</v>
      </c>
      <c r="M1181">
        <v>1</v>
      </c>
      <c r="N1181">
        <v>1</v>
      </c>
    </row>
    <row r="1182" spans="1:14" x14ac:dyDescent="0.45">
      <c r="A1182" t="s">
        <v>3500</v>
      </c>
      <c r="B1182" t="s">
        <v>3501</v>
      </c>
      <c r="C1182" t="s">
        <v>3482</v>
      </c>
      <c r="D1182" t="s">
        <v>3483</v>
      </c>
      <c r="E1182" t="s">
        <v>335</v>
      </c>
      <c r="F1182" t="s">
        <v>336</v>
      </c>
      <c r="G1182" t="s">
        <v>750</v>
      </c>
      <c r="H1182" t="s">
        <v>751</v>
      </c>
      <c r="I1182" t="s">
        <v>199</v>
      </c>
      <c r="J1182" t="s">
        <v>337</v>
      </c>
      <c r="M1182">
        <v>1</v>
      </c>
      <c r="N1182">
        <v>1</v>
      </c>
    </row>
    <row r="1183" spans="1:14" x14ac:dyDescent="0.45">
      <c r="A1183" t="s">
        <v>3502</v>
      </c>
      <c r="B1183" t="s">
        <v>3503</v>
      </c>
      <c r="C1183" t="s">
        <v>3482</v>
      </c>
      <c r="D1183" t="s">
        <v>3483</v>
      </c>
      <c r="E1183" t="s">
        <v>335</v>
      </c>
      <c r="F1183" t="s">
        <v>336</v>
      </c>
      <c r="G1183" t="s">
        <v>750</v>
      </c>
      <c r="H1183" t="s">
        <v>751</v>
      </c>
      <c r="I1183" t="s">
        <v>199</v>
      </c>
      <c r="J1183" t="s">
        <v>337</v>
      </c>
      <c r="M1183">
        <v>1</v>
      </c>
      <c r="N1183">
        <v>1</v>
      </c>
    </row>
    <row r="1184" spans="1:14" x14ac:dyDescent="0.45">
      <c r="A1184" t="s">
        <v>3504</v>
      </c>
      <c r="B1184" t="s">
        <v>3505</v>
      </c>
      <c r="C1184" t="s">
        <v>3506</v>
      </c>
      <c r="D1184" t="s">
        <v>3507</v>
      </c>
      <c r="E1184" t="s">
        <v>335</v>
      </c>
      <c r="F1184" t="s">
        <v>336</v>
      </c>
      <c r="G1184" t="s">
        <v>750</v>
      </c>
      <c r="H1184" t="s">
        <v>751</v>
      </c>
      <c r="I1184" t="s">
        <v>199</v>
      </c>
      <c r="J1184" t="s">
        <v>337</v>
      </c>
      <c r="M1184">
        <v>1</v>
      </c>
      <c r="N1184">
        <v>1</v>
      </c>
    </row>
    <row r="1185" spans="1:14" x14ac:dyDescent="0.45">
      <c r="A1185" t="s">
        <v>3508</v>
      </c>
      <c r="B1185" t="s">
        <v>3509</v>
      </c>
      <c r="C1185" t="s">
        <v>3506</v>
      </c>
      <c r="D1185" t="s">
        <v>3507</v>
      </c>
      <c r="E1185" t="s">
        <v>335</v>
      </c>
      <c r="F1185" t="s">
        <v>336</v>
      </c>
      <c r="G1185" t="s">
        <v>750</v>
      </c>
      <c r="H1185" t="s">
        <v>751</v>
      </c>
      <c r="I1185" t="s">
        <v>199</v>
      </c>
      <c r="J1185" t="s">
        <v>337</v>
      </c>
      <c r="M1185">
        <v>1</v>
      </c>
      <c r="N1185">
        <v>1</v>
      </c>
    </row>
    <row r="1186" spans="1:14" x14ac:dyDescent="0.45">
      <c r="A1186" t="s">
        <v>3510</v>
      </c>
      <c r="B1186" t="s">
        <v>3511</v>
      </c>
      <c r="C1186" t="s">
        <v>3506</v>
      </c>
      <c r="D1186" t="s">
        <v>3507</v>
      </c>
      <c r="E1186" t="s">
        <v>335</v>
      </c>
      <c r="F1186" t="s">
        <v>336</v>
      </c>
      <c r="G1186" t="s">
        <v>750</v>
      </c>
      <c r="H1186" t="s">
        <v>751</v>
      </c>
      <c r="I1186" t="s">
        <v>199</v>
      </c>
      <c r="J1186" t="s">
        <v>337</v>
      </c>
      <c r="M1186">
        <v>1</v>
      </c>
      <c r="N1186">
        <v>1</v>
      </c>
    </row>
    <row r="1187" spans="1:14" x14ac:dyDescent="0.45">
      <c r="A1187" t="s">
        <v>3512</v>
      </c>
      <c r="B1187" t="s">
        <v>3513</v>
      </c>
      <c r="C1187" t="s">
        <v>3506</v>
      </c>
      <c r="D1187" t="s">
        <v>3507</v>
      </c>
      <c r="E1187" t="s">
        <v>335</v>
      </c>
      <c r="F1187" t="s">
        <v>336</v>
      </c>
      <c r="G1187" t="s">
        <v>750</v>
      </c>
      <c r="H1187" t="s">
        <v>751</v>
      </c>
      <c r="I1187" t="s">
        <v>199</v>
      </c>
      <c r="J1187" t="s">
        <v>337</v>
      </c>
      <c r="M1187">
        <v>1</v>
      </c>
      <c r="N1187">
        <v>1</v>
      </c>
    </row>
    <row r="1188" spans="1:14" x14ac:dyDescent="0.45">
      <c r="A1188" t="s">
        <v>3514</v>
      </c>
      <c r="B1188" t="s">
        <v>3515</v>
      </c>
      <c r="C1188" t="s">
        <v>3506</v>
      </c>
      <c r="D1188" t="s">
        <v>3507</v>
      </c>
      <c r="E1188" t="s">
        <v>335</v>
      </c>
      <c r="F1188" t="s">
        <v>336</v>
      </c>
      <c r="G1188" t="s">
        <v>750</v>
      </c>
      <c r="H1188" t="s">
        <v>751</v>
      </c>
      <c r="I1188" t="s">
        <v>199</v>
      </c>
      <c r="J1188" t="s">
        <v>337</v>
      </c>
      <c r="M1188">
        <v>1</v>
      </c>
      <c r="N1188">
        <v>1</v>
      </c>
    </row>
    <row r="1189" spans="1:14" x14ac:dyDescent="0.45">
      <c r="A1189" t="s">
        <v>973</v>
      </c>
      <c r="B1189" t="s">
        <v>3516</v>
      </c>
      <c r="C1189" t="s">
        <v>3506</v>
      </c>
      <c r="D1189" t="s">
        <v>3507</v>
      </c>
      <c r="E1189" t="s">
        <v>335</v>
      </c>
      <c r="F1189" t="s">
        <v>336</v>
      </c>
      <c r="G1189" t="s">
        <v>750</v>
      </c>
      <c r="H1189" t="s">
        <v>751</v>
      </c>
      <c r="I1189" t="s">
        <v>199</v>
      </c>
      <c r="J1189" t="s">
        <v>337</v>
      </c>
      <c r="M1189">
        <v>1</v>
      </c>
      <c r="N1189">
        <v>1</v>
      </c>
    </row>
    <row r="1190" spans="1:14" x14ac:dyDescent="0.45">
      <c r="A1190" t="s">
        <v>1050</v>
      </c>
      <c r="B1190" t="s">
        <v>3517</v>
      </c>
      <c r="C1190" t="s">
        <v>3506</v>
      </c>
      <c r="D1190" t="s">
        <v>3507</v>
      </c>
      <c r="E1190" t="s">
        <v>335</v>
      </c>
      <c r="F1190" t="s">
        <v>336</v>
      </c>
      <c r="G1190" t="s">
        <v>750</v>
      </c>
      <c r="H1190" t="s">
        <v>751</v>
      </c>
      <c r="I1190" t="s">
        <v>199</v>
      </c>
      <c r="J1190" t="s">
        <v>337</v>
      </c>
      <c r="M1190">
        <v>1</v>
      </c>
      <c r="N1190">
        <v>1</v>
      </c>
    </row>
    <row r="1191" spans="1:14" x14ac:dyDescent="0.45">
      <c r="A1191" t="s">
        <v>3518</v>
      </c>
      <c r="B1191" t="s">
        <v>3519</v>
      </c>
      <c r="C1191" t="s">
        <v>3506</v>
      </c>
      <c r="D1191" t="s">
        <v>3507</v>
      </c>
      <c r="E1191" t="s">
        <v>335</v>
      </c>
      <c r="F1191" t="s">
        <v>336</v>
      </c>
      <c r="G1191" t="s">
        <v>750</v>
      </c>
      <c r="H1191" t="s">
        <v>751</v>
      </c>
      <c r="I1191" t="s">
        <v>199</v>
      </c>
      <c r="J1191" t="s">
        <v>337</v>
      </c>
      <c r="M1191">
        <v>1</v>
      </c>
      <c r="N1191">
        <v>1</v>
      </c>
    </row>
    <row r="1192" spans="1:14" x14ac:dyDescent="0.45">
      <c r="A1192" t="s">
        <v>3520</v>
      </c>
      <c r="B1192" t="s">
        <v>3521</v>
      </c>
      <c r="C1192" t="s">
        <v>3506</v>
      </c>
      <c r="D1192" t="s">
        <v>3507</v>
      </c>
      <c r="E1192" t="s">
        <v>335</v>
      </c>
      <c r="F1192" t="s">
        <v>336</v>
      </c>
      <c r="G1192" t="s">
        <v>750</v>
      </c>
      <c r="H1192" t="s">
        <v>751</v>
      </c>
      <c r="I1192" t="s">
        <v>199</v>
      </c>
      <c r="J1192" t="s">
        <v>337</v>
      </c>
      <c r="M1192">
        <v>1</v>
      </c>
      <c r="N1192">
        <v>1</v>
      </c>
    </row>
    <row r="1193" spans="1:14" x14ac:dyDescent="0.45">
      <c r="A1193" t="s">
        <v>3522</v>
      </c>
      <c r="B1193" t="s">
        <v>3523</v>
      </c>
      <c r="C1193" t="s">
        <v>3506</v>
      </c>
      <c r="D1193" t="s">
        <v>3507</v>
      </c>
      <c r="E1193" t="s">
        <v>335</v>
      </c>
      <c r="F1193" t="s">
        <v>336</v>
      </c>
      <c r="G1193" t="s">
        <v>750</v>
      </c>
      <c r="H1193" t="s">
        <v>751</v>
      </c>
      <c r="I1193" t="s">
        <v>199</v>
      </c>
      <c r="J1193" t="s">
        <v>337</v>
      </c>
      <c r="M1193">
        <v>1</v>
      </c>
      <c r="N1193">
        <v>1</v>
      </c>
    </row>
    <row r="1194" spans="1:14" x14ac:dyDescent="0.45">
      <c r="A1194" t="s">
        <v>3524</v>
      </c>
      <c r="B1194" t="s">
        <v>3525</v>
      </c>
      <c r="C1194" t="s">
        <v>3506</v>
      </c>
      <c r="D1194" t="s">
        <v>3507</v>
      </c>
      <c r="E1194" t="s">
        <v>335</v>
      </c>
      <c r="F1194" t="s">
        <v>336</v>
      </c>
      <c r="G1194" t="s">
        <v>750</v>
      </c>
      <c r="H1194" t="s">
        <v>751</v>
      </c>
      <c r="I1194" t="s">
        <v>199</v>
      </c>
      <c r="J1194" t="s">
        <v>337</v>
      </c>
      <c r="M1194">
        <v>1</v>
      </c>
      <c r="N1194">
        <v>1</v>
      </c>
    </row>
    <row r="1195" spans="1:14" x14ac:dyDescent="0.45">
      <c r="A1195" t="s">
        <v>3526</v>
      </c>
      <c r="B1195" t="s">
        <v>3527</v>
      </c>
      <c r="C1195" t="s">
        <v>3506</v>
      </c>
      <c r="D1195" t="s">
        <v>3507</v>
      </c>
      <c r="E1195" t="s">
        <v>335</v>
      </c>
      <c r="F1195" t="s">
        <v>336</v>
      </c>
      <c r="G1195" t="s">
        <v>750</v>
      </c>
      <c r="H1195" t="s">
        <v>751</v>
      </c>
      <c r="I1195" t="s">
        <v>199</v>
      </c>
      <c r="J1195" t="s">
        <v>337</v>
      </c>
      <c r="M1195">
        <v>1</v>
      </c>
      <c r="N1195">
        <v>1</v>
      </c>
    </row>
    <row r="1196" spans="1:14" x14ac:dyDescent="0.45">
      <c r="A1196" t="s">
        <v>1628</v>
      </c>
      <c r="B1196" t="s">
        <v>3528</v>
      </c>
      <c r="C1196" t="s">
        <v>3506</v>
      </c>
      <c r="D1196" t="s">
        <v>3507</v>
      </c>
      <c r="E1196" t="s">
        <v>335</v>
      </c>
      <c r="F1196" t="s">
        <v>336</v>
      </c>
      <c r="G1196" t="s">
        <v>750</v>
      </c>
      <c r="H1196" t="s">
        <v>751</v>
      </c>
      <c r="I1196" t="s">
        <v>199</v>
      </c>
      <c r="J1196" t="s">
        <v>337</v>
      </c>
      <c r="M1196">
        <v>1</v>
      </c>
      <c r="N1196">
        <v>1</v>
      </c>
    </row>
    <row r="1197" spans="1:14" x14ac:dyDescent="0.45">
      <c r="A1197" t="s">
        <v>3529</v>
      </c>
      <c r="B1197" t="s">
        <v>3530</v>
      </c>
      <c r="C1197" t="s">
        <v>3506</v>
      </c>
      <c r="D1197" t="s">
        <v>3507</v>
      </c>
      <c r="E1197" t="s">
        <v>335</v>
      </c>
      <c r="F1197" t="s">
        <v>336</v>
      </c>
      <c r="G1197" t="s">
        <v>750</v>
      </c>
      <c r="H1197" t="s">
        <v>751</v>
      </c>
      <c r="I1197" t="s">
        <v>199</v>
      </c>
      <c r="J1197" t="s">
        <v>337</v>
      </c>
      <c r="M1197">
        <v>1</v>
      </c>
      <c r="N1197">
        <v>1</v>
      </c>
    </row>
    <row r="1198" spans="1:14" x14ac:dyDescent="0.45">
      <c r="A1198" t="s">
        <v>3531</v>
      </c>
      <c r="B1198" t="s">
        <v>3532</v>
      </c>
      <c r="C1198" t="s">
        <v>3506</v>
      </c>
      <c r="D1198" t="s">
        <v>3507</v>
      </c>
      <c r="E1198" t="s">
        <v>335</v>
      </c>
      <c r="F1198" t="s">
        <v>336</v>
      </c>
      <c r="G1198" t="s">
        <v>750</v>
      </c>
      <c r="H1198" t="s">
        <v>751</v>
      </c>
      <c r="I1198" t="s">
        <v>199</v>
      </c>
      <c r="J1198" t="s">
        <v>337</v>
      </c>
      <c r="M1198">
        <v>1</v>
      </c>
      <c r="N1198">
        <v>1</v>
      </c>
    </row>
    <row r="1199" spans="1:14" x14ac:dyDescent="0.45">
      <c r="A1199" t="s">
        <v>3533</v>
      </c>
      <c r="B1199" t="s">
        <v>3534</v>
      </c>
      <c r="C1199" t="s">
        <v>3506</v>
      </c>
      <c r="D1199" t="s">
        <v>3507</v>
      </c>
      <c r="E1199" t="s">
        <v>335</v>
      </c>
      <c r="F1199" t="s">
        <v>336</v>
      </c>
      <c r="G1199" t="s">
        <v>750</v>
      </c>
      <c r="H1199" t="s">
        <v>751</v>
      </c>
      <c r="I1199" t="s">
        <v>199</v>
      </c>
      <c r="J1199" t="s">
        <v>337</v>
      </c>
      <c r="M1199">
        <v>1</v>
      </c>
      <c r="N1199">
        <v>1</v>
      </c>
    </row>
    <row r="1200" spans="1:14" x14ac:dyDescent="0.45">
      <c r="A1200" t="s">
        <v>3535</v>
      </c>
      <c r="B1200" t="s">
        <v>3536</v>
      </c>
      <c r="C1200" t="s">
        <v>3506</v>
      </c>
      <c r="D1200" t="s">
        <v>3507</v>
      </c>
      <c r="E1200" t="s">
        <v>335</v>
      </c>
      <c r="F1200" t="s">
        <v>336</v>
      </c>
      <c r="G1200" t="s">
        <v>750</v>
      </c>
      <c r="H1200" t="s">
        <v>751</v>
      </c>
      <c r="I1200" t="s">
        <v>199</v>
      </c>
      <c r="J1200" t="s">
        <v>337</v>
      </c>
      <c r="M1200">
        <v>1</v>
      </c>
      <c r="N1200">
        <v>1</v>
      </c>
    </row>
    <row r="1201" spans="1:14" x14ac:dyDescent="0.45">
      <c r="A1201" t="s">
        <v>3537</v>
      </c>
      <c r="B1201" t="s">
        <v>3538</v>
      </c>
      <c r="C1201" t="s">
        <v>3506</v>
      </c>
      <c r="D1201" t="s">
        <v>3507</v>
      </c>
      <c r="E1201" t="s">
        <v>335</v>
      </c>
      <c r="F1201" t="s">
        <v>336</v>
      </c>
      <c r="G1201" t="s">
        <v>750</v>
      </c>
      <c r="H1201" t="s">
        <v>751</v>
      </c>
      <c r="I1201" t="s">
        <v>199</v>
      </c>
      <c r="J1201" t="s">
        <v>337</v>
      </c>
      <c r="M1201">
        <v>1</v>
      </c>
      <c r="N1201">
        <v>1</v>
      </c>
    </row>
    <row r="1202" spans="1:14" x14ac:dyDescent="0.45">
      <c r="A1202" t="s">
        <v>3539</v>
      </c>
      <c r="B1202" t="s">
        <v>3540</v>
      </c>
      <c r="C1202" t="s">
        <v>3506</v>
      </c>
      <c r="D1202" t="s">
        <v>3507</v>
      </c>
      <c r="E1202" t="s">
        <v>335</v>
      </c>
      <c r="F1202" t="s">
        <v>336</v>
      </c>
      <c r="G1202" t="s">
        <v>750</v>
      </c>
      <c r="H1202" t="s">
        <v>751</v>
      </c>
      <c r="I1202" t="s">
        <v>199</v>
      </c>
      <c r="J1202" t="s">
        <v>337</v>
      </c>
      <c r="M1202">
        <v>1</v>
      </c>
      <c r="N1202">
        <v>1</v>
      </c>
    </row>
    <row r="1203" spans="1:14" x14ac:dyDescent="0.45">
      <c r="A1203" t="s">
        <v>3541</v>
      </c>
      <c r="B1203" t="s">
        <v>3542</v>
      </c>
      <c r="C1203" t="s">
        <v>3506</v>
      </c>
      <c r="D1203" t="s">
        <v>3507</v>
      </c>
      <c r="E1203" t="s">
        <v>335</v>
      </c>
      <c r="F1203" t="s">
        <v>336</v>
      </c>
      <c r="G1203" t="s">
        <v>750</v>
      </c>
      <c r="H1203" t="s">
        <v>751</v>
      </c>
      <c r="I1203" t="s">
        <v>199</v>
      </c>
      <c r="J1203" t="s">
        <v>337</v>
      </c>
      <c r="M1203">
        <v>1</v>
      </c>
      <c r="N1203">
        <v>1</v>
      </c>
    </row>
    <row r="1204" spans="1:14" x14ac:dyDescent="0.45">
      <c r="A1204" t="s">
        <v>3543</v>
      </c>
      <c r="B1204" t="s">
        <v>3544</v>
      </c>
      <c r="C1204" t="s">
        <v>3506</v>
      </c>
      <c r="D1204" t="s">
        <v>3507</v>
      </c>
      <c r="E1204" t="s">
        <v>335</v>
      </c>
      <c r="F1204" t="s">
        <v>336</v>
      </c>
      <c r="G1204" t="s">
        <v>750</v>
      </c>
      <c r="H1204" t="s">
        <v>751</v>
      </c>
      <c r="I1204" t="s">
        <v>199</v>
      </c>
      <c r="J1204" t="s">
        <v>337</v>
      </c>
      <c r="M1204">
        <v>1</v>
      </c>
      <c r="N1204">
        <v>1</v>
      </c>
    </row>
    <row r="1205" spans="1:14" x14ac:dyDescent="0.45">
      <c r="A1205" t="s">
        <v>3545</v>
      </c>
      <c r="B1205" t="s">
        <v>3546</v>
      </c>
      <c r="C1205" t="s">
        <v>3506</v>
      </c>
      <c r="D1205" t="s">
        <v>3507</v>
      </c>
      <c r="E1205" t="s">
        <v>335</v>
      </c>
      <c r="F1205" t="s">
        <v>336</v>
      </c>
      <c r="G1205" t="s">
        <v>750</v>
      </c>
      <c r="H1205" t="s">
        <v>751</v>
      </c>
      <c r="I1205" t="s">
        <v>199</v>
      </c>
      <c r="J1205" t="s">
        <v>337</v>
      </c>
      <c r="M1205">
        <v>1</v>
      </c>
      <c r="N1205">
        <v>1</v>
      </c>
    </row>
    <row r="1206" spans="1:14" x14ac:dyDescent="0.45">
      <c r="A1206" t="s">
        <v>1134</v>
      </c>
      <c r="B1206" t="s">
        <v>3547</v>
      </c>
      <c r="C1206" t="s">
        <v>3506</v>
      </c>
      <c r="D1206" t="s">
        <v>3507</v>
      </c>
      <c r="E1206" t="s">
        <v>335</v>
      </c>
      <c r="F1206" t="s">
        <v>336</v>
      </c>
      <c r="G1206" t="s">
        <v>750</v>
      </c>
      <c r="H1206" t="s">
        <v>751</v>
      </c>
      <c r="I1206" t="s">
        <v>199</v>
      </c>
      <c r="J1206" t="s">
        <v>337</v>
      </c>
      <c r="M1206">
        <v>1</v>
      </c>
      <c r="N1206">
        <v>1</v>
      </c>
    </row>
    <row r="1207" spans="1:14" x14ac:dyDescent="0.45">
      <c r="A1207" t="s">
        <v>2611</v>
      </c>
      <c r="B1207" t="s">
        <v>3548</v>
      </c>
      <c r="C1207" t="s">
        <v>3506</v>
      </c>
      <c r="D1207" t="s">
        <v>3507</v>
      </c>
      <c r="E1207" t="s">
        <v>335</v>
      </c>
      <c r="F1207" t="s">
        <v>336</v>
      </c>
      <c r="G1207" t="s">
        <v>750</v>
      </c>
      <c r="H1207" t="s">
        <v>751</v>
      </c>
      <c r="I1207" t="s">
        <v>199</v>
      </c>
      <c r="J1207" t="s">
        <v>337</v>
      </c>
      <c r="M1207">
        <v>1</v>
      </c>
      <c r="N1207">
        <v>1</v>
      </c>
    </row>
    <row r="1208" spans="1:14" x14ac:dyDescent="0.45">
      <c r="A1208" t="s">
        <v>335</v>
      </c>
      <c r="B1208" t="s">
        <v>3549</v>
      </c>
      <c r="C1208" t="s">
        <v>3506</v>
      </c>
      <c r="D1208" t="s">
        <v>3507</v>
      </c>
      <c r="E1208" t="s">
        <v>335</v>
      </c>
      <c r="F1208" t="s">
        <v>336</v>
      </c>
      <c r="G1208" t="s">
        <v>750</v>
      </c>
      <c r="H1208" t="s">
        <v>751</v>
      </c>
      <c r="I1208" t="s">
        <v>199</v>
      </c>
      <c r="J1208" t="s">
        <v>337</v>
      </c>
      <c r="M1208">
        <v>1</v>
      </c>
      <c r="N1208">
        <v>1</v>
      </c>
    </row>
    <row r="1209" spans="1:14" x14ac:dyDescent="0.45">
      <c r="A1209" t="s">
        <v>3550</v>
      </c>
      <c r="B1209" t="s">
        <v>3551</v>
      </c>
      <c r="C1209" t="s">
        <v>3506</v>
      </c>
      <c r="D1209" t="s">
        <v>3507</v>
      </c>
      <c r="E1209" t="s">
        <v>335</v>
      </c>
      <c r="F1209" t="s">
        <v>336</v>
      </c>
      <c r="G1209" t="s">
        <v>750</v>
      </c>
      <c r="H1209" t="s">
        <v>751</v>
      </c>
      <c r="I1209" t="s">
        <v>199</v>
      </c>
      <c r="J1209" t="s">
        <v>337</v>
      </c>
      <c r="M1209">
        <v>1</v>
      </c>
      <c r="N1209">
        <v>1</v>
      </c>
    </row>
    <row r="1210" spans="1:14" x14ac:dyDescent="0.45">
      <c r="A1210" t="s">
        <v>3552</v>
      </c>
      <c r="B1210" t="s">
        <v>3553</v>
      </c>
      <c r="C1210" t="s">
        <v>3554</v>
      </c>
      <c r="D1210" t="s">
        <v>3555</v>
      </c>
      <c r="E1210" t="s">
        <v>338</v>
      </c>
      <c r="F1210" t="s">
        <v>339</v>
      </c>
      <c r="G1210" t="s">
        <v>750</v>
      </c>
      <c r="H1210" t="s">
        <v>751</v>
      </c>
      <c r="I1210" t="s">
        <v>199</v>
      </c>
      <c r="J1210" t="s">
        <v>340</v>
      </c>
      <c r="M1210">
        <v>1</v>
      </c>
      <c r="N1210">
        <v>1</v>
      </c>
    </row>
    <row r="1211" spans="1:14" x14ac:dyDescent="0.45">
      <c r="A1211" t="s">
        <v>3556</v>
      </c>
      <c r="B1211" t="s">
        <v>3557</v>
      </c>
      <c r="C1211" t="s">
        <v>3554</v>
      </c>
      <c r="D1211" t="s">
        <v>3555</v>
      </c>
      <c r="E1211" t="s">
        <v>338</v>
      </c>
      <c r="F1211" t="s">
        <v>339</v>
      </c>
      <c r="G1211" t="s">
        <v>750</v>
      </c>
      <c r="H1211" t="s">
        <v>751</v>
      </c>
      <c r="I1211" t="s">
        <v>199</v>
      </c>
      <c r="J1211" t="s">
        <v>340</v>
      </c>
      <c r="M1211">
        <v>1</v>
      </c>
      <c r="N1211">
        <v>1</v>
      </c>
    </row>
    <row r="1212" spans="1:14" x14ac:dyDescent="0.45">
      <c r="A1212" t="s">
        <v>3558</v>
      </c>
      <c r="B1212" t="s">
        <v>3559</v>
      </c>
      <c r="C1212" t="s">
        <v>3554</v>
      </c>
      <c r="D1212" t="s">
        <v>3555</v>
      </c>
      <c r="E1212" t="s">
        <v>338</v>
      </c>
      <c r="F1212" t="s">
        <v>339</v>
      </c>
      <c r="G1212" t="s">
        <v>750</v>
      </c>
      <c r="H1212" t="s">
        <v>751</v>
      </c>
      <c r="I1212" t="s">
        <v>199</v>
      </c>
      <c r="J1212" t="s">
        <v>340</v>
      </c>
      <c r="M1212">
        <v>1</v>
      </c>
      <c r="N1212">
        <v>1</v>
      </c>
    </row>
    <row r="1213" spans="1:14" x14ac:dyDescent="0.45">
      <c r="A1213" t="s">
        <v>3560</v>
      </c>
      <c r="B1213" t="s">
        <v>3561</v>
      </c>
      <c r="C1213" t="s">
        <v>3554</v>
      </c>
      <c r="D1213" t="s">
        <v>3555</v>
      </c>
      <c r="E1213" t="s">
        <v>338</v>
      </c>
      <c r="F1213" t="s">
        <v>339</v>
      </c>
      <c r="G1213" t="s">
        <v>750</v>
      </c>
      <c r="H1213" t="s">
        <v>751</v>
      </c>
      <c r="I1213" t="s">
        <v>199</v>
      </c>
      <c r="J1213" t="s">
        <v>340</v>
      </c>
      <c r="M1213">
        <v>1</v>
      </c>
      <c r="N1213">
        <v>1</v>
      </c>
    </row>
    <row r="1214" spans="1:14" x14ac:dyDescent="0.45">
      <c r="A1214" t="s">
        <v>3562</v>
      </c>
      <c r="B1214" t="s">
        <v>3563</v>
      </c>
      <c r="C1214" t="s">
        <v>3554</v>
      </c>
      <c r="D1214" t="s">
        <v>3555</v>
      </c>
      <c r="E1214" t="s">
        <v>338</v>
      </c>
      <c r="F1214" t="s">
        <v>339</v>
      </c>
      <c r="G1214" t="s">
        <v>750</v>
      </c>
      <c r="H1214" t="s">
        <v>751</v>
      </c>
      <c r="I1214" t="s">
        <v>199</v>
      </c>
      <c r="J1214" t="s">
        <v>340</v>
      </c>
      <c r="M1214">
        <v>1</v>
      </c>
      <c r="N1214">
        <v>1</v>
      </c>
    </row>
    <row r="1215" spans="1:14" x14ac:dyDescent="0.45">
      <c r="A1215" t="s">
        <v>3564</v>
      </c>
      <c r="B1215" t="s">
        <v>3565</v>
      </c>
      <c r="C1215" t="s">
        <v>3554</v>
      </c>
      <c r="D1215" t="s">
        <v>3555</v>
      </c>
      <c r="E1215" t="s">
        <v>338</v>
      </c>
      <c r="F1215" t="s">
        <v>339</v>
      </c>
      <c r="G1215" t="s">
        <v>750</v>
      </c>
      <c r="H1215" t="s">
        <v>751</v>
      </c>
      <c r="I1215" t="s">
        <v>199</v>
      </c>
      <c r="J1215" t="s">
        <v>340</v>
      </c>
      <c r="M1215">
        <v>1</v>
      </c>
      <c r="N1215">
        <v>1</v>
      </c>
    </row>
    <row r="1216" spans="1:14" x14ac:dyDescent="0.45">
      <c r="A1216" t="s">
        <v>3566</v>
      </c>
      <c r="B1216" t="s">
        <v>3567</v>
      </c>
      <c r="C1216" t="s">
        <v>3554</v>
      </c>
      <c r="D1216" t="s">
        <v>3555</v>
      </c>
      <c r="E1216" t="s">
        <v>338</v>
      </c>
      <c r="F1216" t="s">
        <v>339</v>
      </c>
      <c r="G1216" t="s">
        <v>750</v>
      </c>
      <c r="H1216" t="s">
        <v>751</v>
      </c>
      <c r="I1216" t="s">
        <v>199</v>
      </c>
      <c r="J1216" t="s">
        <v>340</v>
      </c>
      <c r="M1216">
        <v>1</v>
      </c>
      <c r="N1216">
        <v>1</v>
      </c>
    </row>
    <row r="1217" spans="1:14" x14ac:dyDescent="0.45">
      <c r="A1217" t="s">
        <v>3568</v>
      </c>
      <c r="B1217" t="s">
        <v>3569</v>
      </c>
      <c r="C1217" t="s">
        <v>3554</v>
      </c>
      <c r="D1217" t="s">
        <v>3555</v>
      </c>
      <c r="E1217" t="s">
        <v>338</v>
      </c>
      <c r="F1217" t="s">
        <v>339</v>
      </c>
      <c r="G1217" t="s">
        <v>750</v>
      </c>
      <c r="H1217" t="s">
        <v>751</v>
      </c>
      <c r="I1217" t="s">
        <v>199</v>
      </c>
      <c r="J1217" t="s">
        <v>340</v>
      </c>
      <c r="M1217">
        <v>1</v>
      </c>
      <c r="N1217">
        <v>1</v>
      </c>
    </row>
    <row r="1218" spans="1:14" x14ac:dyDescent="0.45">
      <c r="A1218" t="s">
        <v>3570</v>
      </c>
      <c r="B1218" t="s">
        <v>3571</v>
      </c>
      <c r="C1218" t="s">
        <v>3554</v>
      </c>
      <c r="D1218" t="s">
        <v>3555</v>
      </c>
      <c r="E1218" t="s">
        <v>338</v>
      </c>
      <c r="F1218" t="s">
        <v>339</v>
      </c>
      <c r="G1218" t="s">
        <v>750</v>
      </c>
      <c r="H1218" t="s">
        <v>751</v>
      </c>
      <c r="I1218" t="s">
        <v>199</v>
      </c>
      <c r="J1218" t="s">
        <v>340</v>
      </c>
      <c r="M1218">
        <v>1</v>
      </c>
      <c r="N1218">
        <v>1</v>
      </c>
    </row>
    <row r="1219" spans="1:14" x14ac:dyDescent="0.45">
      <c r="A1219" t="s">
        <v>3572</v>
      </c>
      <c r="B1219" t="s">
        <v>3573</v>
      </c>
      <c r="C1219" t="s">
        <v>3574</v>
      </c>
      <c r="D1219" t="s">
        <v>3575</v>
      </c>
      <c r="E1219" t="s">
        <v>338</v>
      </c>
      <c r="F1219" t="s">
        <v>339</v>
      </c>
      <c r="G1219" t="s">
        <v>750</v>
      </c>
      <c r="H1219" t="s">
        <v>751</v>
      </c>
      <c r="I1219" t="s">
        <v>199</v>
      </c>
      <c r="J1219" t="s">
        <v>340</v>
      </c>
      <c r="M1219">
        <v>1</v>
      </c>
      <c r="N1219">
        <v>1</v>
      </c>
    </row>
    <row r="1220" spans="1:14" x14ac:dyDescent="0.45">
      <c r="A1220" t="s">
        <v>3576</v>
      </c>
      <c r="B1220" t="s">
        <v>3577</v>
      </c>
      <c r="C1220" t="s">
        <v>3574</v>
      </c>
      <c r="D1220" t="s">
        <v>3575</v>
      </c>
      <c r="E1220" t="s">
        <v>338</v>
      </c>
      <c r="F1220" t="s">
        <v>339</v>
      </c>
      <c r="G1220" t="s">
        <v>750</v>
      </c>
      <c r="H1220" t="s">
        <v>751</v>
      </c>
      <c r="I1220" t="s">
        <v>199</v>
      </c>
      <c r="J1220" t="s">
        <v>340</v>
      </c>
      <c r="M1220">
        <v>1</v>
      </c>
      <c r="N1220">
        <v>1</v>
      </c>
    </row>
    <row r="1221" spans="1:14" x14ac:dyDescent="0.45">
      <c r="A1221" t="s">
        <v>3578</v>
      </c>
      <c r="B1221" t="s">
        <v>3579</v>
      </c>
      <c r="C1221" t="s">
        <v>3574</v>
      </c>
      <c r="D1221" t="s">
        <v>3575</v>
      </c>
      <c r="E1221" t="s">
        <v>338</v>
      </c>
      <c r="F1221" t="s">
        <v>339</v>
      </c>
      <c r="G1221" t="s">
        <v>750</v>
      </c>
      <c r="H1221" t="s">
        <v>751</v>
      </c>
      <c r="I1221" t="s">
        <v>199</v>
      </c>
      <c r="J1221" t="s">
        <v>340</v>
      </c>
      <c r="M1221">
        <v>1</v>
      </c>
      <c r="N1221">
        <v>1</v>
      </c>
    </row>
    <row r="1222" spans="1:14" x14ac:dyDescent="0.45">
      <c r="A1222" t="s">
        <v>3580</v>
      </c>
      <c r="B1222" t="s">
        <v>3581</v>
      </c>
      <c r="C1222" t="s">
        <v>3574</v>
      </c>
      <c r="D1222" t="s">
        <v>3575</v>
      </c>
      <c r="E1222" t="s">
        <v>338</v>
      </c>
      <c r="F1222" t="s">
        <v>339</v>
      </c>
      <c r="G1222" t="s">
        <v>750</v>
      </c>
      <c r="H1222" t="s">
        <v>751</v>
      </c>
      <c r="I1222" t="s">
        <v>199</v>
      </c>
      <c r="J1222" t="s">
        <v>340</v>
      </c>
      <c r="M1222">
        <v>1</v>
      </c>
      <c r="N1222">
        <v>1</v>
      </c>
    </row>
    <row r="1223" spans="1:14" x14ac:dyDescent="0.45">
      <c r="A1223" t="s">
        <v>3582</v>
      </c>
      <c r="B1223" t="s">
        <v>3583</v>
      </c>
      <c r="C1223" t="s">
        <v>3574</v>
      </c>
      <c r="D1223" t="s">
        <v>3575</v>
      </c>
      <c r="E1223" t="s">
        <v>338</v>
      </c>
      <c r="F1223" t="s">
        <v>339</v>
      </c>
      <c r="G1223" t="s">
        <v>750</v>
      </c>
      <c r="H1223" t="s">
        <v>751</v>
      </c>
      <c r="I1223" t="s">
        <v>199</v>
      </c>
      <c r="J1223" t="s">
        <v>340</v>
      </c>
      <c r="M1223">
        <v>1</v>
      </c>
      <c r="N1223">
        <v>1</v>
      </c>
    </row>
    <row r="1224" spans="1:14" x14ac:dyDescent="0.45">
      <c r="A1224" t="s">
        <v>3584</v>
      </c>
      <c r="B1224" t="s">
        <v>3585</v>
      </c>
      <c r="C1224" t="s">
        <v>3574</v>
      </c>
      <c r="D1224" t="s">
        <v>3575</v>
      </c>
      <c r="E1224" t="s">
        <v>338</v>
      </c>
      <c r="F1224" t="s">
        <v>339</v>
      </c>
      <c r="G1224" t="s">
        <v>750</v>
      </c>
      <c r="H1224" t="s">
        <v>751</v>
      </c>
      <c r="I1224" t="s">
        <v>199</v>
      </c>
      <c r="J1224" t="s">
        <v>340</v>
      </c>
      <c r="M1224">
        <v>1</v>
      </c>
      <c r="N1224">
        <v>1</v>
      </c>
    </row>
    <row r="1225" spans="1:14" x14ac:dyDescent="0.45">
      <c r="A1225" t="s">
        <v>3586</v>
      </c>
      <c r="B1225" t="s">
        <v>3587</v>
      </c>
      <c r="C1225" t="s">
        <v>3574</v>
      </c>
      <c r="D1225" t="s">
        <v>3575</v>
      </c>
      <c r="E1225" t="s">
        <v>338</v>
      </c>
      <c r="F1225" t="s">
        <v>339</v>
      </c>
      <c r="G1225" t="s">
        <v>750</v>
      </c>
      <c r="H1225" t="s">
        <v>751</v>
      </c>
      <c r="I1225" t="s">
        <v>199</v>
      </c>
      <c r="J1225" t="s">
        <v>340</v>
      </c>
      <c r="M1225">
        <v>1</v>
      </c>
      <c r="N1225">
        <v>1</v>
      </c>
    </row>
    <row r="1226" spans="1:14" x14ac:dyDescent="0.45">
      <c r="A1226" t="s">
        <v>3588</v>
      </c>
      <c r="B1226" t="s">
        <v>3589</v>
      </c>
      <c r="C1226" t="s">
        <v>3574</v>
      </c>
      <c r="D1226" t="s">
        <v>3575</v>
      </c>
      <c r="E1226" t="s">
        <v>338</v>
      </c>
      <c r="F1226" t="s">
        <v>339</v>
      </c>
      <c r="G1226" t="s">
        <v>750</v>
      </c>
      <c r="H1226" t="s">
        <v>751</v>
      </c>
      <c r="I1226" t="s">
        <v>199</v>
      </c>
      <c r="J1226" t="s">
        <v>340</v>
      </c>
      <c r="M1226">
        <v>1</v>
      </c>
      <c r="N1226">
        <v>1</v>
      </c>
    </row>
    <row r="1227" spans="1:14" x14ac:dyDescent="0.45">
      <c r="A1227" t="s">
        <v>3590</v>
      </c>
      <c r="B1227" t="s">
        <v>3591</v>
      </c>
      <c r="C1227" t="s">
        <v>3574</v>
      </c>
      <c r="D1227" t="s">
        <v>3575</v>
      </c>
      <c r="E1227" t="s">
        <v>338</v>
      </c>
      <c r="F1227" t="s">
        <v>339</v>
      </c>
      <c r="G1227" t="s">
        <v>750</v>
      </c>
      <c r="H1227" t="s">
        <v>751</v>
      </c>
      <c r="I1227" t="s">
        <v>199</v>
      </c>
      <c r="J1227" t="s">
        <v>340</v>
      </c>
      <c r="M1227">
        <v>1</v>
      </c>
      <c r="N1227">
        <v>1</v>
      </c>
    </row>
    <row r="1228" spans="1:14" x14ac:dyDescent="0.45">
      <c r="A1228" t="s">
        <v>3592</v>
      </c>
      <c r="B1228" t="s">
        <v>3593</v>
      </c>
      <c r="C1228" t="s">
        <v>3574</v>
      </c>
      <c r="D1228" t="s">
        <v>3575</v>
      </c>
      <c r="E1228" t="s">
        <v>338</v>
      </c>
      <c r="F1228" t="s">
        <v>339</v>
      </c>
      <c r="G1228" t="s">
        <v>750</v>
      </c>
      <c r="H1228" t="s">
        <v>751</v>
      </c>
      <c r="I1228" t="s">
        <v>199</v>
      </c>
      <c r="J1228" t="s">
        <v>340</v>
      </c>
      <c r="M1228">
        <v>1</v>
      </c>
      <c r="N1228">
        <v>1</v>
      </c>
    </row>
    <row r="1229" spans="1:14" x14ac:dyDescent="0.45">
      <c r="A1229" t="s">
        <v>3594</v>
      </c>
      <c r="B1229" t="s">
        <v>3595</v>
      </c>
      <c r="C1229" t="s">
        <v>3596</v>
      </c>
      <c r="D1229" t="s">
        <v>3597</v>
      </c>
      <c r="E1229" t="s">
        <v>338</v>
      </c>
      <c r="F1229" t="s">
        <v>339</v>
      </c>
      <c r="G1229" t="s">
        <v>750</v>
      </c>
      <c r="H1229" t="s">
        <v>751</v>
      </c>
      <c r="I1229" t="s">
        <v>199</v>
      </c>
      <c r="J1229" t="s">
        <v>340</v>
      </c>
      <c r="M1229">
        <v>1</v>
      </c>
      <c r="N1229">
        <v>1</v>
      </c>
    </row>
    <row r="1230" spans="1:14" x14ac:dyDescent="0.45">
      <c r="A1230" t="s">
        <v>3598</v>
      </c>
      <c r="B1230" t="s">
        <v>3599</v>
      </c>
      <c r="C1230" t="s">
        <v>3596</v>
      </c>
      <c r="D1230" t="s">
        <v>3597</v>
      </c>
      <c r="E1230" t="s">
        <v>338</v>
      </c>
      <c r="F1230" t="s">
        <v>339</v>
      </c>
      <c r="G1230" t="s">
        <v>750</v>
      </c>
      <c r="H1230" t="s">
        <v>751</v>
      </c>
      <c r="I1230" t="s">
        <v>199</v>
      </c>
      <c r="J1230" t="s">
        <v>340</v>
      </c>
      <c r="M1230">
        <v>1</v>
      </c>
      <c r="N1230">
        <v>1</v>
      </c>
    </row>
    <row r="1231" spans="1:14" x14ac:dyDescent="0.45">
      <c r="A1231" t="s">
        <v>3600</v>
      </c>
      <c r="B1231" t="s">
        <v>3601</v>
      </c>
      <c r="C1231" t="s">
        <v>3596</v>
      </c>
      <c r="D1231" t="s">
        <v>3597</v>
      </c>
      <c r="E1231" t="s">
        <v>338</v>
      </c>
      <c r="F1231" t="s">
        <v>339</v>
      </c>
      <c r="G1231" t="s">
        <v>750</v>
      </c>
      <c r="H1231" t="s">
        <v>751</v>
      </c>
      <c r="I1231" t="s">
        <v>199</v>
      </c>
      <c r="J1231" t="s">
        <v>340</v>
      </c>
      <c r="M1231">
        <v>1</v>
      </c>
      <c r="N1231">
        <v>1</v>
      </c>
    </row>
    <row r="1232" spans="1:14" x14ac:dyDescent="0.45">
      <c r="A1232" t="s">
        <v>3602</v>
      </c>
      <c r="B1232" t="s">
        <v>3603</v>
      </c>
      <c r="C1232" t="s">
        <v>3596</v>
      </c>
      <c r="D1232" t="s">
        <v>3597</v>
      </c>
      <c r="E1232" t="s">
        <v>338</v>
      </c>
      <c r="F1232" t="s">
        <v>339</v>
      </c>
      <c r="G1232" t="s">
        <v>750</v>
      </c>
      <c r="H1232" t="s">
        <v>751</v>
      </c>
      <c r="I1232" t="s">
        <v>199</v>
      </c>
      <c r="J1232" t="s">
        <v>340</v>
      </c>
      <c r="M1232">
        <v>1</v>
      </c>
      <c r="N1232">
        <v>1</v>
      </c>
    </row>
    <row r="1233" spans="1:14" x14ac:dyDescent="0.45">
      <c r="A1233" t="s">
        <v>3604</v>
      </c>
      <c r="B1233" t="s">
        <v>3605</v>
      </c>
      <c r="C1233" t="s">
        <v>3596</v>
      </c>
      <c r="D1233" t="s">
        <v>3597</v>
      </c>
      <c r="E1233" t="s">
        <v>338</v>
      </c>
      <c r="F1233" t="s">
        <v>339</v>
      </c>
      <c r="G1233" t="s">
        <v>750</v>
      </c>
      <c r="H1233" t="s">
        <v>751</v>
      </c>
      <c r="I1233" t="s">
        <v>199</v>
      </c>
      <c r="J1233" t="s">
        <v>340</v>
      </c>
      <c r="M1233">
        <v>1</v>
      </c>
      <c r="N1233">
        <v>1</v>
      </c>
    </row>
    <row r="1234" spans="1:14" x14ac:dyDescent="0.45">
      <c r="A1234" t="s">
        <v>3606</v>
      </c>
      <c r="B1234" t="s">
        <v>3607</v>
      </c>
      <c r="C1234" t="s">
        <v>3596</v>
      </c>
      <c r="D1234" t="s">
        <v>3597</v>
      </c>
      <c r="E1234" t="s">
        <v>338</v>
      </c>
      <c r="F1234" t="s">
        <v>339</v>
      </c>
      <c r="G1234" t="s">
        <v>750</v>
      </c>
      <c r="H1234" t="s">
        <v>751</v>
      </c>
      <c r="I1234" t="s">
        <v>199</v>
      </c>
      <c r="J1234" t="s">
        <v>340</v>
      </c>
      <c r="M1234">
        <v>1</v>
      </c>
      <c r="N1234">
        <v>1</v>
      </c>
    </row>
    <row r="1235" spans="1:14" x14ac:dyDescent="0.45">
      <c r="A1235" t="s">
        <v>3608</v>
      </c>
      <c r="B1235" t="s">
        <v>3609</v>
      </c>
      <c r="C1235" t="s">
        <v>3596</v>
      </c>
      <c r="D1235" t="s">
        <v>3597</v>
      </c>
      <c r="E1235" t="s">
        <v>338</v>
      </c>
      <c r="F1235" t="s">
        <v>339</v>
      </c>
      <c r="G1235" t="s">
        <v>750</v>
      </c>
      <c r="H1235" t="s">
        <v>751</v>
      </c>
      <c r="I1235" t="s">
        <v>199</v>
      </c>
      <c r="J1235" t="s">
        <v>340</v>
      </c>
      <c r="M1235">
        <v>1</v>
      </c>
      <c r="N1235">
        <v>1</v>
      </c>
    </row>
    <row r="1236" spans="1:14" x14ac:dyDescent="0.45">
      <c r="A1236" t="s">
        <v>3610</v>
      </c>
      <c r="B1236" t="s">
        <v>3611</v>
      </c>
      <c r="C1236" t="s">
        <v>3596</v>
      </c>
      <c r="D1236" t="s">
        <v>3597</v>
      </c>
      <c r="E1236" t="s">
        <v>338</v>
      </c>
      <c r="F1236" t="s">
        <v>339</v>
      </c>
      <c r="G1236" t="s">
        <v>750</v>
      </c>
      <c r="H1236" t="s">
        <v>751</v>
      </c>
      <c r="I1236" t="s">
        <v>199</v>
      </c>
      <c r="J1236" t="s">
        <v>340</v>
      </c>
      <c r="M1236">
        <v>1</v>
      </c>
      <c r="N1236">
        <v>1</v>
      </c>
    </row>
    <row r="1237" spans="1:14" x14ac:dyDescent="0.45">
      <c r="A1237" t="s">
        <v>3612</v>
      </c>
      <c r="B1237" t="s">
        <v>3613</v>
      </c>
      <c r="C1237" t="s">
        <v>3596</v>
      </c>
      <c r="D1237" t="s">
        <v>3597</v>
      </c>
      <c r="E1237" t="s">
        <v>338</v>
      </c>
      <c r="F1237" t="s">
        <v>339</v>
      </c>
      <c r="G1237" t="s">
        <v>750</v>
      </c>
      <c r="H1237" t="s">
        <v>751</v>
      </c>
      <c r="I1237" t="s">
        <v>199</v>
      </c>
      <c r="J1237" t="s">
        <v>340</v>
      </c>
      <c r="M1237">
        <v>1</v>
      </c>
      <c r="N1237">
        <v>1</v>
      </c>
    </row>
    <row r="1238" spans="1:14" x14ac:dyDescent="0.45">
      <c r="A1238" t="s">
        <v>3614</v>
      </c>
      <c r="B1238" t="s">
        <v>3615</v>
      </c>
      <c r="C1238" t="s">
        <v>3596</v>
      </c>
      <c r="D1238" t="s">
        <v>3597</v>
      </c>
      <c r="E1238" t="s">
        <v>338</v>
      </c>
      <c r="F1238" t="s">
        <v>339</v>
      </c>
      <c r="G1238" t="s">
        <v>750</v>
      </c>
      <c r="H1238" t="s">
        <v>751</v>
      </c>
      <c r="I1238" t="s">
        <v>199</v>
      </c>
      <c r="J1238" t="s">
        <v>340</v>
      </c>
      <c r="M1238">
        <v>1</v>
      </c>
      <c r="N1238">
        <v>1</v>
      </c>
    </row>
    <row r="1239" spans="1:14" x14ac:dyDescent="0.45">
      <c r="A1239" t="s">
        <v>3616</v>
      </c>
      <c r="B1239" t="s">
        <v>3617</v>
      </c>
      <c r="C1239" t="s">
        <v>3596</v>
      </c>
      <c r="D1239" t="s">
        <v>3597</v>
      </c>
      <c r="E1239" t="s">
        <v>338</v>
      </c>
      <c r="F1239" t="s">
        <v>339</v>
      </c>
      <c r="G1239" t="s">
        <v>750</v>
      </c>
      <c r="H1239" t="s">
        <v>751</v>
      </c>
      <c r="I1239" t="s">
        <v>199</v>
      </c>
      <c r="J1239" t="s">
        <v>340</v>
      </c>
      <c r="M1239">
        <v>1</v>
      </c>
      <c r="N1239">
        <v>1</v>
      </c>
    </row>
    <row r="1240" spans="1:14" x14ac:dyDescent="0.45">
      <c r="A1240" t="s">
        <v>2050</v>
      </c>
      <c r="B1240" t="s">
        <v>3618</v>
      </c>
      <c r="C1240" t="s">
        <v>3596</v>
      </c>
      <c r="D1240" t="s">
        <v>3597</v>
      </c>
      <c r="E1240" t="s">
        <v>338</v>
      </c>
      <c r="F1240" t="s">
        <v>339</v>
      </c>
      <c r="G1240" t="s">
        <v>750</v>
      </c>
      <c r="H1240" t="s">
        <v>751</v>
      </c>
      <c r="I1240" t="s">
        <v>199</v>
      </c>
      <c r="J1240" t="s">
        <v>340</v>
      </c>
      <c r="M1240">
        <v>1</v>
      </c>
      <c r="N1240">
        <v>1</v>
      </c>
    </row>
    <row r="1241" spans="1:14" x14ac:dyDescent="0.45">
      <c r="A1241" t="s">
        <v>1050</v>
      </c>
      <c r="B1241" t="s">
        <v>3619</v>
      </c>
      <c r="C1241" t="s">
        <v>3596</v>
      </c>
      <c r="D1241" t="s">
        <v>3597</v>
      </c>
      <c r="E1241" t="s">
        <v>338</v>
      </c>
      <c r="F1241" t="s">
        <v>339</v>
      </c>
      <c r="G1241" t="s">
        <v>750</v>
      </c>
      <c r="H1241" t="s">
        <v>751</v>
      </c>
      <c r="I1241" t="s">
        <v>199</v>
      </c>
      <c r="J1241" t="s">
        <v>340</v>
      </c>
      <c r="M1241">
        <v>1</v>
      </c>
      <c r="N1241">
        <v>1</v>
      </c>
    </row>
    <row r="1242" spans="1:14" x14ac:dyDescent="0.45">
      <c r="A1242" t="s">
        <v>3620</v>
      </c>
      <c r="B1242" t="s">
        <v>3621</v>
      </c>
      <c r="C1242" t="s">
        <v>3596</v>
      </c>
      <c r="D1242" t="s">
        <v>3597</v>
      </c>
      <c r="E1242" t="s">
        <v>338</v>
      </c>
      <c r="F1242" t="s">
        <v>339</v>
      </c>
      <c r="G1242" t="s">
        <v>750</v>
      </c>
      <c r="H1242" t="s">
        <v>751</v>
      </c>
      <c r="I1242" t="s">
        <v>199</v>
      </c>
      <c r="J1242" t="s">
        <v>340</v>
      </c>
      <c r="M1242">
        <v>1</v>
      </c>
      <c r="N1242">
        <v>1</v>
      </c>
    </row>
    <row r="1243" spans="1:14" x14ac:dyDescent="0.45">
      <c r="A1243" t="s">
        <v>3622</v>
      </c>
      <c r="B1243" t="s">
        <v>3623</v>
      </c>
      <c r="C1243" t="s">
        <v>3596</v>
      </c>
      <c r="D1243" t="s">
        <v>3597</v>
      </c>
      <c r="E1243" t="s">
        <v>338</v>
      </c>
      <c r="F1243" t="s">
        <v>339</v>
      </c>
      <c r="G1243" t="s">
        <v>750</v>
      </c>
      <c r="H1243" t="s">
        <v>751</v>
      </c>
      <c r="I1243" t="s">
        <v>199</v>
      </c>
      <c r="J1243" t="s">
        <v>340</v>
      </c>
      <c r="M1243">
        <v>1</v>
      </c>
      <c r="N1243">
        <v>1</v>
      </c>
    </row>
    <row r="1244" spans="1:14" x14ac:dyDescent="0.45">
      <c r="A1244" t="s">
        <v>3624</v>
      </c>
      <c r="B1244" t="s">
        <v>3625</v>
      </c>
      <c r="C1244" t="s">
        <v>3596</v>
      </c>
      <c r="D1244" t="s">
        <v>3597</v>
      </c>
      <c r="E1244" t="s">
        <v>338</v>
      </c>
      <c r="F1244" t="s">
        <v>339</v>
      </c>
      <c r="G1244" t="s">
        <v>750</v>
      </c>
      <c r="H1244" t="s">
        <v>751</v>
      </c>
      <c r="I1244" t="s">
        <v>199</v>
      </c>
      <c r="J1244" t="s">
        <v>340</v>
      </c>
      <c r="M1244">
        <v>1</v>
      </c>
      <c r="N1244">
        <v>1</v>
      </c>
    </row>
    <row r="1245" spans="1:14" x14ac:dyDescent="0.45">
      <c r="A1245" t="s">
        <v>3626</v>
      </c>
      <c r="B1245" t="s">
        <v>3627</v>
      </c>
      <c r="C1245" t="s">
        <v>3596</v>
      </c>
      <c r="D1245" t="s">
        <v>3597</v>
      </c>
      <c r="E1245" t="s">
        <v>338</v>
      </c>
      <c r="F1245" t="s">
        <v>339</v>
      </c>
      <c r="G1245" t="s">
        <v>750</v>
      </c>
      <c r="H1245" t="s">
        <v>751</v>
      </c>
      <c r="I1245" t="s">
        <v>199</v>
      </c>
      <c r="J1245" t="s">
        <v>340</v>
      </c>
      <c r="M1245">
        <v>1</v>
      </c>
      <c r="N1245">
        <v>1</v>
      </c>
    </row>
    <row r="1246" spans="1:14" x14ac:dyDescent="0.45">
      <c r="A1246" t="s">
        <v>3628</v>
      </c>
      <c r="B1246" t="s">
        <v>3629</v>
      </c>
      <c r="C1246" t="s">
        <v>3596</v>
      </c>
      <c r="D1246" t="s">
        <v>3597</v>
      </c>
      <c r="E1246" t="s">
        <v>338</v>
      </c>
      <c r="F1246" t="s">
        <v>339</v>
      </c>
      <c r="G1246" t="s">
        <v>750</v>
      </c>
      <c r="H1246" t="s">
        <v>751</v>
      </c>
      <c r="I1246" t="s">
        <v>199</v>
      </c>
      <c r="J1246" t="s">
        <v>340</v>
      </c>
      <c r="M1246">
        <v>1</v>
      </c>
      <c r="N1246">
        <v>1</v>
      </c>
    </row>
    <row r="1247" spans="1:14" x14ac:dyDescent="0.45">
      <c r="A1247" t="s">
        <v>3630</v>
      </c>
      <c r="B1247" t="s">
        <v>3631</v>
      </c>
      <c r="C1247" t="s">
        <v>3596</v>
      </c>
      <c r="D1247" t="s">
        <v>3597</v>
      </c>
      <c r="E1247" t="s">
        <v>338</v>
      </c>
      <c r="F1247" t="s">
        <v>339</v>
      </c>
      <c r="G1247" t="s">
        <v>750</v>
      </c>
      <c r="H1247" t="s">
        <v>751</v>
      </c>
      <c r="I1247" t="s">
        <v>199</v>
      </c>
      <c r="J1247" t="s">
        <v>340</v>
      </c>
      <c r="M1247">
        <v>1</v>
      </c>
      <c r="N1247">
        <v>1</v>
      </c>
    </row>
    <row r="1248" spans="1:14" x14ac:dyDescent="0.45">
      <c r="A1248" t="s">
        <v>3632</v>
      </c>
      <c r="B1248" t="s">
        <v>3633</v>
      </c>
      <c r="C1248" t="s">
        <v>3596</v>
      </c>
      <c r="D1248" t="s">
        <v>3597</v>
      </c>
      <c r="E1248" t="s">
        <v>338</v>
      </c>
      <c r="F1248" t="s">
        <v>339</v>
      </c>
      <c r="G1248" t="s">
        <v>750</v>
      </c>
      <c r="H1248" t="s">
        <v>751</v>
      </c>
      <c r="I1248" t="s">
        <v>199</v>
      </c>
      <c r="J1248" t="s">
        <v>340</v>
      </c>
      <c r="M1248">
        <v>1</v>
      </c>
      <c r="N1248">
        <v>1</v>
      </c>
    </row>
    <row r="1249" spans="1:14" x14ac:dyDescent="0.45">
      <c r="A1249" t="s">
        <v>3634</v>
      </c>
      <c r="B1249" t="s">
        <v>3635</v>
      </c>
      <c r="C1249" t="s">
        <v>3596</v>
      </c>
      <c r="D1249" t="s">
        <v>3597</v>
      </c>
      <c r="E1249" t="s">
        <v>338</v>
      </c>
      <c r="F1249" t="s">
        <v>339</v>
      </c>
      <c r="G1249" t="s">
        <v>750</v>
      </c>
      <c r="H1249" t="s">
        <v>751</v>
      </c>
      <c r="I1249" t="s">
        <v>199</v>
      </c>
      <c r="J1249" t="s">
        <v>340</v>
      </c>
      <c r="M1249">
        <v>1</v>
      </c>
      <c r="N1249">
        <v>1</v>
      </c>
    </row>
    <row r="1250" spans="1:14" x14ac:dyDescent="0.45">
      <c r="A1250" t="s">
        <v>3636</v>
      </c>
      <c r="B1250" t="s">
        <v>3637</v>
      </c>
      <c r="C1250" t="s">
        <v>3596</v>
      </c>
      <c r="D1250" t="s">
        <v>3597</v>
      </c>
      <c r="E1250" t="s">
        <v>338</v>
      </c>
      <c r="F1250" t="s">
        <v>339</v>
      </c>
      <c r="G1250" t="s">
        <v>750</v>
      </c>
      <c r="H1250" t="s">
        <v>751</v>
      </c>
      <c r="I1250" t="s">
        <v>199</v>
      </c>
      <c r="J1250" t="s">
        <v>340</v>
      </c>
      <c r="M1250">
        <v>1</v>
      </c>
      <c r="N1250">
        <v>1</v>
      </c>
    </row>
    <row r="1251" spans="1:14" x14ac:dyDescent="0.45">
      <c r="A1251" t="s">
        <v>3638</v>
      </c>
      <c r="B1251" t="s">
        <v>3639</v>
      </c>
      <c r="C1251" t="s">
        <v>3596</v>
      </c>
      <c r="D1251" t="s">
        <v>3597</v>
      </c>
      <c r="E1251" t="s">
        <v>338</v>
      </c>
      <c r="F1251" t="s">
        <v>339</v>
      </c>
      <c r="G1251" t="s">
        <v>750</v>
      </c>
      <c r="H1251" t="s">
        <v>751</v>
      </c>
      <c r="I1251" t="s">
        <v>199</v>
      </c>
      <c r="J1251" t="s">
        <v>340</v>
      </c>
      <c r="M1251">
        <v>1</v>
      </c>
      <c r="N1251">
        <v>1</v>
      </c>
    </row>
    <row r="1252" spans="1:14" x14ac:dyDescent="0.45">
      <c r="A1252" t="s">
        <v>3640</v>
      </c>
      <c r="B1252" t="s">
        <v>3641</v>
      </c>
      <c r="C1252" t="s">
        <v>3596</v>
      </c>
      <c r="D1252" t="s">
        <v>3597</v>
      </c>
      <c r="E1252" t="s">
        <v>338</v>
      </c>
      <c r="F1252" t="s">
        <v>339</v>
      </c>
      <c r="G1252" t="s">
        <v>750</v>
      </c>
      <c r="H1252" t="s">
        <v>751</v>
      </c>
      <c r="I1252" t="s">
        <v>199</v>
      </c>
      <c r="J1252" t="s">
        <v>340</v>
      </c>
      <c r="M1252">
        <v>1</v>
      </c>
      <c r="N1252">
        <v>1</v>
      </c>
    </row>
    <row r="1253" spans="1:14" x14ac:dyDescent="0.45">
      <c r="A1253" t="s">
        <v>3642</v>
      </c>
      <c r="B1253" t="s">
        <v>3643</v>
      </c>
      <c r="C1253" t="s">
        <v>3596</v>
      </c>
      <c r="D1253" t="s">
        <v>3597</v>
      </c>
      <c r="E1253" t="s">
        <v>338</v>
      </c>
      <c r="F1253" t="s">
        <v>339</v>
      </c>
      <c r="G1253" t="s">
        <v>750</v>
      </c>
      <c r="H1253" t="s">
        <v>751</v>
      </c>
      <c r="I1253" t="s">
        <v>199</v>
      </c>
      <c r="J1253" t="s">
        <v>340</v>
      </c>
      <c r="M1253">
        <v>1</v>
      </c>
      <c r="N1253">
        <v>1</v>
      </c>
    </row>
    <row r="1254" spans="1:14" x14ac:dyDescent="0.45">
      <c r="A1254" t="s">
        <v>3644</v>
      </c>
      <c r="B1254" t="s">
        <v>3645</v>
      </c>
      <c r="C1254" t="s">
        <v>3596</v>
      </c>
      <c r="D1254" t="s">
        <v>3597</v>
      </c>
      <c r="E1254" t="s">
        <v>338</v>
      </c>
      <c r="F1254" t="s">
        <v>339</v>
      </c>
      <c r="G1254" t="s">
        <v>750</v>
      </c>
      <c r="H1254" t="s">
        <v>751</v>
      </c>
      <c r="I1254" t="s">
        <v>199</v>
      </c>
      <c r="J1254" t="s">
        <v>340</v>
      </c>
      <c r="M1254">
        <v>1</v>
      </c>
      <c r="N1254">
        <v>1</v>
      </c>
    </row>
    <row r="1255" spans="1:14" x14ac:dyDescent="0.45">
      <c r="A1255" t="s">
        <v>3646</v>
      </c>
      <c r="B1255" t="s">
        <v>3647</v>
      </c>
      <c r="C1255" t="s">
        <v>3596</v>
      </c>
      <c r="D1255" t="s">
        <v>3597</v>
      </c>
      <c r="E1255" t="s">
        <v>338</v>
      </c>
      <c r="F1255" t="s">
        <v>339</v>
      </c>
      <c r="G1255" t="s">
        <v>750</v>
      </c>
      <c r="H1255" t="s">
        <v>751</v>
      </c>
      <c r="I1255" t="s">
        <v>199</v>
      </c>
      <c r="J1255" t="s">
        <v>340</v>
      </c>
      <c r="M1255">
        <v>1</v>
      </c>
      <c r="N1255">
        <v>1</v>
      </c>
    </row>
    <row r="1256" spans="1:14" x14ac:dyDescent="0.45">
      <c r="A1256" t="s">
        <v>3648</v>
      </c>
      <c r="B1256" t="s">
        <v>3649</v>
      </c>
      <c r="C1256" t="s">
        <v>3596</v>
      </c>
      <c r="D1256" t="s">
        <v>3597</v>
      </c>
      <c r="E1256" t="s">
        <v>338</v>
      </c>
      <c r="F1256" t="s">
        <v>339</v>
      </c>
      <c r="G1256" t="s">
        <v>750</v>
      </c>
      <c r="H1256" t="s">
        <v>751</v>
      </c>
      <c r="I1256" t="s">
        <v>199</v>
      </c>
      <c r="J1256" t="s">
        <v>340</v>
      </c>
      <c r="M1256">
        <v>1</v>
      </c>
      <c r="N1256">
        <v>1</v>
      </c>
    </row>
    <row r="1257" spans="1:14" x14ac:dyDescent="0.45">
      <c r="A1257" t="s">
        <v>3650</v>
      </c>
      <c r="B1257" t="s">
        <v>3651</v>
      </c>
      <c r="C1257" t="s">
        <v>3596</v>
      </c>
      <c r="D1257" t="s">
        <v>3597</v>
      </c>
      <c r="E1257" t="s">
        <v>338</v>
      </c>
      <c r="F1257" t="s">
        <v>339</v>
      </c>
      <c r="G1257" t="s">
        <v>750</v>
      </c>
      <c r="H1257" t="s">
        <v>751</v>
      </c>
      <c r="I1257" t="s">
        <v>199</v>
      </c>
      <c r="J1257" t="s">
        <v>340</v>
      </c>
      <c r="M1257">
        <v>1</v>
      </c>
      <c r="N1257">
        <v>1</v>
      </c>
    </row>
    <row r="1258" spans="1:14" x14ac:dyDescent="0.45">
      <c r="A1258" t="s">
        <v>3652</v>
      </c>
      <c r="B1258" t="s">
        <v>3653</v>
      </c>
      <c r="C1258" t="s">
        <v>3596</v>
      </c>
      <c r="D1258" t="s">
        <v>3597</v>
      </c>
      <c r="E1258" t="s">
        <v>338</v>
      </c>
      <c r="F1258" t="s">
        <v>339</v>
      </c>
      <c r="G1258" t="s">
        <v>750</v>
      </c>
      <c r="H1258" t="s">
        <v>751</v>
      </c>
      <c r="I1258" t="s">
        <v>199</v>
      </c>
      <c r="J1258" t="s">
        <v>340</v>
      </c>
      <c r="M1258">
        <v>1</v>
      </c>
      <c r="N1258">
        <v>1</v>
      </c>
    </row>
    <row r="1259" spans="1:14" x14ac:dyDescent="0.45">
      <c r="A1259" t="s">
        <v>338</v>
      </c>
      <c r="B1259" t="s">
        <v>3654</v>
      </c>
      <c r="C1259" t="s">
        <v>3596</v>
      </c>
      <c r="D1259" t="s">
        <v>3597</v>
      </c>
      <c r="E1259" t="s">
        <v>338</v>
      </c>
      <c r="F1259" t="s">
        <v>339</v>
      </c>
      <c r="G1259" t="s">
        <v>750</v>
      </c>
      <c r="H1259" t="s">
        <v>751</v>
      </c>
      <c r="I1259" t="s">
        <v>199</v>
      </c>
      <c r="J1259" t="s">
        <v>340</v>
      </c>
      <c r="M1259">
        <v>1</v>
      </c>
      <c r="N1259">
        <v>1</v>
      </c>
    </row>
    <row r="1260" spans="1:14" x14ac:dyDescent="0.45">
      <c r="A1260" t="s">
        <v>3655</v>
      </c>
      <c r="B1260" t="s">
        <v>3656</v>
      </c>
      <c r="C1260" t="s">
        <v>3596</v>
      </c>
      <c r="D1260" t="s">
        <v>3597</v>
      </c>
      <c r="E1260" t="s">
        <v>338</v>
      </c>
      <c r="F1260" t="s">
        <v>339</v>
      </c>
      <c r="G1260" t="s">
        <v>750</v>
      </c>
      <c r="H1260" t="s">
        <v>751</v>
      </c>
      <c r="I1260" t="s">
        <v>199</v>
      </c>
      <c r="J1260" t="s">
        <v>340</v>
      </c>
      <c r="M1260">
        <v>1</v>
      </c>
      <c r="N1260">
        <v>1</v>
      </c>
    </row>
    <row r="1261" spans="1:14" x14ac:dyDescent="0.45">
      <c r="A1261" t="s">
        <v>3657</v>
      </c>
      <c r="B1261" t="s">
        <v>3658</v>
      </c>
      <c r="C1261" t="s">
        <v>3596</v>
      </c>
      <c r="D1261" t="s">
        <v>3597</v>
      </c>
      <c r="E1261" t="s">
        <v>338</v>
      </c>
      <c r="F1261" t="s">
        <v>339</v>
      </c>
      <c r="G1261" t="s">
        <v>750</v>
      </c>
      <c r="H1261" t="s">
        <v>751</v>
      </c>
      <c r="I1261" t="s">
        <v>199</v>
      </c>
      <c r="J1261" t="s">
        <v>340</v>
      </c>
      <c r="M1261">
        <v>1</v>
      </c>
      <c r="N1261">
        <v>1</v>
      </c>
    </row>
    <row r="1262" spans="1:14" x14ac:dyDescent="0.45">
      <c r="A1262" t="s">
        <v>3659</v>
      </c>
      <c r="B1262" t="s">
        <v>3660</v>
      </c>
      <c r="C1262" t="s">
        <v>3661</v>
      </c>
      <c r="D1262" t="s">
        <v>3662</v>
      </c>
      <c r="E1262" t="s">
        <v>341</v>
      </c>
      <c r="F1262" t="s">
        <v>342</v>
      </c>
      <c r="G1262" t="s">
        <v>750</v>
      </c>
      <c r="H1262" t="s">
        <v>252</v>
      </c>
      <c r="I1262" t="s">
        <v>193</v>
      </c>
      <c r="J1262" t="s">
        <v>343</v>
      </c>
      <c r="K1262">
        <v>1</v>
      </c>
      <c r="M1262">
        <v>1</v>
      </c>
      <c r="N1262">
        <v>1</v>
      </c>
    </row>
    <row r="1263" spans="1:14" x14ac:dyDescent="0.45">
      <c r="A1263" t="s">
        <v>3665</v>
      </c>
      <c r="B1263" t="s">
        <v>3666</v>
      </c>
      <c r="C1263" t="s">
        <v>3661</v>
      </c>
      <c r="D1263" t="s">
        <v>3662</v>
      </c>
      <c r="E1263" t="s">
        <v>341</v>
      </c>
      <c r="F1263" t="s">
        <v>342</v>
      </c>
      <c r="G1263" t="s">
        <v>750</v>
      </c>
      <c r="H1263" t="s">
        <v>252</v>
      </c>
      <c r="I1263" t="s">
        <v>193</v>
      </c>
      <c r="J1263" t="s">
        <v>343</v>
      </c>
      <c r="K1263">
        <v>1</v>
      </c>
      <c r="M1263">
        <v>1</v>
      </c>
      <c r="N1263">
        <v>1</v>
      </c>
    </row>
    <row r="1264" spans="1:14" x14ac:dyDescent="0.45">
      <c r="A1264" t="s">
        <v>3708</v>
      </c>
      <c r="B1264" t="s">
        <v>3709</v>
      </c>
      <c r="C1264" t="s">
        <v>3706</v>
      </c>
      <c r="D1264" t="s">
        <v>3707</v>
      </c>
      <c r="E1264" t="s">
        <v>341</v>
      </c>
      <c r="F1264" t="s">
        <v>342</v>
      </c>
      <c r="G1264" t="s">
        <v>750</v>
      </c>
      <c r="H1264" t="s">
        <v>252</v>
      </c>
      <c r="I1264" t="s">
        <v>193</v>
      </c>
      <c r="J1264" t="s">
        <v>343</v>
      </c>
      <c r="K1264">
        <v>1</v>
      </c>
      <c r="M1264">
        <v>1</v>
      </c>
      <c r="N1264">
        <v>1</v>
      </c>
    </row>
    <row r="1265" spans="1:14" x14ac:dyDescent="0.45">
      <c r="A1265" t="s">
        <v>1333</v>
      </c>
      <c r="B1265" t="s">
        <v>3712</v>
      </c>
      <c r="C1265" t="s">
        <v>3706</v>
      </c>
      <c r="D1265" t="s">
        <v>3707</v>
      </c>
      <c r="E1265" t="s">
        <v>341</v>
      </c>
      <c r="F1265" t="s">
        <v>342</v>
      </c>
      <c r="G1265" t="s">
        <v>750</v>
      </c>
      <c r="H1265" t="s">
        <v>252</v>
      </c>
      <c r="I1265" t="s">
        <v>193</v>
      </c>
      <c r="J1265" t="s">
        <v>343</v>
      </c>
      <c r="K1265">
        <v>1</v>
      </c>
      <c r="M1265">
        <v>1</v>
      </c>
      <c r="N1265">
        <v>1</v>
      </c>
    </row>
    <row r="1266" spans="1:14" x14ac:dyDescent="0.45">
      <c r="A1266" t="s">
        <v>3741</v>
      </c>
      <c r="B1266" t="s">
        <v>3742</v>
      </c>
      <c r="C1266" t="s">
        <v>3737</v>
      </c>
      <c r="D1266" t="s">
        <v>3738</v>
      </c>
      <c r="E1266" t="s">
        <v>341</v>
      </c>
      <c r="F1266" t="s">
        <v>342</v>
      </c>
      <c r="G1266" t="s">
        <v>750</v>
      </c>
      <c r="H1266" t="s">
        <v>252</v>
      </c>
      <c r="I1266" t="s">
        <v>193</v>
      </c>
      <c r="J1266" t="s">
        <v>343</v>
      </c>
      <c r="K1266">
        <v>1</v>
      </c>
      <c r="M1266">
        <v>1</v>
      </c>
      <c r="N1266">
        <v>1</v>
      </c>
    </row>
    <row r="1267" spans="1:14" x14ac:dyDescent="0.45">
      <c r="A1267" t="s">
        <v>3669</v>
      </c>
      <c r="B1267" t="s">
        <v>3670</v>
      </c>
      <c r="C1267" t="s">
        <v>3661</v>
      </c>
      <c r="D1267" t="s">
        <v>3662</v>
      </c>
      <c r="E1267" t="s">
        <v>341</v>
      </c>
      <c r="F1267" t="s">
        <v>342</v>
      </c>
      <c r="G1267" t="s">
        <v>750</v>
      </c>
      <c r="H1267" t="s">
        <v>254</v>
      </c>
      <c r="I1267" t="s">
        <v>196</v>
      </c>
      <c r="J1267" t="s">
        <v>344</v>
      </c>
      <c r="K1267">
        <v>1</v>
      </c>
      <c r="M1267">
        <v>1</v>
      </c>
      <c r="N1267">
        <v>1</v>
      </c>
    </row>
    <row r="1268" spans="1:14" x14ac:dyDescent="0.45">
      <c r="A1268" t="s">
        <v>3745</v>
      </c>
      <c r="B1268" t="s">
        <v>3746</v>
      </c>
      <c r="C1268" t="s">
        <v>3737</v>
      </c>
      <c r="D1268" t="s">
        <v>3738</v>
      </c>
      <c r="E1268" t="s">
        <v>341</v>
      </c>
      <c r="F1268" t="s">
        <v>342</v>
      </c>
      <c r="G1268" t="s">
        <v>750</v>
      </c>
      <c r="H1268" t="s">
        <v>254</v>
      </c>
      <c r="I1268" t="s">
        <v>196</v>
      </c>
      <c r="J1268" t="s">
        <v>344</v>
      </c>
      <c r="K1268">
        <v>1</v>
      </c>
      <c r="M1268">
        <v>1</v>
      </c>
      <c r="N1268">
        <v>1</v>
      </c>
    </row>
    <row r="1269" spans="1:14" x14ac:dyDescent="0.45">
      <c r="A1269" t="s">
        <v>3769</v>
      </c>
      <c r="B1269" t="s">
        <v>3770</v>
      </c>
      <c r="C1269" t="s">
        <v>3737</v>
      </c>
      <c r="D1269" t="s">
        <v>3738</v>
      </c>
      <c r="E1269" t="s">
        <v>341</v>
      </c>
      <c r="F1269" t="s">
        <v>342</v>
      </c>
      <c r="G1269" t="s">
        <v>750</v>
      </c>
      <c r="H1269" t="s">
        <v>254</v>
      </c>
      <c r="I1269" t="s">
        <v>196</v>
      </c>
      <c r="J1269" t="s">
        <v>344</v>
      </c>
      <c r="K1269">
        <v>1</v>
      </c>
      <c r="M1269">
        <v>1</v>
      </c>
      <c r="N1269">
        <v>1</v>
      </c>
    </row>
    <row r="1270" spans="1:14" x14ac:dyDescent="0.45">
      <c r="A1270" t="s">
        <v>3771</v>
      </c>
      <c r="B1270" t="s">
        <v>3772</v>
      </c>
      <c r="C1270" t="s">
        <v>3737</v>
      </c>
      <c r="D1270" t="s">
        <v>3738</v>
      </c>
      <c r="E1270" t="s">
        <v>341</v>
      </c>
      <c r="F1270" t="s">
        <v>342</v>
      </c>
      <c r="G1270" t="s">
        <v>750</v>
      </c>
      <c r="H1270" t="s">
        <v>254</v>
      </c>
      <c r="I1270" t="s">
        <v>196</v>
      </c>
      <c r="J1270" t="s">
        <v>344</v>
      </c>
      <c r="K1270">
        <v>1</v>
      </c>
      <c r="M1270">
        <v>1</v>
      </c>
      <c r="N1270">
        <v>1</v>
      </c>
    </row>
    <row r="1271" spans="1:14" x14ac:dyDescent="0.45">
      <c r="A1271" t="s">
        <v>3663</v>
      </c>
      <c r="B1271" t="s">
        <v>3664</v>
      </c>
      <c r="C1271" t="s">
        <v>3661</v>
      </c>
      <c r="D1271" t="s">
        <v>3662</v>
      </c>
      <c r="E1271" t="s">
        <v>341</v>
      </c>
      <c r="F1271" t="s">
        <v>342</v>
      </c>
      <c r="G1271" t="s">
        <v>750</v>
      </c>
      <c r="H1271" t="s">
        <v>1003</v>
      </c>
      <c r="I1271" t="s">
        <v>199</v>
      </c>
      <c r="J1271" t="s">
        <v>345</v>
      </c>
      <c r="M1271">
        <v>1</v>
      </c>
      <c r="N1271">
        <v>1</v>
      </c>
    </row>
    <row r="1272" spans="1:14" x14ac:dyDescent="0.45">
      <c r="A1272" t="s">
        <v>3667</v>
      </c>
      <c r="B1272" t="s">
        <v>3668</v>
      </c>
      <c r="C1272" t="s">
        <v>3661</v>
      </c>
      <c r="D1272" t="s">
        <v>3662</v>
      </c>
      <c r="E1272" t="s">
        <v>341</v>
      </c>
      <c r="F1272" t="s">
        <v>342</v>
      </c>
      <c r="G1272" t="s">
        <v>750</v>
      </c>
      <c r="H1272" t="s">
        <v>1003</v>
      </c>
      <c r="I1272" t="s">
        <v>199</v>
      </c>
      <c r="J1272" t="s">
        <v>345</v>
      </c>
      <c r="M1272">
        <v>1</v>
      </c>
      <c r="N1272">
        <v>1</v>
      </c>
    </row>
    <row r="1273" spans="1:14" x14ac:dyDescent="0.45">
      <c r="A1273" t="s">
        <v>3671</v>
      </c>
      <c r="B1273" t="s">
        <v>3672</v>
      </c>
      <c r="C1273" t="s">
        <v>3673</v>
      </c>
      <c r="D1273" t="s">
        <v>3674</v>
      </c>
      <c r="E1273" t="s">
        <v>341</v>
      </c>
      <c r="F1273" t="s">
        <v>342</v>
      </c>
      <c r="G1273" t="s">
        <v>750</v>
      </c>
      <c r="H1273" t="s">
        <v>1003</v>
      </c>
      <c r="I1273" t="s">
        <v>199</v>
      </c>
      <c r="J1273" t="s">
        <v>345</v>
      </c>
      <c r="M1273">
        <v>1</v>
      </c>
      <c r="N1273">
        <v>1</v>
      </c>
    </row>
    <row r="1274" spans="1:14" x14ac:dyDescent="0.45">
      <c r="A1274" t="s">
        <v>3675</v>
      </c>
      <c r="B1274" t="s">
        <v>3676</v>
      </c>
      <c r="C1274" t="s">
        <v>3673</v>
      </c>
      <c r="D1274" t="s">
        <v>3674</v>
      </c>
      <c r="E1274" t="s">
        <v>341</v>
      </c>
      <c r="F1274" t="s">
        <v>342</v>
      </c>
      <c r="G1274" t="s">
        <v>750</v>
      </c>
      <c r="H1274" t="s">
        <v>1003</v>
      </c>
      <c r="I1274" t="s">
        <v>199</v>
      </c>
      <c r="J1274" t="s">
        <v>345</v>
      </c>
      <c r="M1274">
        <v>1</v>
      </c>
      <c r="N1274">
        <v>1</v>
      </c>
    </row>
    <row r="1275" spans="1:14" x14ac:dyDescent="0.45">
      <c r="A1275" t="s">
        <v>3677</v>
      </c>
      <c r="B1275" t="s">
        <v>3678</v>
      </c>
      <c r="C1275" t="s">
        <v>3673</v>
      </c>
      <c r="D1275" t="s">
        <v>3674</v>
      </c>
      <c r="E1275" t="s">
        <v>341</v>
      </c>
      <c r="F1275" t="s">
        <v>342</v>
      </c>
      <c r="G1275" t="s">
        <v>750</v>
      </c>
      <c r="H1275" t="s">
        <v>1003</v>
      </c>
      <c r="I1275" t="s">
        <v>199</v>
      </c>
      <c r="J1275" t="s">
        <v>345</v>
      </c>
      <c r="M1275">
        <v>1</v>
      </c>
      <c r="N1275">
        <v>1</v>
      </c>
    </row>
    <row r="1276" spans="1:14" x14ac:dyDescent="0.45">
      <c r="A1276" t="s">
        <v>3679</v>
      </c>
      <c r="B1276" t="s">
        <v>3680</v>
      </c>
      <c r="C1276" t="s">
        <v>3673</v>
      </c>
      <c r="D1276" t="s">
        <v>3674</v>
      </c>
      <c r="E1276" t="s">
        <v>341</v>
      </c>
      <c r="F1276" t="s">
        <v>342</v>
      </c>
      <c r="G1276" t="s">
        <v>750</v>
      </c>
      <c r="H1276" t="s">
        <v>1003</v>
      </c>
      <c r="I1276" t="s">
        <v>199</v>
      </c>
      <c r="J1276" t="s">
        <v>345</v>
      </c>
      <c r="M1276">
        <v>1</v>
      </c>
      <c r="N1276">
        <v>1</v>
      </c>
    </row>
    <row r="1277" spans="1:14" x14ac:dyDescent="0.45">
      <c r="A1277" t="s">
        <v>3681</v>
      </c>
      <c r="B1277" t="s">
        <v>3682</v>
      </c>
      <c r="C1277" t="s">
        <v>3673</v>
      </c>
      <c r="D1277" t="s">
        <v>3674</v>
      </c>
      <c r="E1277" t="s">
        <v>341</v>
      </c>
      <c r="F1277" t="s">
        <v>342</v>
      </c>
      <c r="G1277" t="s">
        <v>750</v>
      </c>
      <c r="H1277" t="s">
        <v>1003</v>
      </c>
      <c r="I1277" t="s">
        <v>199</v>
      </c>
      <c r="J1277" t="s">
        <v>345</v>
      </c>
      <c r="M1277">
        <v>1</v>
      </c>
      <c r="N1277">
        <v>1</v>
      </c>
    </row>
    <row r="1278" spans="1:14" x14ac:dyDescent="0.45">
      <c r="A1278" t="s">
        <v>3165</v>
      </c>
      <c r="B1278" t="s">
        <v>3683</v>
      </c>
      <c r="C1278" t="s">
        <v>3673</v>
      </c>
      <c r="D1278" t="s">
        <v>3674</v>
      </c>
      <c r="E1278" t="s">
        <v>341</v>
      </c>
      <c r="F1278" t="s">
        <v>342</v>
      </c>
      <c r="G1278" t="s">
        <v>750</v>
      </c>
      <c r="H1278" t="s">
        <v>1003</v>
      </c>
      <c r="I1278" t="s">
        <v>199</v>
      </c>
      <c r="J1278" t="s">
        <v>345</v>
      </c>
      <c r="M1278">
        <v>1</v>
      </c>
      <c r="N1278">
        <v>1</v>
      </c>
    </row>
    <row r="1279" spans="1:14" x14ac:dyDescent="0.45">
      <c r="A1279" t="s">
        <v>1944</v>
      </c>
      <c r="B1279" t="s">
        <v>3684</v>
      </c>
      <c r="C1279" t="s">
        <v>3673</v>
      </c>
      <c r="D1279" t="s">
        <v>3674</v>
      </c>
      <c r="E1279" t="s">
        <v>341</v>
      </c>
      <c r="F1279" t="s">
        <v>342</v>
      </c>
      <c r="G1279" t="s">
        <v>750</v>
      </c>
      <c r="H1279" t="s">
        <v>1003</v>
      </c>
      <c r="I1279" t="s">
        <v>199</v>
      </c>
      <c r="J1279" t="s">
        <v>345</v>
      </c>
      <c r="M1279">
        <v>1</v>
      </c>
      <c r="N1279">
        <v>1</v>
      </c>
    </row>
    <row r="1280" spans="1:14" x14ac:dyDescent="0.45">
      <c r="A1280" t="s">
        <v>3685</v>
      </c>
      <c r="B1280" t="s">
        <v>3686</v>
      </c>
      <c r="C1280" t="s">
        <v>3673</v>
      </c>
      <c r="D1280" t="s">
        <v>3674</v>
      </c>
      <c r="E1280" t="s">
        <v>341</v>
      </c>
      <c r="F1280" t="s">
        <v>342</v>
      </c>
      <c r="G1280" t="s">
        <v>750</v>
      </c>
      <c r="H1280" t="s">
        <v>1003</v>
      </c>
      <c r="I1280" t="s">
        <v>199</v>
      </c>
      <c r="J1280" t="s">
        <v>345</v>
      </c>
      <c r="M1280">
        <v>1</v>
      </c>
      <c r="N1280">
        <v>1</v>
      </c>
    </row>
    <row r="1281" spans="1:14" x14ac:dyDescent="0.45">
      <c r="A1281" t="s">
        <v>3687</v>
      </c>
      <c r="B1281" t="s">
        <v>3688</v>
      </c>
      <c r="C1281" t="s">
        <v>3673</v>
      </c>
      <c r="D1281" t="s">
        <v>3674</v>
      </c>
      <c r="E1281" t="s">
        <v>341</v>
      </c>
      <c r="F1281" t="s">
        <v>342</v>
      </c>
      <c r="G1281" t="s">
        <v>750</v>
      </c>
      <c r="H1281" t="s">
        <v>1003</v>
      </c>
      <c r="I1281" t="s">
        <v>199</v>
      </c>
      <c r="J1281" t="s">
        <v>345</v>
      </c>
      <c r="M1281">
        <v>1</v>
      </c>
      <c r="N1281">
        <v>1</v>
      </c>
    </row>
    <row r="1282" spans="1:14" x14ac:dyDescent="0.45">
      <c r="A1282" t="s">
        <v>3689</v>
      </c>
      <c r="B1282" t="s">
        <v>3690</v>
      </c>
      <c r="C1282" t="s">
        <v>3673</v>
      </c>
      <c r="D1282" t="s">
        <v>3674</v>
      </c>
      <c r="E1282" t="s">
        <v>341</v>
      </c>
      <c r="F1282" t="s">
        <v>342</v>
      </c>
      <c r="G1282" t="s">
        <v>750</v>
      </c>
      <c r="H1282" t="s">
        <v>1003</v>
      </c>
      <c r="I1282" t="s">
        <v>199</v>
      </c>
      <c r="J1282" t="s">
        <v>345</v>
      </c>
      <c r="M1282">
        <v>1</v>
      </c>
      <c r="N1282">
        <v>1</v>
      </c>
    </row>
    <row r="1283" spans="1:14" x14ac:dyDescent="0.45">
      <c r="A1283" t="s">
        <v>1237</v>
      </c>
      <c r="B1283" t="s">
        <v>3691</v>
      </c>
      <c r="C1283" t="s">
        <v>3673</v>
      </c>
      <c r="D1283" t="s">
        <v>3674</v>
      </c>
      <c r="E1283" t="s">
        <v>341</v>
      </c>
      <c r="F1283" t="s">
        <v>342</v>
      </c>
      <c r="G1283" t="s">
        <v>750</v>
      </c>
      <c r="H1283" t="s">
        <v>1003</v>
      </c>
      <c r="I1283" t="s">
        <v>199</v>
      </c>
      <c r="J1283" t="s">
        <v>345</v>
      </c>
      <c r="M1283">
        <v>1</v>
      </c>
      <c r="N1283">
        <v>1</v>
      </c>
    </row>
    <row r="1284" spans="1:14" x14ac:dyDescent="0.45">
      <c r="A1284" t="s">
        <v>3692</v>
      </c>
      <c r="B1284" t="s">
        <v>3693</v>
      </c>
      <c r="C1284" t="s">
        <v>3673</v>
      </c>
      <c r="D1284" t="s">
        <v>3674</v>
      </c>
      <c r="E1284" t="s">
        <v>341</v>
      </c>
      <c r="F1284" t="s">
        <v>342</v>
      </c>
      <c r="G1284" t="s">
        <v>750</v>
      </c>
      <c r="H1284" t="s">
        <v>1003</v>
      </c>
      <c r="I1284" t="s">
        <v>199</v>
      </c>
      <c r="J1284" t="s">
        <v>345</v>
      </c>
      <c r="M1284">
        <v>1</v>
      </c>
      <c r="N1284">
        <v>1</v>
      </c>
    </row>
    <row r="1285" spans="1:14" x14ac:dyDescent="0.45">
      <c r="A1285" t="s">
        <v>3694</v>
      </c>
      <c r="B1285" t="s">
        <v>3695</v>
      </c>
      <c r="C1285" t="s">
        <v>3673</v>
      </c>
      <c r="D1285" t="s">
        <v>3674</v>
      </c>
      <c r="E1285" t="s">
        <v>341</v>
      </c>
      <c r="F1285" t="s">
        <v>342</v>
      </c>
      <c r="G1285" t="s">
        <v>750</v>
      </c>
      <c r="H1285" t="s">
        <v>1003</v>
      </c>
      <c r="I1285" t="s">
        <v>199</v>
      </c>
      <c r="J1285" t="s">
        <v>345</v>
      </c>
      <c r="M1285">
        <v>1</v>
      </c>
      <c r="N1285">
        <v>1</v>
      </c>
    </row>
    <row r="1286" spans="1:14" x14ac:dyDescent="0.45">
      <c r="A1286" t="s">
        <v>3696</v>
      </c>
      <c r="B1286" t="s">
        <v>3697</v>
      </c>
      <c r="C1286" t="s">
        <v>3673</v>
      </c>
      <c r="D1286" t="s">
        <v>3674</v>
      </c>
      <c r="E1286" t="s">
        <v>341</v>
      </c>
      <c r="F1286" t="s">
        <v>342</v>
      </c>
      <c r="G1286" t="s">
        <v>750</v>
      </c>
      <c r="H1286" t="s">
        <v>1003</v>
      </c>
      <c r="I1286" t="s">
        <v>199</v>
      </c>
      <c r="J1286" t="s">
        <v>345</v>
      </c>
      <c r="M1286">
        <v>1</v>
      </c>
      <c r="N1286">
        <v>1</v>
      </c>
    </row>
    <row r="1287" spans="1:14" x14ac:dyDescent="0.45">
      <c r="A1287" t="s">
        <v>3698</v>
      </c>
      <c r="B1287" t="s">
        <v>3699</v>
      </c>
      <c r="C1287" t="s">
        <v>3673</v>
      </c>
      <c r="D1287" t="s">
        <v>3674</v>
      </c>
      <c r="E1287" t="s">
        <v>341</v>
      </c>
      <c r="F1287" t="s">
        <v>342</v>
      </c>
      <c r="G1287" t="s">
        <v>750</v>
      </c>
      <c r="H1287" t="s">
        <v>1003</v>
      </c>
      <c r="I1287" t="s">
        <v>199</v>
      </c>
      <c r="J1287" t="s">
        <v>345</v>
      </c>
      <c r="M1287">
        <v>1</v>
      </c>
      <c r="N1287">
        <v>1</v>
      </c>
    </row>
    <row r="1288" spans="1:14" x14ac:dyDescent="0.45">
      <c r="A1288" t="s">
        <v>3700</v>
      </c>
      <c r="B1288" t="s">
        <v>3701</v>
      </c>
      <c r="C1288" t="s">
        <v>3673</v>
      </c>
      <c r="D1288" t="s">
        <v>3674</v>
      </c>
      <c r="E1288" t="s">
        <v>341</v>
      </c>
      <c r="F1288" t="s">
        <v>342</v>
      </c>
      <c r="G1288" t="s">
        <v>750</v>
      </c>
      <c r="H1288" t="s">
        <v>1003</v>
      </c>
      <c r="I1288" t="s">
        <v>199</v>
      </c>
      <c r="J1288" t="s">
        <v>345</v>
      </c>
      <c r="M1288">
        <v>1</v>
      </c>
      <c r="N1288">
        <v>1</v>
      </c>
    </row>
    <row r="1289" spans="1:14" x14ac:dyDescent="0.45">
      <c r="A1289" t="s">
        <v>3702</v>
      </c>
      <c r="B1289" t="s">
        <v>3703</v>
      </c>
      <c r="C1289" t="s">
        <v>3673</v>
      </c>
      <c r="D1289" t="s">
        <v>3674</v>
      </c>
      <c r="E1289" t="s">
        <v>341</v>
      </c>
      <c r="F1289" t="s">
        <v>342</v>
      </c>
      <c r="G1289" t="s">
        <v>750</v>
      </c>
      <c r="H1289" t="s">
        <v>1003</v>
      </c>
      <c r="I1289" t="s">
        <v>199</v>
      </c>
      <c r="J1289" t="s">
        <v>345</v>
      </c>
      <c r="M1289">
        <v>1</v>
      </c>
      <c r="N1289">
        <v>1</v>
      </c>
    </row>
    <row r="1290" spans="1:14" x14ac:dyDescent="0.45">
      <c r="A1290" t="s">
        <v>3704</v>
      </c>
      <c r="B1290" t="s">
        <v>3705</v>
      </c>
      <c r="C1290" t="s">
        <v>3706</v>
      </c>
      <c r="D1290" t="s">
        <v>3707</v>
      </c>
      <c r="E1290" t="s">
        <v>341</v>
      </c>
      <c r="F1290" t="s">
        <v>342</v>
      </c>
      <c r="G1290" t="s">
        <v>750</v>
      </c>
      <c r="H1290" t="s">
        <v>1003</v>
      </c>
      <c r="I1290" t="s">
        <v>199</v>
      </c>
      <c r="J1290" t="s">
        <v>345</v>
      </c>
      <c r="M1290">
        <v>1</v>
      </c>
      <c r="N1290">
        <v>1</v>
      </c>
    </row>
    <row r="1291" spans="1:14" x14ac:dyDescent="0.45">
      <c r="A1291" t="s">
        <v>3710</v>
      </c>
      <c r="B1291" t="s">
        <v>3711</v>
      </c>
      <c r="C1291" t="s">
        <v>3706</v>
      </c>
      <c r="D1291" t="s">
        <v>3707</v>
      </c>
      <c r="E1291" t="s">
        <v>341</v>
      </c>
      <c r="F1291" t="s">
        <v>342</v>
      </c>
      <c r="G1291" t="s">
        <v>750</v>
      </c>
      <c r="H1291" t="s">
        <v>1003</v>
      </c>
      <c r="I1291" t="s">
        <v>199</v>
      </c>
      <c r="J1291" t="s">
        <v>345</v>
      </c>
      <c r="M1291">
        <v>1</v>
      </c>
      <c r="N1291">
        <v>1</v>
      </c>
    </row>
    <row r="1292" spans="1:14" x14ac:dyDescent="0.45">
      <c r="A1292" t="s">
        <v>3713</v>
      </c>
      <c r="B1292" t="s">
        <v>3714</v>
      </c>
      <c r="C1292" t="s">
        <v>3715</v>
      </c>
      <c r="D1292" t="s">
        <v>3716</v>
      </c>
      <c r="E1292" t="s">
        <v>341</v>
      </c>
      <c r="F1292" t="s">
        <v>342</v>
      </c>
      <c r="G1292" t="s">
        <v>750</v>
      </c>
      <c r="H1292" t="s">
        <v>1003</v>
      </c>
      <c r="I1292" t="s">
        <v>199</v>
      </c>
      <c r="J1292" t="s">
        <v>345</v>
      </c>
      <c r="M1292">
        <v>1</v>
      </c>
      <c r="N1292">
        <v>1</v>
      </c>
    </row>
    <row r="1293" spans="1:14" x14ac:dyDescent="0.45">
      <c r="A1293" t="s">
        <v>3717</v>
      </c>
      <c r="B1293" t="s">
        <v>3718</v>
      </c>
      <c r="C1293" t="s">
        <v>3715</v>
      </c>
      <c r="D1293" t="s">
        <v>3716</v>
      </c>
      <c r="E1293" t="s">
        <v>341</v>
      </c>
      <c r="F1293" t="s">
        <v>342</v>
      </c>
      <c r="G1293" t="s">
        <v>750</v>
      </c>
      <c r="H1293" t="s">
        <v>1003</v>
      </c>
      <c r="I1293" t="s">
        <v>199</v>
      </c>
      <c r="J1293" t="s">
        <v>345</v>
      </c>
      <c r="M1293">
        <v>1</v>
      </c>
      <c r="N1293">
        <v>1</v>
      </c>
    </row>
    <row r="1294" spans="1:14" x14ac:dyDescent="0.45">
      <c r="A1294" t="s">
        <v>3719</v>
      </c>
      <c r="B1294" t="s">
        <v>3720</v>
      </c>
      <c r="C1294" t="s">
        <v>3715</v>
      </c>
      <c r="D1294" t="s">
        <v>3716</v>
      </c>
      <c r="E1294" t="s">
        <v>341</v>
      </c>
      <c r="F1294" t="s">
        <v>342</v>
      </c>
      <c r="G1294" t="s">
        <v>750</v>
      </c>
      <c r="H1294" t="s">
        <v>1003</v>
      </c>
      <c r="I1294" t="s">
        <v>199</v>
      </c>
      <c r="J1294" t="s">
        <v>345</v>
      </c>
      <c r="M1294">
        <v>1</v>
      </c>
      <c r="N1294">
        <v>1</v>
      </c>
    </row>
    <row r="1295" spans="1:14" x14ac:dyDescent="0.45">
      <c r="A1295" t="s">
        <v>3721</v>
      </c>
      <c r="B1295" t="s">
        <v>3722</v>
      </c>
      <c r="C1295" t="s">
        <v>3715</v>
      </c>
      <c r="D1295" t="s">
        <v>3716</v>
      </c>
      <c r="E1295" t="s">
        <v>341</v>
      </c>
      <c r="F1295" t="s">
        <v>342</v>
      </c>
      <c r="G1295" t="s">
        <v>750</v>
      </c>
      <c r="H1295" t="s">
        <v>1003</v>
      </c>
      <c r="I1295" t="s">
        <v>199</v>
      </c>
      <c r="J1295" t="s">
        <v>345</v>
      </c>
      <c r="M1295">
        <v>1</v>
      </c>
      <c r="N1295">
        <v>1</v>
      </c>
    </row>
    <row r="1296" spans="1:14" x14ac:dyDescent="0.45">
      <c r="A1296" t="s">
        <v>3723</v>
      </c>
      <c r="B1296" t="s">
        <v>3724</v>
      </c>
      <c r="C1296" t="s">
        <v>3715</v>
      </c>
      <c r="D1296" t="s">
        <v>3716</v>
      </c>
      <c r="E1296" t="s">
        <v>341</v>
      </c>
      <c r="F1296" t="s">
        <v>342</v>
      </c>
      <c r="G1296" t="s">
        <v>750</v>
      </c>
      <c r="H1296" t="s">
        <v>1003</v>
      </c>
      <c r="I1296" t="s">
        <v>199</v>
      </c>
      <c r="J1296" t="s">
        <v>345</v>
      </c>
      <c r="M1296">
        <v>1</v>
      </c>
      <c r="N1296">
        <v>1</v>
      </c>
    </row>
    <row r="1297" spans="1:14" x14ac:dyDescent="0.45">
      <c r="A1297" t="s">
        <v>3725</v>
      </c>
      <c r="B1297" t="s">
        <v>3726</v>
      </c>
      <c r="C1297" t="s">
        <v>3715</v>
      </c>
      <c r="D1297" t="s">
        <v>3716</v>
      </c>
      <c r="E1297" t="s">
        <v>341</v>
      </c>
      <c r="F1297" t="s">
        <v>342</v>
      </c>
      <c r="G1297" t="s">
        <v>750</v>
      </c>
      <c r="H1297" t="s">
        <v>1003</v>
      </c>
      <c r="I1297" t="s">
        <v>199</v>
      </c>
      <c r="J1297" t="s">
        <v>345</v>
      </c>
      <c r="M1297">
        <v>1</v>
      </c>
      <c r="N1297">
        <v>1</v>
      </c>
    </row>
    <row r="1298" spans="1:14" x14ac:dyDescent="0.45">
      <c r="A1298" t="s">
        <v>3727</v>
      </c>
      <c r="B1298" t="s">
        <v>3728</v>
      </c>
      <c r="C1298" t="s">
        <v>3715</v>
      </c>
      <c r="D1298" t="s">
        <v>3716</v>
      </c>
      <c r="E1298" t="s">
        <v>341</v>
      </c>
      <c r="F1298" t="s">
        <v>342</v>
      </c>
      <c r="G1298" t="s">
        <v>750</v>
      </c>
      <c r="H1298" t="s">
        <v>1003</v>
      </c>
      <c r="I1298" t="s">
        <v>199</v>
      </c>
      <c r="J1298" t="s">
        <v>345</v>
      </c>
      <c r="M1298">
        <v>1</v>
      </c>
      <c r="N1298">
        <v>1</v>
      </c>
    </row>
    <row r="1299" spans="1:14" x14ac:dyDescent="0.45">
      <c r="A1299" t="s">
        <v>3729</v>
      </c>
      <c r="B1299" t="s">
        <v>3730</v>
      </c>
      <c r="C1299" t="s">
        <v>3715</v>
      </c>
      <c r="D1299" t="s">
        <v>3716</v>
      </c>
      <c r="E1299" t="s">
        <v>341</v>
      </c>
      <c r="F1299" t="s">
        <v>342</v>
      </c>
      <c r="G1299" t="s">
        <v>750</v>
      </c>
      <c r="H1299" t="s">
        <v>1003</v>
      </c>
      <c r="I1299" t="s">
        <v>199</v>
      </c>
      <c r="J1299" t="s">
        <v>345</v>
      </c>
      <c r="M1299">
        <v>1</v>
      </c>
      <c r="N1299">
        <v>1</v>
      </c>
    </row>
    <row r="1300" spans="1:14" x14ac:dyDescent="0.45">
      <c r="A1300" t="s">
        <v>3731</v>
      </c>
      <c r="B1300" t="s">
        <v>3732</v>
      </c>
      <c r="C1300" t="s">
        <v>3715</v>
      </c>
      <c r="D1300" t="s">
        <v>3716</v>
      </c>
      <c r="E1300" t="s">
        <v>341</v>
      </c>
      <c r="F1300" t="s">
        <v>342</v>
      </c>
      <c r="G1300" t="s">
        <v>750</v>
      </c>
      <c r="H1300" t="s">
        <v>1003</v>
      </c>
      <c r="I1300" t="s">
        <v>199</v>
      </c>
      <c r="J1300" t="s">
        <v>345</v>
      </c>
      <c r="M1300">
        <v>1</v>
      </c>
      <c r="N1300">
        <v>1</v>
      </c>
    </row>
    <row r="1301" spans="1:14" x14ac:dyDescent="0.45">
      <c r="A1301" t="s">
        <v>3702</v>
      </c>
      <c r="B1301" t="s">
        <v>3733</v>
      </c>
      <c r="C1301" t="s">
        <v>3715</v>
      </c>
      <c r="D1301" t="s">
        <v>3716</v>
      </c>
      <c r="E1301" t="s">
        <v>341</v>
      </c>
      <c r="F1301" t="s">
        <v>342</v>
      </c>
      <c r="G1301" t="s">
        <v>750</v>
      </c>
      <c r="H1301" t="s">
        <v>1003</v>
      </c>
      <c r="I1301" t="s">
        <v>199</v>
      </c>
      <c r="J1301" t="s">
        <v>345</v>
      </c>
      <c r="M1301">
        <v>1</v>
      </c>
      <c r="N1301">
        <v>1</v>
      </c>
    </row>
    <row r="1302" spans="1:14" x14ac:dyDescent="0.45">
      <c r="A1302" t="s">
        <v>1841</v>
      </c>
      <c r="B1302" t="s">
        <v>3734</v>
      </c>
      <c r="C1302" t="s">
        <v>3715</v>
      </c>
      <c r="D1302" t="s">
        <v>3716</v>
      </c>
      <c r="E1302" t="s">
        <v>341</v>
      </c>
      <c r="F1302" t="s">
        <v>342</v>
      </c>
      <c r="G1302" t="s">
        <v>750</v>
      </c>
      <c r="H1302" t="s">
        <v>1003</v>
      </c>
      <c r="I1302" t="s">
        <v>199</v>
      </c>
      <c r="J1302" t="s">
        <v>345</v>
      </c>
      <c r="M1302">
        <v>1</v>
      </c>
      <c r="N1302">
        <v>1</v>
      </c>
    </row>
    <row r="1303" spans="1:14" x14ac:dyDescent="0.45">
      <c r="A1303" t="s">
        <v>3735</v>
      </c>
      <c r="B1303" t="s">
        <v>3736</v>
      </c>
      <c r="C1303" t="s">
        <v>3737</v>
      </c>
      <c r="D1303" t="s">
        <v>3738</v>
      </c>
      <c r="E1303" t="s">
        <v>341</v>
      </c>
      <c r="F1303" t="s">
        <v>342</v>
      </c>
      <c r="G1303" t="s">
        <v>750</v>
      </c>
      <c r="H1303" t="s">
        <v>1003</v>
      </c>
      <c r="I1303" t="s">
        <v>199</v>
      </c>
      <c r="J1303" t="s">
        <v>345</v>
      </c>
      <c r="M1303">
        <v>1</v>
      </c>
      <c r="N1303">
        <v>1</v>
      </c>
    </row>
    <row r="1304" spans="1:14" x14ac:dyDescent="0.45">
      <c r="A1304" t="s">
        <v>3739</v>
      </c>
      <c r="B1304" t="s">
        <v>3740</v>
      </c>
      <c r="C1304" t="s">
        <v>3737</v>
      </c>
      <c r="D1304" t="s">
        <v>3738</v>
      </c>
      <c r="E1304" t="s">
        <v>341</v>
      </c>
      <c r="F1304" t="s">
        <v>342</v>
      </c>
      <c r="G1304" t="s">
        <v>750</v>
      </c>
      <c r="H1304" t="s">
        <v>1003</v>
      </c>
      <c r="I1304" t="s">
        <v>199</v>
      </c>
      <c r="J1304" t="s">
        <v>345</v>
      </c>
      <c r="M1304">
        <v>1</v>
      </c>
      <c r="N1304">
        <v>1</v>
      </c>
    </row>
    <row r="1305" spans="1:14" x14ac:dyDescent="0.45">
      <c r="A1305" t="s">
        <v>3743</v>
      </c>
      <c r="B1305" t="s">
        <v>3744</v>
      </c>
      <c r="C1305" t="s">
        <v>3737</v>
      </c>
      <c r="D1305" t="s">
        <v>3738</v>
      </c>
      <c r="E1305" t="s">
        <v>341</v>
      </c>
      <c r="F1305" t="s">
        <v>342</v>
      </c>
      <c r="G1305" t="s">
        <v>750</v>
      </c>
      <c r="H1305" t="s">
        <v>1003</v>
      </c>
      <c r="I1305" t="s">
        <v>199</v>
      </c>
      <c r="J1305" t="s">
        <v>345</v>
      </c>
      <c r="M1305">
        <v>1</v>
      </c>
      <c r="N1305">
        <v>1</v>
      </c>
    </row>
    <row r="1306" spans="1:14" x14ac:dyDescent="0.45">
      <c r="A1306" t="s">
        <v>870</v>
      </c>
      <c r="B1306" t="s">
        <v>3747</v>
      </c>
      <c r="C1306" t="s">
        <v>3737</v>
      </c>
      <c r="D1306" t="s">
        <v>3738</v>
      </c>
      <c r="E1306" t="s">
        <v>341</v>
      </c>
      <c r="F1306" t="s">
        <v>342</v>
      </c>
      <c r="G1306" t="s">
        <v>750</v>
      </c>
      <c r="H1306" t="s">
        <v>1003</v>
      </c>
      <c r="I1306" t="s">
        <v>199</v>
      </c>
      <c r="J1306" t="s">
        <v>345</v>
      </c>
      <c r="M1306">
        <v>1</v>
      </c>
      <c r="N1306">
        <v>1</v>
      </c>
    </row>
    <row r="1307" spans="1:14" x14ac:dyDescent="0.45">
      <c r="A1307" t="s">
        <v>3748</v>
      </c>
      <c r="B1307" t="s">
        <v>3749</v>
      </c>
      <c r="C1307" t="s">
        <v>3737</v>
      </c>
      <c r="D1307" t="s">
        <v>3738</v>
      </c>
      <c r="E1307" t="s">
        <v>341</v>
      </c>
      <c r="F1307" t="s">
        <v>342</v>
      </c>
      <c r="G1307" t="s">
        <v>750</v>
      </c>
      <c r="H1307" t="s">
        <v>1003</v>
      </c>
      <c r="I1307" t="s">
        <v>199</v>
      </c>
      <c r="J1307" t="s">
        <v>345</v>
      </c>
      <c r="M1307">
        <v>1</v>
      </c>
      <c r="N1307">
        <v>1</v>
      </c>
    </row>
    <row r="1308" spans="1:14" x14ac:dyDescent="0.45">
      <c r="A1308" t="s">
        <v>3750</v>
      </c>
      <c r="B1308" t="s">
        <v>3751</v>
      </c>
      <c r="C1308" t="s">
        <v>3737</v>
      </c>
      <c r="D1308" t="s">
        <v>3738</v>
      </c>
      <c r="E1308" t="s">
        <v>341</v>
      </c>
      <c r="F1308" t="s">
        <v>342</v>
      </c>
      <c r="G1308" t="s">
        <v>750</v>
      </c>
      <c r="H1308" t="s">
        <v>1003</v>
      </c>
      <c r="I1308" t="s">
        <v>199</v>
      </c>
      <c r="J1308" t="s">
        <v>345</v>
      </c>
      <c r="M1308">
        <v>1</v>
      </c>
      <c r="N1308">
        <v>1</v>
      </c>
    </row>
    <row r="1309" spans="1:14" x14ac:dyDescent="0.45">
      <c r="A1309" t="s">
        <v>3752</v>
      </c>
      <c r="B1309" t="s">
        <v>3753</v>
      </c>
      <c r="C1309" t="s">
        <v>3737</v>
      </c>
      <c r="D1309" t="s">
        <v>3738</v>
      </c>
      <c r="E1309" t="s">
        <v>341</v>
      </c>
      <c r="F1309" t="s">
        <v>342</v>
      </c>
      <c r="G1309" t="s">
        <v>750</v>
      </c>
      <c r="H1309" t="s">
        <v>1003</v>
      </c>
      <c r="I1309" t="s">
        <v>199</v>
      </c>
      <c r="J1309" t="s">
        <v>345</v>
      </c>
      <c r="M1309">
        <v>1</v>
      </c>
      <c r="N1309">
        <v>1</v>
      </c>
    </row>
    <row r="1310" spans="1:14" x14ac:dyDescent="0.45">
      <c r="A1310" t="s">
        <v>3754</v>
      </c>
      <c r="B1310" t="s">
        <v>3755</v>
      </c>
      <c r="C1310" t="s">
        <v>3737</v>
      </c>
      <c r="D1310" t="s">
        <v>3738</v>
      </c>
      <c r="E1310" t="s">
        <v>341</v>
      </c>
      <c r="F1310" t="s">
        <v>342</v>
      </c>
      <c r="G1310" t="s">
        <v>750</v>
      </c>
      <c r="H1310" t="s">
        <v>1003</v>
      </c>
      <c r="I1310" t="s">
        <v>199</v>
      </c>
      <c r="J1310" t="s">
        <v>345</v>
      </c>
      <c r="M1310">
        <v>1</v>
      </c>
      <c r="N1310">
        <v>1</v>
      </c>
    </row>
    <row r="1311" spans="1:14" x14ac:dyDescent="0.45">
      <c r="A1311" t="s">
        <v>2244</v>
      </c>
      <c r="B1311" t="s">
        <v>3756</v>
      </c>
      <c r="C1311" t="s">
        <v>3737</v>
      </c>
      <c r="D1311" t="s">
        <v>3738</v>
      </c>
      <c r="E1311" t="s">
        <v>341</v>
      </c>
      <c r="F1311" t="s">
        <v>342</v>
      </c>
      <c r="G1311" t="s">
        <v>750</v>
      </c>
      <c r="H1311" t="s">
        <v>1003</v>
      </c>
      <c r="I1311" t="s">
        <v>199</v>
      </c>
      <c r="J1311" t="s">
        <v>345</v>
      </c>
      <c r="M1311">
        <v>1</v>
      </c>
      <c r="N1311">
        <v>1</v>
      </c>
    </row>
    <row r="1312" spans="1:14" x14ac:dyDescent="0.45">
      <c r="A1312" t="s">
        <v>3757</v>
      </c>
      <c r="B1312" t="s">
        <v>3758</v>
      </c>
      <c r="C1312" t="s">
        <v>3737</v>
      </c>
      <c r="D1312" t="s">
        <v>3738</v>
      </c>
      <c r="E1312" t="s">
        <v>341</v>
      </c>
      <c r="F1312" t="s">
        <v>342</v>
      </c>
      <c r="G1312" t="s">
        <v>750</v>
      </c>
      <c r="H1312" t="s">
        <v>1003</v>
      </c>
      <c r="I1312" t="s">
        <v>199</v>
      </c>
      <c r="J1312" t="s">
        <v>345</v>
      </c>
      <c r="M1312">
        <v>1</v>
      </c>
      <c r="N1312">
        <v>1</v>
      </c>
    </row>
    <row r="1313" spans="1:14" x14ac:dyDescent="0.45">
      <c r="A1313" t="s">
        <v>3759</v>
      </c>
      <c r="B1313" t="s">
        <v>3760</v>
      </c>
      <c r="C1313" t="s">
        <v>3737</v>
      </c>
      <c r="D1313" t="s">
        <v>3738</v>
      </c>
      <c r="E1313" t="s">
        <v>341</v>
      </c>
      <c r="F1313" t="s">
        <v>342</v>
      </c>
      <c r="G1313" t="s">
        <v>750</v>
      </c>
      <c r="H1313" t="s">
        <v>1003</v>
      </c>
      <c r="I1313" t="s">
        <v>199</v>
      </c>
      <c r="J1313" t="s">
        <v>345</v>
      </c>
      <c r="M1313">
        <v>1</v>
      </c>
      <c r="N1313">
        <v>1</v>
      </c>
    </row>
    <row r="1314" spans="1:14" x14ac:dyDescent="0.45">
      <c r="A1314" t="s">
        <v>3761</v>
      </c>
      <c r="B1314" t="s">
        <v>3762</v>
      </c>
      <c r="C1314" t="s">
        <v>3737</v>
      </c>
      <c r="D1314" t="s">
        <v>3738</v>
      </c>
      <c r="E1314" t="s">
        <v>341</v>
      </c>
      <c r="F1314" t="s">
        <v>342</v>
      </c>
      <c r="G1314" t="s">
        <v>750</v>
      </c>
      <c r="H1314" t="s">
        <v>1003</v>
      </c>
      <c r="I1314" t="s">
        <v>199</v>
      </c>
      <c r="J1314" t="s">
        <v>345</v>
      </c>
      <c r="M1314">
        <v>1</v>
      </c>
      <c r="N1314">
        <v>1</v>
      </c>
    </row>
    <row r="1315" spans="1:14" x14ac:dyDescent="0.45">
      <c r="A1315" t="s">
        <v>3763</v>
      </c>
      <c r="B1315" t="s">
        <v>3764</v>
      </c>
      <c r="C1315" t="s">
        <v>3737</v>
      </c>
      <c r="D1315" t="s">
        <v>3738</v>
      </c>
      <c r="E1315" t="s">
        <v>341</v>
      </c>
      <c r="F1315" t="s">
        <v>342</v>
      </c>
      <c r="G1315" t="s">
        <v>750</v>
      </c>
      <c r="H1315" t="s">
        <v>1003</v>
      </c>
      <c r="I1315" t="s">
        <v>199</v>
      </c>
      <c r="J1315" t="s">
        <v>345</v>
      </c>
      <c r="M1315">
        <v>1</v>
      </c>
      <c r="N1315">
        <v>1</v>
      </c>
    </row>
    <row r="1316" spans="1:14" x14ac:dyDescent="0.45">
      <c r="A1316" t="s">
        <v>3765</v>
      </c>
      <c r="B1316" t="s">
        <v>3766</v>
      </c>
      <c r="C1316" t="s">
        <v>3737</v>
      </c>
      <c r="D1316" t="s">
        <v>3738</v>
      </c>
      <c r="E1316" t="s">
        <v>341</v>
      </c>
      <c r="F1316" t="s">
        <v>342</v>
      </c>
      <c r="G1316" t="s">
        <v>750</v>
      </c>
      <c r="H1316" t="s">
        <v>1003</v>
      </c>
      <c r="I1316" t="s">
        <v>199</v>
      </c>
      <c r="J1316" t="s">
        <v>345</v>
      </c>
      <c r="M1316">
        <v>1</v>
      </c>
      <c r="N1316">
        <v>1</v>
      </c>
    </row>
    <row r="1317" spans="1:14" x14ac:dyDescent="0.45">
      <c r="A1317" t="s">
        <v>3767</v>
      </c>
      <c r="B1317" t="s">
        <v>3768</v>
      </c>
      <c r="C1317" t="s">
        <v>3737</v>
      </c>
      <c r="D1317" t="s">
        <v>3738</v>
      </c>
      <c r="E1317" t="s">
        <v>341</v>
      </c>
      <c r="F1317" t="s">
        <v>342</v>
      </c>
      <c r="G1317" t="s">
        <v>750</v>
      </c>
      <c r="H1317" t="s">
        <v>1003</v>
      </c>
      <c r="I1317" t="s">
        <v>199</v>
      </c>
      <c r="J1317" t="s">
        <v>345</v>
      </c>
      <c r="M1317">
        <v>1</v>
      </c>
      <c r="N1317">
        <v>1</v>
      </c>
    </row>
    <row r="1318" spans="1:14" x14ac:dyDescent="0.45">
      <c r="A1318" t="s">
        <v>341</v>
      </c>
      <c r="B1318" t="s">
        <v>3773</v>
      </c>
      <c r="C1318" t="s">
        <v>3737</v>
      </c>
      <c r="D1318" t="s">
        <v>3738</v>
      </c>
      <c r="E1318" t="s">
        <v>341</v>
      </c>
      <c r="F1318" t="s">
        <v>342</v>
      </c>
      <c r="G1318" t="s">
        <v>750</v>
      </c>
      <c r="H1318" t="s">
        <v>1003</v>
      </c>
      <c r="I1318" t="s">
        <v>199</v>
      </c>
      <c r="J1318" t="s">
        <v>345</v>
      </c>
      <c r="M1318">
        <v>1</v>
      </c>
      <c r="N1318">
        <v>1</v>
      </c>
    </row>
    <row r="1319" spans="1:14" x14ac:dyDescent="0.45">
      <c r="A1319" t="s">
        <v>346</v>
      </c>
      <c r="B1319" t="s">
        <v>3774</v>
      </c>
      <c r="C1319" t="s">
        <v>346</v>
      </c>
      <c r="D1319" t="s">
        <v>3775</v>
      </c>
      <c r="E1319" t="s">
        <v>346</v>
      </c>
      <c r="F1319" t="s">
        <v>347</v>
      </c>
      <c r="G1319" t="s">
        <v>750</v>
      </c>
      <c r="H1319" t="s">
        <v>751</v>
      </c>
      <c r="I1319" t="s">
        <v>199</v>
      </c>
      <c r="J1319" t="s">
        <v>348</v>
      </c>
      <c r="M1319">
        <v>1</v>
      </c>
      <c r="N1319">
        <v>1</v>
      </c>
    </row>
    <row r="1320" spans="1:14" x14ac:dyDescent="0.45">
      <c r="A1320" t="s">
        <v>1178</v>
      </c>
      <c r="B1320" t="s">
        <v>1179</v>
      </c>
      <c r="C1320" t="s">
        <v>1180</v>
      </c>
      <c r="D1320" t="s">
        <v>1181</v>
      </c>
      <c r="E1320" t="s">
        <v>258</v>
      </c>
      <c r="F1320" t="s">
        <v>259</v>
      </c>
      <c r="G1320" t="s">
        <v>33</v>
      </c>
      <c r="H1320" t="s">
        <v>252</v>
      </c>
      <c r="I1320" t="s">
        <v>193</v>
      </c>
      <c r="J1320" t="s">
        <v>194</v>
      </c>
      <c r="K1320">
        <v>1</v>
      </c>
      <c r="M1320">
        <v>1</v>
      </c>
      <c r="N1320">
        <v>1</v>
      </c>
    </row>
    <row r="1321" spans="1:14" x14ac:dyDescent="0.45">
      <c r="A1321" t="s">
        <v>1184</v>
      </c>
      <c r="B1321" t="s">
        <v>1185</v>
      </c>
      <c r="C1321" t="s">
        <v>1180</v>
      </c>
      <c r="D1321" t="s">
        <v>1181</v>
      </c>
      <c r="E1321" t="s">
        <v>258</v>
      </c>
      <c r="F1321" t="s">
        <v>259</v>
      </c>
      <c r="G1321" t="s">
        <v>33</v>
      </c>
      <c r="H1321" t="s">
        <v>252</v>
      </c>
      <c r="I1321" t="s">
        <v>193</v>
      </c>
      <c r="J1321" t="s">
        <v>194</v>
      </c>
      <c r="K1321">
        <v>1</v>
      </c>
      <c r="M1321">
        <v>1</v>
      </c>
      <c r="N1321">
        <v>1</v>
      </c>
    </row>
    <row r="1322" spans="1:14" x14ac:dyDescent="0.45">
      <c r="A1322" t="s">
        <v>1190</v>
      </c>
      <c r="B1322" t="s">
        <v>1191</v>
      </c>
      <c r="C1322" t="s">
        <v>1180</v>
      </c>
      <c r="D1322" t="s">
        <v>1181</v>
      </c>
      <c r="E1322" t="s">
        <v>258</v>
      </c>
      <c r="F1322" t="s">
        <v>259</v>
      </c>
      <c r="G1322" t="s">
        <v>33</v>
      </c>
      <c r="H1322" t="s">
        <v>252</v>
      </c>
      <c r="I1322" t="s">
        <v>193</v>
      </c>
      <c r="J1322" t="s">
        <v>194</v>
      </c>
      <c r="K1322">
        <v>1</v>
      </c>
      <c r="M1322">
        <v>1</v>
      </c>
      <c r="N1322">
        <v>1</v>
      </c>
    </row>
    <row r="1323" spans="1:14" x14ac:dyDescent="0.45">
      <c r="A1323" t="s">
        <v>1192</v>
      </c>
      <c r="B1323" t="s">
        <v>1193</v>
      </c>
      <c r="C1323" t="s">
        <v>1180</v>
      </c>
      <c r="D1323" t="s">
        <v>1181</v>
      </c>
      <c r="E1323" t="s">
        <v>258</v>
      </c>
      <c r="F1323" t="s">
        <v>259</v>
      </c>
      <c r="G1323" t="s">
        <v>33</v>
      </c>
      <c r="H1323" t="s">
        <v>252</v>
      </c>
      <c r="I1323" t="s">
        <v>193</v>
      </c>
      <c r="J1323" t="s">
        <v>194</v>
      </c>
      <c r="K1323">
        <v>1</v>
      </c>
      <c r="M1323">
        <v>1</v>
      </c>
      <c r="N1323">
        <v>1</v>
      </c>
    </row>
    <row r="1324" spans="1:14" x14ac:dyDescent="0.45">
      <c r="A1324" t="s">
        <v>1194</v>
      </c>
      <c r="B1324" t="s">
        <v>1195</v>
      </c>
      <c r="C1324" t="s">
        <v>1196</v>
      </c>
      <c r="D1324" t="s">
        <v>1197</v>
      </c>
      <c r="E1324" t="s">
        <v>258</v>
      </c>
      <c r="F1324" t="s">
        <v>259</v>
      </c>
      <c r="G1324" t="s">
        <v>33</v>
      </c>
      <c r="H1324" t="s">
        <v>252</v>
      </c>
      <c r="I1324" t="s">
        <v>193</v>
      </c>
      <c r="J1324" t="s">
        <v>194</v>
      </c>
      <c r="K1324">
        <v>1</v>
      </c>
      <c r="M1324">
        <v>1</v>
      </c>
      <c r="N1324">
        <v>1</v>
      </c>
    </row>
    <row r="1325" spans="1:14" x14ac:dyDescent="0.45">
      <c r="A1325" t="s">
        <v>1216</v>
      </c>
      <c r="B1325" t="s">
        <v>1217</v>
      </c>
      <c r="C1325" t="s">
        <v>1214</v>
      </c>
      <c r="D1325" t="s">
        <v>1215</v>
      </c>
      <c r="E1325" t="s">
        <v>258</v>
      </c>
      <c r="F1325" t="s">
        <v>259</v>
      </c>
      <c r="G1325" t="s">
        <v>33</v>
      </c>
      <c r="H1325" t="s">
        <v>252</v>
      </c>
      <c r="I1325" t="s">
        <v>193</v>
      </c>
      <c r="J1325" t="s">
        <v>194</v>
      </c>
      <c r="K1325">
        <v>1</v>
      </c>
      <c r="M1325">
        <v>1</v>
      </c>
      <c r="N1325">
        <v>1</v>
      </c>
    </row>
    <row r="1326" spans="1:14" x14ac:dyDescent="0.45">
      <c r="A1326" t="s">
        <v>1296</v>
      </c>
      <c r="B1326" t="s">
        <v>1297</v>
      </c>
      <c r="C1326" t="s">
        <v>1292</v>
      </c>
      <c r="D1326" t="s">
        <v>1293</v>
      </c>
      <c r="E1326" t="s">
        <v>258</v>
      </c>
      <c r="F1326" t="s">
        <v>259</v>
      </c>
      <c r="G1326" t="s">
        <v>33</v>
      </c>
      <c r="H1326" t="s">
        <v>252</v>
      </c>
      <c r="I1326" t="s">
        <v>193</v>
      </c>
      <c r="J1326" t="s">
        <v>194</v>
      </c>
      <c r="K1326">
        <v>1</v>
      </c>
      <c r="M1326">
        <v>1</v>
      </c>
      <c r="N1326">
        <v>1</v>
      </c>
    </row>
    <row r="1327" spans="1:14" x14ac:dyDescent="0.45">
      <c r="A1327" t="s">
        <v>1301</v>
      </c>
      <c r="B1327" t="s">
        <v>1302</v>
      </c>
      <c r="C1327" t="s">
        <v>1292</v>
      </c>
      <c r="D1327" t="s">
        <v>1293</v>
      </c>
      <c r="E1327" t="s">
        <v>258</v>
      </c>
      <c r="F1327" t="s">
        <v>259</v>
      </c>
      <c r="G1327" t="s">
        <v>33</v>
      </c>
      <c r="H1327" t="s">
        <v>252</v>
      </c>
      <c r="I1327" t="s">
        <v>193</v>
      </c>
      <c r="J1327" t="s">
        <v>194</v>
      </c>
      <c r="K1327">
        <v>1</v>
      </c>
      <c r="M1327">
        <v>1</v>
      </c>
      <c r="N1327">
        <v>1</v>
      </c>
    </row>
    <row r="1328" spans="1:14" x14ac:dyDescent="0.45">
      <c r="A1328" t="s">
        <v>1307</v>
      </c>
      <c r="B1328" t="s">
        <v>1308</v>
      </c>
      <c r="C1328" t="s">
        <v>1292</v>
      </c>
      <c r="D1328" t="s">
        <v>1293</v>
      </c>
      <c r="E1328" t="s">
        <v>258</v>
      </c>
      <c r="F1328" t="s">
        <v>259</v>
      </c>
      <c r="G1328" t="s">
        <v>33</v>
      </c>
      <c r="H1328" t="s">
        <v>252</v>
      </c>
      <c r="I1328" t="s">
        <v>193</v>
      </c>
      <c r="J1328" t="s">
        <v>194</v>
      </c>
      <c r="K1328">
        <v>1</v>
      </c>
      <c r="M1328">
        <v>1</v>
      </c>
      <c r="N1328">
        <v>1</v>
      </c>
    </row>
    <row r="1329" spans="1:14" x14ac:dyDescent="0.45">
      <c r="A1329" t="s">
        <v>1309</v>
      </c>
      <c r="B1329" t="s">
        <v>1310</v>
      </c>
      <c r="C1329" t="s">
        <v>1292</v>
      </c>
      <c r="D1329" t="s">
        <v>1293</v>
      </c>
      <c r="E1329" t="s">
        <v>258</v>
      </c>
      <c r="F1329" t="s">
        <v>259</v>
      </c>
      <c r="G1329" t="s">
        <v>33</v>
      </c>
      <c r="H1329" t="s">
        <v>252</v>
      </c>
      <c r="I1329" t="s">
        <v>193</v>
      </c>
      <c r="J1329" t="s">
        <v>194</v>
      </c>
      <c r="K1329">
        <v>1</v>
      </c>
      <c r="M1329">
        <v>1</v>
      </c>
      <c r="N1329">
        <v>1</v>
      </c>
    </row>
    <row r="1330" spans="1:14" x14ac:dyDescent="0.45">
      <c r="A1330" t="s">
        <v>1312</v>
      </c>
      <c r="B1330" t="s">
        <v>1313</v>
      </c>
      <c r="C1330" t="s">
        <v>1292</v>
      </c>
      <c r="D1330" t="s">
        <v>1293</v>
      </c>
      <c r="E1330" t="s">
        <v>258</v>
      </c>
      <c r="F1330" t="s">
        <v>259</v>
      </c>
      <c r="G1330" t="s">
        <v>33</v>
      </c>
      <c r="H1330" t="s">
        <v>252</v>
      </c>
      <c r="I1330" t="s">
        <v>193</v>
      </c>
      <c r="J1330" t="s">
        <v>194</v>
      </c>
      <c r="K1330">
        <v>1</v>
      </c>
      <c r="M1330">
        <v>1</v>
      </c>
      <c r="N1330">
        <v>1</v>
      </c>
    </row>
    <row r="1331" spans="1:14" x14ac:dyDescent="0.45">
      <c r="A1331" t="s">
        <v>1610</v>
      </c>
      <c r="B1331" t="s">
        <v>1611</v>
      </c>
      <c r="C1331" t="s">
        <v>1612</v>
      </c>
      <c r="D1331" t="s">
        <v>1613</v>
      </c>
      <c r="E1331" t="s">
        <v>268</v>
      </c>
      <c r="F1331" t="s">
        <v>269</v>
      </c>
      <c r="G1331" t="s">
        <v>33</v>
      </c>
      <c r="H1331" t="s">
        <v>252</v>
      </c>
      <c r="I1331" t="s">
        <v>193</v>
      </c>
      <c r="J1331" t="s">
        <v>194</v>
      </c>
      <c r="K1331">
        <v>1</v>
      </c>
      <c r="M1331">
        <v>1</v>
      </c>
      <c r="N1331">
        <v>1</v>
      </c>
    </row>
    <row r="1332" spans="1:14" x14ac:dyDescent="0.45">
      <c r="A1332" t="s">
        <v>1614</v>
      </c>
      <c r="B1332" t="s">
        <v>1615</v>
      </c>
      <c r="C1332" t="s">
        <v>1612</v>
      </c>
      <c r="D1332" t="s">
        <v>1613</v>
      </c>
      <c r="E1332" t="s">
        <v>268</v>
      </c>
      <c r="F1332" t="s">
        <v>269</v>
      </c>
      <c r="G1332" t="s">
        <v>33</v>
      </c>
      <c r="H1332" t="s">
        <v>252</v>
      </c>
      <c r="I1332" t="s">
        <v>193</v>
      </c>
      <c r="J1332" t="s">
        <v>194</v>
      </c>
      <c r="K1332">
        <v>1</v>
      </c>
      <c r="M1332">
        <v>1</v>
      </c>
      <c r="N1332">
        <v>1</v>
      </c>
    </row>
    <row r="1333" spans="1:14" x14ac:dyDescent="0.45">
      <c r="A1333" t="s">
        <v>1616</v>
      </c>
      <c r="B1333" t="s">
        <v>1617</v>
      </c>
      <c r="C1333" t="s">
        <v>1612</v>
      </c>
      <c r="D1333" t="s">
        <v>1613</v>
      </c>
      <c r="E1333" t="s">
        <v>268</v>
      </c>
      <c r="F1333" t="s">
        <v>269</v>
      </c>
      <c r="G1333" t="s">
        <v>33</v>
      </c>
      <c r="H1333" t="s">
        <v>252</v>
      </c>
      <c r="I1333" t="s">
        <v>193</v>
      </c>
      <c r="J1333" t="s">
        <v>194</v>
      </c>
      <c r="K1333">
        <v>1</v>
      </c>
      <c r="M1333">
        <v>1</v>
      </c>
      <c r="N1333">
        <v>1</v>
      </c>
    </row>
    <row r="1334" spans="1:14" x14ac:dyDescent="0.45">
      <c r="A1334" t="s">
        <v>1618</v>
      </c>
      <c r="B1334" t="s">
        <v>1619</v>
      </c>
      <c r="C1334" t="s">
        <v>1612</v>
      </c>
      <c r="D1334" t="s">
        <v>1613</v>
      </c>
      <c r="E1334" t="s">
        <v>268</v>
      </c>
      <c r="F1334" t="s">
        <v>269</v>
      </c>
      <c r="G1334" t="s">
        <v>33</v>
      </c>
      <c r="H1334" t="s">
        <v>252</v>
      </c>
      <c r="I1334" t="s">
        <v>193</v>
      </c>
      <c r="J1334" t="s">
        <v>194</v>
      </c>
      <c r="K1334">
        <v>1</v>
      </c>
      <c r="M1334">
        <v>1</v>
      </c>
      <c r="N1334">
        <v>1</v>
      </c>
    </row>
    <row r="1335" spans="1:14" x14ac:dyDescent="0.45">
      <c r="A1335" t="s">
        <v>1620</v>
      </c>
      <c r="B1335" t="s">
        <v>1621</v>
      </c>
      <c r="C1335" t="s">
        <v>1612</v>
      </c>
      <c r="D1335" t="s">
        <v>1613</v>
      </c>
      <c r="E1335" t="s">
        <v>268</v>
      </c>
      <c r="F1335" t="s">
        <v>269</v>
      </c>
      <c r="G1335" t="s">
        <v>33</v>
      </c>
      <c r="H1335" t="s">
        <v>252</v>
      </c>
      <c r="I1335" t="s">
        <v>193</v>
      </c>
      <c r="J1335" t="s">
        <v>194</v>
      </c>
      <c r="K1335">
        <v>1</v>
      </c>
      <c r="M1335">
        <v>1</v>
      </c>
      <c r="N1335">
        <v>1</v>
      </c>
    </row>
    <row r="1336" spans="1:14" x14ac:dyDescent="0.45">
      <c r="A1336" t="s">
        <v>1622</v>
      </c>
      <c r="B1336" t="s">
        <v>1623</v>
      </c>
      <c r="C1336" t="s">
        <v>1612</v>
      </c>
      <c r="D1336" t="s">
        <v>1613</v>
      </c>
      <c r="E1336" t="s">
        <v>268</v>
      </c>
      <c r="F1336" t="s">
        <v>269</v>
      </c>
      <c r="G1336" t="s">
        <v>33</v>
      </c>
      <c r="H1336" t="s">
        <v>252</v>
      </c>
      <c r="I1336" t="s">
        <v>193</v>
      </c>
      <c r="J1336" t="s">
        <v>194</v>
      </c>
      <c r="K1336">
        <v>1</v>
      </c>
      <c r="M1336">
        <v>1</v>
      </c>
      <c r="N1336">
        <v>1</v>
      </c>
    </row>
    <row r="1337" spans="1:14" x14ac:dyDescent="0.45">
      <c r="A1337" t="s">
        <v>1624</v>
      </c>
      <c r="B1337" t="s">
        <v>1625</v>
      </c>
      <c r="C1337" t="s">
        <v>1612</v>
      </c>
      <c r="D1337" t="s">
        <v>1613</v>
      </c>
      <c r="E1337" t="s">
        <v>268</v>
      </c>
      <c r="F1337" t="s">
        <v>269</v>
      </c>
      <c r="G1337" t="s">
        <v>33</v>
      </c>
      <c r="H1337" t="s">
        <v>252</v>
      </c>
      <c r="I1337" t="s">
        <v>193</v>
      </c>
      <c r="J1337" t="s">
        <v>194</v>
      </c>
      <c r="K1337">
        <v>1</v>
      </c>
      <c r="M1337">
        <v>1</v>
      </c>
      <c r="N1337">
        <v>1</v>
      </c>
    </row>
    <row r="1338" spans="1:14" x14ac:dyDescent="0.45">
      <c r="A1338" t="s">
        <v>1626</v>
      </c>
      <c r="B1338" t="s">
        <v>1627</v>
      </c>
      <c r="C1338" t="s">
        <v>1612</v>
      </c>
      <c r="D1338" t="s">
        <v>1613</v>
      </c>
      <c r="E1338" t="s">
        <v>268</v>
      </c>
      <c r="F1338" t="s">
        <v>269</v>
      </c>
      <c r="G1338" t="s">
        <v>33</v>
      </c>
      <c r="H1338" t="s">
        <v>252</v>
      </c>
      <c r="I1338" t="s">
        <v>193</v>
      </c>
      <c r="J1338" t="s">
        <v>194</v>
      </c>
      <c r="K1338">
        <v>1</v>
      </c>
      <c r="M1338">
        <v>1</v>
      </c>
      <c r="N1338">
        <v>1</v>
      </c>
    </row>
    <row r="1339" spans="1:14" x14ac:dyDescent="0.45">
      <c r="A1339" t="s">
        <v>1628</v>
      </c>
      <c r="B1339" t="s">
        <v>1629</v>
      </c>
      <c r="C1339" t="s">
        <v>1612</v>
      </c>
      <c r="D1339" t="s">
        <v>1613</v>
      </c>
      <c r="E1339" t="s">
        <v>268</v>
      </c>
      <c r="F1339" t="s">
        <v>269</v>
      </c>
      <c r="G1339" t="s">
        <v>33</v>
      </c>
      <c r="H1339" t="s">
        <v>252</v>
      </c>
      <c r="I1339" t="s">
        <v>193</v>
      </c>
      <c r="J1339" t="s">
        <v>194</v>
      </c>
      <c r="K1339">
        <v>1</v>
      </c>
      <c r="M1339">
        <v>1</v>
      </c>
      <c r="N1339">
        <v>1</v>
      </c>
    </row>
    <row r="1340" spans="1:14" x14ac:dyDescent="0.45">
      <c r="A1340" t="s">
        <v>1630</v>
      </c>
      <c r="B1340" t="s">
        <v>1631</v>
      </c>
      <c r="C1340" t="s">
        <v>1612</v>
      </c>
      <c r="D1340" t="s">
        <v>1613</v>
      </c>
      <c r="E1340" t="s">
        <v>268</v>
      </c>
      <c r="F1340" t="s">
        <v>269</v>
      </c>
      <c r="G1340" t="s">
        <v>33</v>
      </c>
      <c r="H1340" t="s">
        <v>252</v>
      </c>
      <c r="I1340" t="s">
        <v>193</v>
      </c>
      <c r="J1340" t="s">
        <v>194</v>
      </c>
      <c r="K1340">
        <v>1</v>
      </c>
      <c r="M1340">
        <v>1</v>
      </c>
      <c r="N1340">
        <v>1</v>
      </c>
    </row>
    <row r="1341" spans="1:14" x14ac:dyDescent="0.45">
      <c r="A1341" t="s">
        <v>1703</v>
      </c>
      <c r="B1341" t="s">
        <v>1704</v>
      </c>
      <c r="C1341" t="s">
        <v>1699</v>
      </c>
      <c r="D1341" t="s">
        <v>1700</v>
      </c>
      <c r="E1341" t="s">
        <v>268</v>
      </c>
      <c r="F1341" t="s">
        <v>269</v>
      </c>
      <c r="G1341" t="s">
        <v>33</v>
      </c>
      <c r="H1341" t="s">
        <v>252</v>
      </c>
      <c r="I1341" t="s">
        <v>193</v>
      </c>
      <c r="J1341" t="s">
        <v>194</v>
      </c>
      <c r="K1341">
        <v>1</v>
      </c>
      <c r="M1341">
        <v>1</v>
      </c>
      <c r="N1341">
        <v>1</v>
      </c>
    </row>
    <row r="1342" spans="1:14" x14ac:dyDescent="0.45">
      <c r="A1342" t="s">
        <v>1717</v>
      </c>
      <c r="B1342" t="s">
        <v>1718</v>
      </c>
      <c r="C1342" t="s">
        <v>1699</v>
      </c>
      <c r="D1342" t="s">
        <v>1700</v>
      </c>
      <c r="E1342" t="s">
        <v>268</v>
      </c>
      <c r="F1342" t="s">
        <v>269</v>
      </c>
      <c r="G1342" t="s">
        <v>33</v>
      </c>
      <c r="H1342" t="s">
        <v>252</v>
      </c>
      <c r="I1342" t="s">
        <v>193</v>
      </c>
      <c r="J1342" t="s">
        <v>194</v>
      </c>
      <c r="K1342">
        <v>1</v>
      </c>
      <c r="M1342">
        <v>1</v>
      </c>
      <c r="N1342">
        <v>1</v>
      </c>
    </row>
    <row r="1343" spans="1:14" x14ac:dyDescent="0.45">
      <c r="A1343" t="s">
        <v>1725</v>
      </c>
      <c r="B1343" t="s">
        <v>1726</v>
      </c>
      <c r="C1343" t="s">
        <v>1699</v>
      </c>
      <c r="D1343" t="s">
        <v>1700</v>
      </c>
      <c r="E1343" t="s">
        <v>268</v>
      </c>
      <c r="F1343" t="s">
        <v>269</v>
      </c>
      <c r="G1343" t="s">
        <v>33</v>
      </c>
      <c r="H1343" t="s">
        <v>252</v>
      </c>
      <c r="I1343" t="s">
        <v>193</v>
      </c>
      <c r="J1343" t="s">
        <v>194</v>
      </c>
      <c r="K1343">
        <v>1</v>
      </c>
      <c r="M1343">
        <v>1</v>
      </c>
      <c r="N1343">
        <v>1</v>
      </c>
    </row>
    <row r="1344" spans="1:14" x14ac:dyDescent="0.45">
      <c r="A1344" t="s">
        <v>1727</v>
      </c>
      <c r="B1344" t="s">
        <v>1728</v>
      </c>
      <c r="C1344" t="s">
        <v>1699</v>
      </c>
      <c r="D1344" t="s">
        <v>1700</v>
      </c>
      <c r="E1344" t="s">
        <v>268</v>
      </c>
      <c r="F1344" t="s">
        <v>269</v>
      </c>
      <c r="G1344" t="s">
        <v>33</v>
      </c>
      <c r="H1344" t="s">
        <v>252</v>
      </c>
      <c r="I1344" t="s">
        <v>193</v>
      </c>
      <c r="J1344" t="s">
        <v>194</v>
      </c>
      <c r="K1344">
        <v>1</v>
      </c>
      <c r="M1344">
        <v>1</v>
      </c>
      <c r="N1344">
        <v>1</v>
      </c>
    </row>
    <row r="1345" spans="1:14" x14ac:dyDescent="0.45">
      <c r="A1345" t="s">
        <v>2141</v>
      </c>
      <c r="B1345" t="s">
        <v>2142</v>
      </c>
      <c r="C1345" t="s">
        <v>2139</v>
      </c>
      <c r="D1345" t="s">
        <v>2140</v>
      </c>
      <c r="E1345" t="s">
        <v>2111</v>
      </c>
      <c r="F1345" t="s">
        <v>2112</v>
      </c>
      <c r="G1345" t="s">
        <v>33</v>
      </c>
      <c r="H1345" t="s">
        <v>252</v>
      </c>
      <c r="I1345" t="s">
        <v>193</v>
      </c>
      <c r="J1345" t="s">
        <v>194</v>
      </c>
      <c r="K1345">
        <v>1</v>
      </c>
      <c r="M1345">
        <v>1</v>
      </c>
      <c r="N1345">
        <v>1</v>
      </c>
    </row>
    <row r="1346" spans="1:14" x14ac:dyDescent="0.45">
      <c r="A1346" t="s">
        <v>2143</v>
      </c>
      <c r="B1346" t="s">
        <v>2144</v>
      </c>
      <c r="C1346" t="s">
        <v>2139</v>
      </c>
      <c r="D1346" t="s">
        <v>2140</v>
      </c>
      <c r="E1346" t="s">
        <v>2111</v>
      </c>
      <c r="F1346" t="s">
        <v>2112</v>
      </c>
      <c r="G1346" t="s">
        <v>33</v>
      </c>
      <c r="H1346" t="s">
        <v>252</v>
      </c>
      <c r="I1346" t="s">
        <v>193</v>
      </c>
      <c r="J1346" t="s">
        <v>194</v>
      </c>
      <c r="K1346">
        <v>1</v>
      </c>
      <c r="M1346">
        <v>1</v>
      </c>
      <c r="N1346">
        <v>1</v>
      </c>
    </row>
    <row r="1347" spans="1:14" x14ac:dyDescent="0.45">
      <c r="A1347" t="s">
        <v>2147</v>
      </c>
      <c r="B1347" t="s">
        <v>2148</v>
      </c>
      <c r="C1347" t="s">
        <v>2139</v>
      </c>
      <c r="D1347" t="s">
        <v>2140</v>
      </c>
      <c r="E1347" t="s">
        <v>2111</v>
      </c>
      <c r="F1347" t="s">
        <v>2112</v>
      </c>
      <c r="G1347" t="s">
        <v>33</v>
      </c>
      <c r="H1347" t="s">
        <v>252</v>
      </c>
      <c r="I1347" t="s">
        <v>193</v>
      </c>
      <c r="J1347" t="s">
        <v>194</v>
      </c>
      <c r="K1347">
        <v>1</v>
      </c>
      <c r="M1347">
        <v>1</v>
      </c>
      <c r="N1347">
        <v>1</v>
      </c>
    </row>
    <row r="1348" spans="1:14" x14ac:dyDescent="0.45">
      <c r="A1348" t="s">
        <v>2155</v>
      </c>
      <c r="B1348" t="s">
        <v>2156</v>
      </c>
      <c r="C1348" t="s">
        <v>2153</v>
      </c>
      <c r="D1348" t="s">
        <v>2154</v>
      </c>
      <c r="E1348" t="s">
        <v>2111</v>
      </c>
      <c r="F1348" t="s">
        <v>2112</v>
      </c>
      <c r="G1348" t="s">
        <v>33</v>
      </c>
      <c r="H1348" t="s">
        <v>252</v>
      </c>
      <c r="I1348" t="s">
        <v>193</v>
      </c>
      <c r="J1348" t="s">
        <v>194</v>
      </c>
      <c r="K1348">
        <v>1</v>
      </c>
      <c r="M1348">
        <v>1</v>
      </c>
      <c r="N1348">
        <v>1</v>
      </c>
    </row>
    <row r="1349" spans="1:14" x14ac:dyDescent="0.45">
      <c r="A1349" t="s">
        <v>2157</v>
      </c>
      <c r="B1349" t="s">
        <v>2158</v>
      </c>
      <c r="C1349" t="s">
        <v>2153</v>
      </c>
      <c r="D1349" t="s">
        <v>2154</v>
      </c>
      <c r="E1349" t="s">
        <v>2111</v>
      </c>
      <c r="F1349" t="s">
        <v>2112</v>
      </c>
      <c r="G1349" t="s">
        <v>33</v>
      </c>
      <c r="H1349" t="s">
        <v>252</v>
      </c>
      <c r="I1349" t="s">
        <v>193</v>
      </c>
      <c r="J1349" t="s">
        <v>194</v>
      </c>
      <c r="K1349">
        <v>1</v>
      </c>
      <c r="M1349">
        <v>1</v>
      </c>
      <c r="N1349">
        <v>1</v>
      </c>
    </row>
    <row r="1350" spans="1:14" x14ac:dyDescent="0.45">
      <c r="A1350" t="s">
        <v>2159</v>
      </c>
      <c r="B1350" t="s">
        <v>2160</v>
      </c>
      <c r="C1350" t="s">
        <v>2153</v>
      </c>
      <c r="D1350" t="s">
        <v>2154</v>
      </c>
      <c r="E1350" t="s">
        <v>2111</v>
      </c>
      <c r="F1350" t="s">
        <v>2112</v>
      </c>
      <c r="G1350" t="s">
        <v>33</v>
      </c>
      <c r="H1350" t="s">
        <v>252</v>
      </c>
      <c r="I1350" t="s">
        <v>193</v>
      </c>
      <c r="J1350" t="s">
        <v>194</v>
      </c>
      <c r="K1350">
        <v>1</v>
      </c>
      <c r="M1350">
        <v>1</v>
      </c>
      <c r="N1350">
        <v>1</v>
      </c>
    </row>
    <row r="1351" spans="1:14" x14ac:dyDescent="0.45">
      <c r="A1351" t="s">
        <v>2420</v>
      </c>
      <c r="B1351" t="s">
        <v>2421</v>
      </c>
      <c r="C1351" t="s">
        <v>2399</v>
      </c>
      <c r="D1351" t="s">
        <v>2400</v>
      </c>
      <c r="E1351" t="s">
        <v>288</v>
      </c>
      <c r="F1351" t="s">
        <v>289</v>
      </c>
      <c r="G1351" t="s">
        <v>33</v>
      </c>
      <c r="H1351" t="s">
        <v>252</v>
      </c>
      <c r="I1351" t="s">
        <v>193</v>
      </c>
      <c r="J1351" t="s">
        <v>194</v>
      </c>
      <c r="K1351">
        <v>1</v>
      </c>
      <c r="M1351">
        <v>1</v>
      </c>
      <c r="N1351">
        <v>1</v>
      </c>
    </row>
    <row r="1352" spans="1:14" x14ac:dyDescent="0.45">
      <c r="A1352" t="s">
        <v>1163</v>
      </c>
      <c r="B1352" t="s">
        <v>3148</v>
      </c>
      <c r="C1352" t="s">
        <v>3136</v>
      </c>
      <c r="D1352" t="s">
        <v>3137</v>
      </c>
      <c r="E1352" t="s">
        <v>316</v>
      </c>
      <c r="F1352" t="s">
        <v>317</v>
      </c>
      <c r="G1352" t="s">
        <v>33</v>
      </c>
      <c r="H1352" t="s">
        <v>252</v>
      </c>
      <c r="I1352" t="s">
        <v>193</v>
      </c>
      <c r="J1352" t="s">
        <v>194</v>
      </c>
      <c r="K1352">
        <v>1</v>
      </c>
      <c r="M1352">
        <v>1</v>
      </c>
      <c r="N1352">
        <v>1</v>
      </c>
    </row>
    <row r="1353" spans="1:14" x14ac:dyDescent="0.45">
      <c r="A1353" t="s">
        <v>3244</v>
      </c>
      <c r="B1353" t="s">
        <v>3245</v>
      </c>
      <c r="C1353" t="s">
        <v>3242</v>
      </c>
      <c r="D1353" t="s">
        <v>3243</v>
      </c>
      <c r="E1353" t="s">
        <v>324</v>
      </c>
      <c r="F1353" t="s">
        <v>325</v>
      </c>
      <c r="G1353" t="s">
        <v>33</v>
      </c>
      <c r="H1353" t="s">
        <v>252</v>
      </c>
      <c r="I1353" t="s">
        <v>193</v>
      </c>
      <c r="J1353" t="s">
        <v>194</v>
      </c>
      <c r="K1353">
        <v>1</v>
      </c>
      <c r="M1353">
        <v>1</v>
      </c>
      <c r="N1353">
        <v>1</v>
      </c>
    </row>
    <row r="1354" spans="1:14" x14ac:dyDescent="0.45">
      <c r="A1354" t="s">
        <v>3246</v>
      </c>
      <c r="B1354" t="s">
        <v>3247</v>
      </c>
      <c r="C1354" t="s">
        <v>3242</v>
      </c>
      <c r="D1354" t="s">
        <v>3243</v>
      </c>
      <c r="E1354" t="s">
        <v>324</v>
      </c>
      <c r="F1354" t="s">
        <v>325</v>
      </c>
      <c r="G1354" t="s">
        <v>33</v>
      </c>
      <c r="H1354" t="s">
        <v>252</v>
      </c>
      <c r="I1354" t="s">
        <v>193</v>
      </c>
      <c r="J1354" t="s">
        <v>194</v>
      </c>
      <c r="K1354">
        <v>1</v>
      </c>
      <c r="M1354">
        <v>1</v>
      </c>
      <c r="N1354">
        <v>1</v>
      </c>
    </row>
    <row r="1355" spans="1:14" x14ac:dyDescent="0.45">
      <c r="A1355" t="s">
        <v>3248</v>
      </c>
      <c r="B1355" t="s">
        <v>3249</v>
      </c>
      <c r="C1355" t="s">
        <v>3242</v>
      </c>
      <c r="D1355" t="s">
        <v>3243</v>
      </c>
      <c r="E1355" t="s">
        <v>324</v>
      </c>
      <c r="F1355" t="s">
        <v>325</v>
      </c>
      <c r="G1355" t="s">
        <v>33</v>
      </c>
      <c r="H1355" t="s">
        <v>252</v>
      </c>
      <c r="I1355" t="s">
        <v>193</v>
      </c>
      <c r="J1355" t="s">
        <v>194</v>
      </c>
      <c r="K1355">
        <v>1</v>
      </c>
      <c r="M1355">
        <v>1</v>
      </c>
      <c r="N1355">
        <v>1</v>
      </c>
    </row>
    <row r="1356" spans="1:14" x14ac:dyDescent="0.45">
      <c r="A1356" t="s">
        <v>3250</v>
      </c>
      <c r="B1356" t="s">
        <v>3251</v>
      </c>
      <c r="C1356" t="s">
        <v>3242</v>
      </c>
      <c r="D1356" t="s">
        <v>3243</v>
      </c>
      <c r="E1356" t="s">
        <v>324</v>
      </c>
      <c r="F1356" t="s">
        <v>325</v>
      </c>
      <c r="G1356" t="s">
        <v>33</v>
      </c>
      <c r="H1356" t="s">
        <v>252</v>
      </c>
      <c r="I1356" t="s">
        <v>193</v>
      </c>
      <c r="J1356" t="s">
        <v>194</v>
      </c>
      <c r="K1356">
        <v>1</v>
      </c>
      <c r="M1356">
        <v>1</v>
      </c>
      <c r="N1356">
        <v>1</v>
      </c>
    </row>
    <row r="1357" spans="1:14" x14ac:dyDescent="0.45">
      <c r="A1357" t="s">
        <v>3252</v>
      </c>
      <c r="B1357" t="s">
        <v>3253</v>
      </c>
      <c r="C1357" t="s">
        <v>3242</v>
      </c>
      <c r="D1357" t="s">
        <v>3243</v>
      </c>
      <c r="E1357" t="s">
        <v>324</v>
      </c>
      <c r="F1357" t="s">
        <v>325</v>
      </c>
      <c r="G1357" t="s">
        <v>33</v>
      </c>
      <c r="H1357" t="s">
        <v>252</v>
      </c>
      <c r="I1357" t="s">
        <v>193</v>
      </c>
      <c r="J1357" t="s">
        <v>194</v>
      </c>
      <c r="K1357">
        <v>1</v>
      </c>
      <c r="M1357">
        <v>1</v>
      </c>
      <c r="N1357">
        <v>1</v>
      </c>
    </row>
    <row r="1358" spans="1:14" x14ac:dyDescent="0.45">
      <c r="A1358" t="s">
        <v>1263</v>
      </c>
      <c r="B1358" t="s">
        <v>3254</v>
      </c>
      <c r="C1358" t="s">
        <v>3242</v>
      </c>
      <c r="D1358" t="s">
        <v>3243</v>
      </c>
      <c r="E1358" t="s">
        <v>324</v>
      </c>
      <c r="F1358" t="s">
        <v>325</v>
      </c>
      <c r="G1358" t="s">
        <v>33</v>
      </c>
      <c r="H1358" t="s">
        <v>252</v>
      </c>
      <c r="I1358" t="s">
        <v>193</v>
      </c>
      <c r="J1358" t="s">
        <v>194</v>
      </c>
      <c r="K1358">
        <v>1</v>
      </c>
      <c r="M1358">
        <v>1</v>
      </c>
      <c r="N1358">
        <v>1</v>
      </c>
    </row>
    <row r="1359" spans="1:14" x14ac:dyDescent="0.45">
      <c r="A1359" t="s">
        <v>1006</v>
      </c>
      <c r="B1359" t="s">
        <v>3255</v>
      </c>
      <c r="C1359" t="s">
        <v>3242</v>
      </c>
      <c r="D1359" t="s">
        <v>3243</v>
      </c>
      <c r="E1359" t="s">
        <v>324</v>
      </c>
      <c r="F1359" t="s">
        <v>325</v>
      </c>
      <c r="G1359" t="s">
        <v>33</v>
      </c>
      <c r="H1359" t="s">
        <v>252</v>
      </c>
      <c r="I1359" t="s">
        <v>193</v>
      </c>
      <c r="J1359" t="s">
        <v>194</v>
      </c>
      <c r="K1359">
        <v>1</v>
      </c>
      <c r="M1359">
        <v>1</v>
      </c>
      <c r="N1359">
        <v>1</v>
      </c>
    </row>
    <row r="1360" spans="1:14" x14ac:dyDescent="0.45">
      <c r="A1360" t="s">
        <v>3256</v>
      </c>
      <c r="B1360" t="s">
        <v>3257</v>
      </c>
      <c r="C1360" t="s">
        <v>3242</v>
      </c>
      <c r="D1360" t="s">
        <v>3243</v>
      </c>
      <c r="E1360" t="s">
        <v>324</v>
      </c>
      <c r="F1360" t="s">
        <v>325</v>
      </c>
      <c r="G1360" t="s">
        <v>33</v>
      </c>
      <c r="H1360" t="s">
        <v>252</v>
      </c>
      <c r="I1360" t="s">
        <v>193</v>
      </c>
      <c r="J1360" t="s">
        <v>194</v>
      </c>
      <c r="K1360">
        <v>1</v>
      </c>
      <c r="M1360">
        <v>1</v>
      </c>
      <c r="N1360">
        <v>1</v>
      </c>
    </row>
    <row r="1361" spans="1:14" x14ac:dyDescent="0.45">
      <c r="A1361" t="s">
        <v>1662</v>
      </c>
      <c r="B1361" t="s">
        <v>3264</v>
      </c>
      <c r="C1361" t="s">
        <v>3242</v>
      </c>
      <c r="D1361" t="s">
        <v>3243</v>
      </c>
      <c r="E1361" t="s">
        <v>324</v>
      </c>
      <c r="F1361" t="s">
        <v>325</v>
      </c>
      <c r="G1361" t="s">
        <v>33</v>
      </c>
      <c r="H1361" t="s">
        <v>252</v>
      </c>
      <c r="I1361" t="s">
        <v>193</v>
      </c>
      <c r="J1361" t="s">
        <v>194</v>
      </c>
      <c r="K1361">
        <v>1</v>
      </c>
      <c r="M1361">
        <v>1</v>
      </c>
      <c r="N1361">
        <v>1</v>
      </c>
    </row>
    <row r="1362" spans="1:14" x14ac:dyDescent="0.45">
      <c r="A1362" t="s">
        <v>3272</v>
      </c>
      <c r="B1362" t="s">
        <v>3273</v>
      </c>
      <c r="C1362" t="s">
        <v>3270</v>
      </c>
      <c r="D1362" t="s">
        <v>3271</v>
      </c>
      <c r="E1362" t="s">
        <v>324</v>
      </c>
      <c r="F1362" t="s">
        <v>325</v>
      </c>
      <c r="G1362" t="s">
        <v>33</v>
      </c>
      <c r="H1362" t="s">
        <v>252</v>
      </c>
      <c r="I1362" t="s">
        <v>193</v>
      </c>
      <c r="J1362" t="s">
        <v>194</v>
      </c>
      <c r="K1362">
        <v>1</v>
      </c>
      <c r="M1362">
        <v>1</v>
      </c>
      <c r="N1362">
        <v>1</v>
      </c>
    </row>
    <row r="1363" spans="1:14" x14ac:dyDescent="0.45">
      <c r="A1363" t="s">
        <v>3284</v>
      </c>
      <c r="B1363" t="s">
        <v>3285</v>
      </c>
      <c r="C1363" t="s">
        <v>3270</v>
      </c>
      <c r="D1363" t="s">
        <v>3271</v>
      </c>
      <c r="E1363" t="s">
        <v>324</v>
      </c>
      <c r="F1363" t="s">
        <v>325</v>
      </c>
      <c r="G1363" t="s">
        <v>33</v>
      </c>
      <c r="H1363" t="s">
        <v>252</v>
      </c>
      <c r="I1363" t="s">
        <v>193</v>
      </c>
      <c r="J1363" t="s">
        <v>194</v>
      </c>
      <c r="K1363">
        <v>1</v>
      </c>
      <c r="M1363">
        <v>1</v>
      </c>
      <c r="N1363">
        <v>1</v>
      </c>
    </row>
    <row r="1364" spans="1:14" x14ac:dyDescent="0.45">
      <c r="A1364" t="s">
        <v>3296</v>
      </c>
      <c r="B1364" t="s">
        <v>3297</v>
      </c>
      <c r="C1364" t="s">
        <v>3287</v>
      </c>
      <c r="D1364" t="s">
        <v>3288</v>
      </c>
      <c r="E1364" t="s">
        <v>324</v>
      </c>
      <c r="F1364" t="s">
        <v>325</v>
      </c>
      <c r="G1364" t="s">
        <v>33</v>
      </c>
      <c r="H1364" t="s">
        <v>252</v>
      </c>
      <c r="I1364" t="s">
        <v>193</v>
      </c>
      <c r="J1364" t="s">
        <v>194</v>
      </c>
      <c r="K1364">
        <v>1</v>
      </c>
      <c r="M1364">
        <v>1</v>
      </c>
      <c r="N1364">
        <v>1</v>
      </c>
    </row>
    <row r="1365" spans="1:14" x14ac:dyDescent="0.45">
      <c r="A1365" t="s">
        <v>3303</v>
      </c>
      <c r="B1365" t="s">
        <v>3304</v>
      </c>
      <c r="C1365" t="s">
        <v>3287</v>
      </c>
      <c r="D1365" t="s">
        <v>3288</v>
      </c>
      <c r="E1365" t="s">
        <v>324</v>
      </c>
      <c r="F1365" t="s">
        <v>325</v>
      </c>
      <c r="G1365" t="s">
        <v>33</v>
      </c>
      <c r="H1365" t="s">
        <v>252</v>
      </c>
      <c r="I1365" t="s">
        <v>193</v>
      </c>
      <c r="J1365" t="s">
        <v>194</v>
      </c>
      <c r="K1365">
        <v>1</v>
      </c>
      <c r="M1365">
        <v>1</v>
      </c>
      <c r="N1365">
        <v>1</v>
      </c>
    </row>
    <row r="1366" spans="1:14" x14ac:dyDescent="0.45">
      <c r="A1366" t="s">
        <v>1200</v>
      </c>
      <c r="B1366" t="s">
        <v>1201</v>
      </c>
      <c r="C1366" t="s">
        <v>1196</v>
      </c>
      <c r="D1366" t="s">
        <v>1197</v>
      </c>
      <c r="E1366" t="s">
        <v>258</v>
      </c>
      <c r="F1366" t="s">
        <v>259</v>
      </c>
      <c r="G1366" t="s">
        <v>33</v>
      </c>
      <c r="H1366" t="s">
        <v>254</v>
      </c>
      <c r="I1366" t="s">
        <v>196</v>
      </c>
      <c r="J1366" t="s">
        <v>197</v>
      </c>
      <c r="K1366">
        <v>1</v>
      </c>
      <c r="M1366">
        <v>1</v>
      </c>
      <c r="N1366">
        <v>1</v>
      </c>
    </row>
    <row r="1367" spans="1:14" x14ac:dyDescent="0.45">
      <c r="A1367" t="s">
        <v>1208</v>
      </c>
      <c r="B1367" t="s">
        <v>1209</v>
      </c>
      <c r="C1367" t="s">
        <v>1196</v>
      </c>
      <c r="D1367" t="s">
        <v>1197</v>
      </c>
      <c r="E1367" t="s">
        <v>258</v>
      </c>
      <c r="F1367" t="s">
        <v>259</v>
      </c>
      <c r="G1367" t="s">
        <v>33</v>
      </c>
      <c r="H1367" t="s">
        <v>254</v>
      </c>
      <c r="I1367" t="s">
        <v>196</v>
      </c>
      <c r="J1367" t="s">
        <v>197</v>
      </c>
      <c r="K1367">
        <v>1</v>
      </c>
      <c r="M1367">
        <v>1</v>
      </c>
      <c r="N1367">
        <v>1</v>
      </c>
    </row>
    <row r="1368" spans="1:14" x14ac:dyDescent="0.45">
      <c r="A1368" t="s">
        <v>1212</v>
      </c>
      <c r="B1368" t="s">
        <v>1213</v>
      </c>
      <c r="C1368" t="s">
        <v>1214</v>
      </c>
      <c r="D1368" t="s">
        <v>1215</v>
      </c>
      <c r="E1368" t="s">
        <v>258</v>
      </c>
      <c r="F1368" t="s">
        <v>259</v>
      </c>
      <c r="G1368" t="s">
        <v>33</v>
      </c>
      <c r="H1368" t="s">
        <v>254</v>
      </c>
      <c r="I1368" t="s">
        <v>196</v>
      </c>
      <c r="J1368" t="s">
        <v>197</v>
      </c>
      <c r="K1368">
        <v>1</v>
      </c>
      <c r="M1368">
        <v>1</v>
      </c>
      <c r="N1368">
        <v>1</v>
      </c>
    </row>
    <row r="1369" spans="1:14" x14ac:dyDescent="0.45">
      <c r="A1369" t="s">
        <v>1218</v>
      </c>
      <c r="B1369" t="s">
        <v>1219</v>
      </c>
      <c r="C1369" t="s">
        <v>1214</v>
      </c>
      <c r="D1369" t="s">
        <v>1215</v>
      </c>
      <c r="E1369" t="s">
        <v>258</v>
      </c>
      <c r="F1369" t="s">
        <v>259</v>
      </c>
      <c r="G1369" t="s">
        <v>33</v>
      </c>
      <c r="H1369" t="s">
        <v>254</v>
      </c>
      <c r="I1369" t="s">
        <v>196</v>
      </c>
      <c r="J1369" t="s">
        <v>197</v>
      </c>
      <c r="K1369">
        <v>1</v>
      </c>
      <c r="M1369">
        <v>1</v>
      </c>
      <c r="N1369">
        <v>1</v>
      </c>
    </row>
    <row r="1370" spans="1:14" x14ac:dyDescent="0.45">
      <c r="A1370" t="s">
        <v>1220</v>
      </c>
      <c r="B1370" t="s">
        <v>1221</v>
      </c>
      <c r="C1370" t="s">
        <v>1214</v>
      </c>
      <c r="D1370" t="s">
        <v>1215</v>
      </c>
      <c r="E1370" t="s">
        <v>258</v>
      </c>
      <c r="F1370" t="s">
        <v>259</v>
      </c>
      <c r="G1370" t="s">
        <v>33</v>
      </c>
      <c r="H1370" t="s">
        <v>254</v>
      </c>
      <c r="I1370" t="s">
        <v>196</v>
      </c>
      <c r="J1370" t="s">
        <v>197</v>
      </c>
      <c r="K1370">
        <v>1</v>
      </c>
      <c r="M1370">
        <v>1</v>
      </c>
      <c r="N1370">
        <v>1</v>
      </c>
    </row>
    <row r="1371" spans="1:14" x14ac:dyDescent="0.45">
      <c r="A1371" t="s">
        <v>868</v>
      </c>
      <c r="B1371" t="s">
        <v>1222</v>
      </c>
      <c r="C1371" t="s">
        <v>1214</v>
      </c>
      <c r="D1371" t="s">
        <v>1215</v>
      </c>
      <c r="E1371" t="s">
        <v>258</v>
      </c>
      <c r="F1371" t="s">
        <v>259</v>
      </c>
      <c r="G1371" t="s">
        <v>33</v>
      </c>
      <c r="H1371" t="s">
        <v>254</v>
      </c>
      <c r="I1371" t="s">
        <v>196</v>
      </c>
      <c r="J1371" t="s">
        <v>197</v>
      </c>
      <c r="K1371">
        <v>1</v>
      </c>
      <c r="M1371">
        <v>1</v>
      </c>
      <c r="N1371">
        <v>1</v>
      </c>
    </row>
    <row r="1372" spans="1:14" x14ac:dyDescent="0.45">
      <c r="A1372" t="s">
        <v>258</v>
      </c>
      <c r="B1372" t="s">
        <v>1234</v>
      </c>
      <c r="C1372" t="s">
        <v>1232</v>
      </c>
      <c r="D1372" t="s">
        <v>1233</v>
      </c>
      <c r="E1372" t="s">
        <v>258</v>
      </c>
      <c r="F1372" t="s">
        <v>259</v>
      </c>
      <c r="G1372" t="s">
        <v>33</v>
      </c>
      <c r="H1372" t="s">
        <v>254</v>
      </c>
      <c r="I1372" t="s">
        <v>196</v>
      </c>
      <c r="J1372" t="s">
        <v>197</v>
      </c>
      <c r="K1372">
        <v>1</v>
      </c>
      <c r="M1372">
        <v>1</v>
      </c>
      <c r="N1372">
        <v>1</v>
      </c>
    </row>
    <row r="1373" spans="1:14" x14ac:dyDescent="0.45">
      <c r="A1373" t="s">
        <v>1237</v>
      </c>
      <c r="B1373" t="s">
        <v>1238</v>
      </c>
      <c r="C1373" t="s">
        <v>1232</v>
      </c>
      <c r="D1373" t="s">
        <v>1233</v>
      </c>
      <c r="E1373" t="s">
        <v>258</v>
      </c>
      <c r="F1373" t="s">
        <v>259</v>
      </c>
      <c r="G1373" t="s">
        <v>33</v>
      </c>
      <c r="H1373" t="s">
        <v>254</v>
      </c>
      <c r="I1373" t="s">
        <v>196</v>
      </c>
      <c r="J1373" t="s">
        <v>197</v>
      </c>
      <c r="K1373">
        <v>1</v>
      </c>
      <c r="M1373">
        <v>1</v>
      </c>
      <c r="N1373">
        <v>1</v>
      </c>
    </row>
    <row r="1374" spans="1:14" x14ac:dyDescent="0.45">
      <c r="A1374" t="s">
        <v>1239</v>
      </c>
      <c r="B1374" t="s">
        <v>1240</v>
      </c>
      <c r="C1374" t="s">
        <v>1232</v>
      </c>
      <c r="D1374" t="s">
        <v>1233</v>
      </c>
      <c r="E1374" t="s">
        <v>258</v>
      </c>
      <c r="F1374" t="s">
        <v>259</v>
      </c>
      <c r="G1374" t="s">
        <v>33</v>
      </c>
      <c r="H1374" t="s">
        <v>254</v>
      </c>
      <c r="I1374" t="s">
        <v>196</v>
      </c>
      <c r="J1374" t="s">
        <v>197</v>
      </c>
      <c r="K1374">
        <v>1</v>
      </c>
      <c r="M1374">
        <v>1</v>
      </c>
      <c r="N1374">
        <v>1</v>
      </c>
    </row>
    <row r="1375" spans="1:14" x14ac:dyDescent="0.45">
      <c r="A1375" t="s">
        <v>1241</v>
      </c>
      <c r="B1375" t="s">
        <v>1242</v>
      </c>
      <c r="C1375" t="s">
        <v>1232</v>
      </c>
      <c r="D1375" t="s">
        <v>1233</v>
      </c>
      <c r="E1375" t="s">
        <v>258</v>
      </c>
      <c r="F1375" t="s">
        <v>259</v>
      </c>
      <c r="G1375" t="s">
        <v>33</v>
      </c>
      <c r="H1375" t="s">
        <v>254</v>
      </c>
      <c r="I1375" t="s">
        <v>196</v>
      </c>
      <c r="J1375" t="s">
        <v>197</v>
      </c>
      <c r="K1375">
        <v>1</v>
      </c>
      <c r="M1375">
        <v>1</v>
      </c>
      <c r="N1375">
        <v>1</v>
      </c>
    </row>
    <row r="1376" spans="1:14" x14ac:dyDescent="0.45">
      <c r="A1376" t="s">
        <v>1290</v>
      </c>
      <c r="B1376" t="s">
        <v>1291</v>
      </c>
      <c r="C1376" t="s">
        <v>1292</v>
      </c>
      <c r="D1376" t="s">
        <v>1293</v>
      </c>
      <c r="E1376" t="s">
        <v>258</v>
      </c>
      <c r="F1376" t="s">
        <v>259</v>
      </c>
      <c r="G1376" t="s">
        <v>33</v>
      </c>
      <c r="H1376" t="s">
        <v>254</v>
      </c>
      <c r="I1376" t="s">
        <v>196</v>
      </c>
      <c r="J1376" t="s">
        <v>197</v>
      </c>
      <c r="K1376">
        <v>1</v>
      </c>
      <c r="M1376">
        <v>1</v>
      </c>
      <c r="N1376">
        <v>1</v>
      </c>
    </row>
    <row r="1377" spans="1:14" x14ac:dyDescent="0.45">
      <c r="A1377" t="s">
        <v>1303</v>
      </c>
      <c r="B1377" t="s">
        <v>1304</v>
      </c>
      <c r="C1377" t="s">
        <v>1292</v>
      </c>
      <c r="D1377" t="s">
        <v>1293</v>
      </c>
      <c r="E1377" t="s">
        <v>258</v>
      </c>
      <c r="F1377" t="s">
        <v>259</v>
      </c>
      <c r="G1377" t="s">
        <v>33</v>
      </c>
      <c r="H1377" t="s">
        <v>254</v>
      </c>
      <c r="I1377" t="s">
        <v>196</v>
      </c>
      <c r="J1377" t="s">
        <v>197</v>
      </c>
      <c r="K1377">
        <v>1</v>
      </c>
      <c r="M1377">
        <v>1</v>
      </c>
      <c r="N1377">
        <v>1</v>
      </c>
    </row>
    <row r="1378" spans="1:14" x14ac:dyDescent="0.45">
      <c r="A1378" t="s">
        <v>341</v>
      </c>
      <c r="B1378" t="s">
        <v>1609</v>
      </c>
      <c r="C1378" t="s">
        <v>1596</v>
      </c>
      <c r="D1378" t="s">
        <v>1597</v>
      </c>
      <c r="E1378" t="s">
        <v>268</v>
      </c>
      <c r="F1378" t="s">
        <v>269</v>
      </c>
      <c r="G1378" t="s">
        <v>33</v>
      </c>
      <c r="H1378" t="s">
        <v>254</v>
      </c>
      <c r="I1378" t="s">
        <v>196</v>
      </c>
      <c r="J1378" t="s">
        <v>197</v>
      </c>
      <c r="K1378">
        <v>1</v>
      </c>
      <c r="M1378">
        <v>1</v>
      </c>
      <c r="N1378">
        <v>1</v>
      </c>
    </row>
    <row r="1379" spans="1:14" x14ac:dyDescent="0.45">
      <c r="A1379" t="s">
        <v>1667</v>
      </c>
      <c r="B1379" t="s">
        <v>1668</v>
      </c>
      <c r="C1379" t="s">
        <v>1669</v>
      </c>
      <c r="D1379" t="s">
        <v>1670</v>
      </c>
      <c r="E1379" t="s">
        <v>268</v>
      </c>
      <c r="F1379" t="s">
        <v>269</v>
      </c>
      <c r="G1379" t="s">
        <v>33</v>
      </c>
      <c r="H1379" t="s">
        <v>254</v>
      </c>
      <c r="I1379" t="s">
        <v>196</v>
      </c>
      <c r="J1379" t="s">
        <v>197</v>
      </c>
      <c r="K1379">
        <v>1</v>
      </c>
      <c r="M1379">
        <v>1</v>
      </c>
      <c r="N1379">
        <v>1</v>
      </c>
    </row>
    <row r="1380" spans="1:14" x14ac:dyDescent="0.45">
      <c r="A1380" t="s">
        <v>1679</v>
      </c>
      <c r="B1380" t="s">
        <v>1680</v>
      </c>
      <c r="C1380" t="s">
        <v>1669</v>
      </c>
      <c r="D1380" t="s">
        <v>1670</v>
      </c>
      <c r="E1380" t="s">
        <v>268</v>
      </c>
      <c r="F1380" t="s">
        <v>269</v>
      </c>
      <c r="G1380" t="s">
        <v>33</v>
      </c>
      <c r="H1380" t="s">
        <v>254</v>
      </c>
      <c r="I1380" t="s">
        <v>196</v>
      </c>
      <c r="J1380" t="s">
        <v>197</v>
      </c>
      <c r="K1380">
        <v>1</v>
      </c>
      <c r="M1380">
        <v>1</v>
      </c>
      <c r="N1380">
        <v>1</v>
      </c>
    </row>
    <row r="1381" spans="1:14" x14ac:dyDescent="0.45">
      <c r="A1381" t="s">
        <v>1683</v>
      </c>
      <c r="B1381" t="s">
        <v>1684</v>
      </c>
      <c r="C1381" t="s">
        <v>1669</v>
      </c>
      <c r="D1381" t="s">
        <v>1670</v>
      </c>
      <c r="E1381" t="s">
        <v>268</v>
      </c>
      <c r="F1381" t="s">
        <v>269</v>
      </c>
      <c r="G1381" t="s">
        <v>33</v>
      </c>
      <c r="H1381" t="s">
        <v>254</v>
      </c>
      <c r="I1381" t="s">
        <v>196</v>
      </c>
      <c r="J1381" t="s">
        <v>197</v>
      </c>
      <c r="K1381">
        <v>1</v>
      </c>
      <c r="M1381">
        <v>1</v>
      </c>
      <c r="N1381">
        <v>1</v>
      </c>
    </row>
    <row r="1382" spans="1:14" x14ac:dyDescent="0.45">
      <c r="A1382" t="s">
        <v>1686</v>
      </c>
      <c r="B1382" t="s">
        <v>1687</v>
      </c>
      <c r="C1382" t="s">
        <v>1669</v>
      </c>
      <c r="D1382" t="s">
        <v>1670</v>
      </c>
      <c r="E1382" t="s">
        <v>268</v>
      </c>
      <c r="F1382" t="s">
        <v>269</v>
      </c>
      <c r="G1382" t="s">
        <v>33</v>
      </c>
      <c r="H1382" t="s">
        <v>254</v>
      </c>
      <c r="I1382" t="s">
        <v>196</v>
      </c>
      <c r="J1382" t="s">
        <v>197</v>
      </c>
      <c r="K1382">
        <v>1</v>
      </c>
      <c r="M1382">
        <v>1</v>
      </c>
      <c r="N1382">
        <v>1</v>
      </c>
    </row>
    <row r="1383" spans="1:14" x14ac:dyDescent="0.45">
      <c r="A1383" t="s">
        <v>1691</v>
      </c>
      <c r="B1383" t="s">
        <v>1692</v>
      </c>
      <c r="C1383" t="s">
        <v>1669</v>
      </c>
      <c r="D1383" t="s">
        <v>1670</v>
      </c>
      <c r="E1383" t="s">
        <v>268</v>
      </c>
      <c r="F1383" t="s">
        <v>269</v>
      </c>
      <c r="G1383" t="s">
        <v>33</v>
      </c>
      <c r="H1383" t="s">
        <v>254</v>
      </c>
      <c r="I1383" t="s">
        <v>196</v>
      </c>
      <c r="J1383" t="s">
        <v>197</v>
      </c>
      <c r="K1383">
        <v>1</v>
      </c>
      <c r="M1383">
        <v>1</v>
      </c>
      <c r="N1383">
        <v>1</v>
      </c>
    </row>
    <row r="1384" spans="1:14" x14ac:dyDescent="0.45">
      <c r="A1384" t="s">
        <v>1693</v>
      </c>
      <c r="B1384" t="s">
        <v>1694</v>
      </c>
      <c r="C1384" t="s">
        <v>1669</v>
      </c>
      <c r="D1384" t="s">
        <v>1670</v>
      </c>
      <c r="E1384" t="s">
        <v>268</v>
      </c>
      <c r="F1384" t="s">
        <v>269</v>
      </c>
      <c r="G1384" t="s">
        <v>33</v>
      </c>
      <c r="H1384" t="s">
        <v>254</v>
      </c>
      <c r="I1384" t="s">
        <v>196</v>
      </c>
      <c r="J1384" t="s">
        <v>197</v>
      </c>
      <c r="K1384">
        <v>1</v>
      </c>
      <c r="M1384">
        <v>1</v>
      </c>
      <c r="N1384">
        <v>1</v>
      </c>
    </row>
    <row r="1385" spans="1:14" x14ac:dyDescent="0.45">
      <c r="A1385" t="s">
        <v>1697</v>
      </c>
      <c r="B1385" t="s">
        <v>1698</v>
      </c>
      <c r="C1385" t="s">
        <v>1699</v>
      </c>
      <c r="D1385" t="s">
        <v>1700</v>
      </c>
      <c r="E1385" t="s">
        <v>268</v>
      </c>
      <c r="F1385" t="s">
        <v>269</v>
      </c>
      <c r="G1385" t="s">
        <v>33</v>
      </c>
      <c r="H1385" t="s">
        <v>254</v>
      </c>
      <c r="I1385" t="s">
        <v>196</v>
      </c>
      <c r="J1385" t="s">
        <v>197</v>
      </c>
      <c r="K1385">
        <v>1</v>
      </c>
      <c r="M1385">
        <v>1</v>
      </c>
      <c r="N1385">
        <v>1</v>
      </c>
    </row>
    <row r="1386" spans="1:14" x14ac:dyDescent="0.45">
      <c r="A1386" t="s">
        <v>1707</v>
      </c>
      <c r="B1386" t="s">
        <v>1708</v>
      </c>
      <c r="C1386" t="s">
        <v>1699</v>
      </c>
      <c r="D1386" t="s">
        <v>1700</v>
      </c>
      <c r="E1386" t="s">
        <v>268</v>
      </c>
      <c r="F1386" t="s">
        <v>269</v>
      </c>
      <c r="G1386" t="s">
        <v>33</v>
      </c>
      <c r="H1386" t="s">
        <v>254</v>
      </c>
      <c r="I1386" t="s">
        <v>196</v>
      </c>
      <c r="J1386" t="s">
        <v>197</v>
      </c>
      <c r="K1386">
        <v>1</v>
      </c>
      <c r="M1386">
        <v>1</v>
      </c>
      <c r="N1386">
        <v>1</v>
      </c>
    </row>
    <row r="1387" spans="1:14" x14ac:dyDescent="0.45">
      <c r="A1387" t="s">
        <v>1713</v>
      </c>
      <c r="B1387" t="s">
        <v>1714</v>
      </c>
      <c r="C1387" t="s">
        <v>1699</v>
      </c>
      <c r="D1387" t="s">
        <v>1700</v>
      </c>
      <c r="E1387" t="s">
        <v>268</v>
      </c>
      <c r="F1387" t="s">
        <v>269</v>
      </c>
      <c r="G1387" t="s">
        <v>33</v>
      </c>
      <c r="H1387" t="s">
        <v>254</v>
      </c>
      <c r="I1387" t="s">
        <v>196</v>
      </c>
      <c r="J1387" t="s">
        <v>197</v>
      </c>
      <c r="K1387">
        <v>1</v>
      </c>
      <c r="M1387">
        <v>1</v>
      </c>
      <c r="N1387">
        <v>1</v>
      </c>
    </row>
    <row r="1388" spans="1:14" x14ac:dyDescent="0.45">
      <c r="A1388" t="s">
        <v>1721</v>
      </c>
      <c r="B1388" t="s">
        <v>1722</v>
      </c>
      <c r="C1388" t="s">
        <v>1699</v>
      </c>
      <c r="D1388" t="s">
        <v>1700</v>
      </c>
      <c r="E1388" t="s">
        <v>268</v>
      </c>
      <c r="F1388" t="s">
        <v>269</v>
      </c>
      <c r="G1388" t="s">
        <v>33</v>
      </c>
      <c r="H1388" t="s">
        <v>254</v>
      </c>
      <c r="I1388" t="s">
        <v>196</v>
      </c>
      <c r="J1388" t="s">
        <v>197</v>
      </c>
      <c r="K1388">
        <v>1</v>
      </c>
      <c r="M1388">
        <v>1</v>
      </c>
      <c r="N1388">
        <v>1</v>
      </c>
    </row>
    <row r="1389" spans="1:14" x14ac:dyDescent="0.45">
      <c r="A1389" t="s">
        <v>1723</v>
      </c>
      <c r="B1389" t="s">
        <v>1724</v>
      </c>
      <c r="C1389" t="s">
        <v>1699</v>
      </c>
      <c r="D1389" t="s">
        <v>1700</v>
      </c>
      <c r="E1389" t="s">
        <v>268</v>
      </c>
      <c r="F1389" t="s">
        <v>269</v>
      </c>
      <c r="G1389" t="s">
        <v>33</v>
      </c>
      <c r="H1389" t="s">
        <v>254</v>
      </c>
      <c r="I1389" t="s">
        <v>196</v>
      </c>
      <c r="J1389" t="s">
        <v>197</v>
      </c>
      <c r="K1389">
        <v>1</v>
      </c>
      <c r="M1389">
        <v>1</v>
      </c>
      <c r="N1389">
        <v>1</v>
      </c>
    </row>
    <row r="1390" spans="1:14" x14ac:dyDescent="0.45">
      <c r="A1390" t="s">
        <v>2115</v>
      </c>
      <c r="B1390" t="s">
        <v>2116</v>
      </c>
      <c r="C1390" t="s">
        <v>2109</v>
      </c>
      <c r="D1390" t="s">
        <v>2110</v>
      </c>
      <c r="E1390" t="s">
        <v>2111</v>
      </c>
      <c r="F1390" t="s">
        <v>2112</v>
      </c>
      <c r="G1390" t="s">
        <v>33</v>
      </c>
      <c r="H1390" t="s">
        <v>254</v>
      </c>
      <c r="I1390" t="s">
        <v>196</v>
      </c>
      <c r="J1390" t="s">
        <v>197</v>
      </c>
      <c r="K1390">
        <v>1</v>
      </c>
      <c r="M1390">
        <v>1</v>
      </c>
      <c r="N1390">
        <v>1</v>
      </c>
    </row>
    <row r="1391" spans="1:14" x14ac:dyDescent="0.45">
      <c r="A1391" t="s">
        <v>2149</v>
      </c>
      <c r="B1391" t="s">
        <v>2150</v>
      </c>
      <c r="C1391" t="s">
        <v>2139</v>
      </c>
      <c r="D1391" t="s">
        <v>2140</v>
      </c>
      <c r="E1391" t="s">
        <v>2111</v>
      </c>
      <c r="F1391" t="s">
        <v>2112</v>
      </c>
      <c r="G1391" t="s">
        <v>33</v>
      </c>
      <c r="H1391" t="s">
        <v>254</v>
      </c>
      <c r="I1391" t="s">
        <v>196</v>
      </c>
      <c r="J1391" t="s">
        <v>197</v>
      </c>
      <c r="K1391">
        <v>1</v>
      </c>
      <c r="M1391">
        <v>1</v>
      </c>
      <c r="N1391">
        <v>1</v>
      </c>
    </row>
    <row r="1392" spans="1:14" x14ac:dyDescent="0.45">
      <c r="A1392" t="s">
        <v>1136</v>
      </c>
      <c r="B1392" t="s">
        <v>2151</v>
      </c>
      <c r="C1392" t="s">
        <v>2139</v>
      </c>
      <c r="D1392" t="s">
        <v>2140</v>
      </c>
      <c r="E1392" t="s">
        <v>2111</v>
      </c>
      <c r="F1392" t="s">
        <v>2112</v>
      </c>
      <c r="G1392" t="s">
        <v>33</v>
      </c>
      <c r="H1392" t="s">
        <v>254</v>
      </c>
      <c r="I1392" t="s">
        <v>196</v>
      </c>
      <c r="J1392" t="s">
        <v>197</v>
      </c>
      <c r="K1392">
        <v>1</v>
      </c>
      <c r="M1392">
        <v>1</v>
      </c>
      <c r="N1392">
        <v>1</v>
      </c>
    </row>
    <row r="1393" spans="1:14" x14ac:dyDescent="0.45">
      <c r="A1393" t="s">
        <v>1895</v>
      </c>
      <c r="B1393" t="s">
        <v>2152</v>
      </c>
      <c r="C1393" t="s">
        <v>2153</v>
      </c>
      <c r="D1393" t="s">
        <v>2154</v>
      </c>
      <c r="E1393" t="s">
        <v>2111</v>
      </c>
      <c r="F1393" t="s">
        <v>2112</v>
      </c>
      <c r="G1393" t="s">
        <v>33</v>
      </c>
      <c r="H1393" t="s">
        <v>254</v>
      </c>
      <c r="I1393" t="s">
        <v>196</v>
      </c>
      <c r="J1393" t="s">
        <v>197</v>
      </c>
      <c r="K1393">
        <v>1</v>
      </c>
      <c r="M1393">
        <v>1</v>
      </c>
      <c r="N1393">
        <v>1</v>
      </c>
    </row>
    <row r="1394" spans="1:14" x14ac:dyDescent="0.45">
      <c r="A1394" t="s">
        <v>2161</v>
      </c>
      <c r="B1394" t="s">
        <v>2162</v>
      </c>
      <c r="C1394" t="s">
        <v>2153</v>
      </c>
      <c r="D1394" t="s">
        <v>2154</v>
      </c>
      <c r="E1394" t="s">
        <v>2111</v>
      </c>
      <c r="F1394" t="s">
        <v>2112</v>
      </c>
      <c r="G1394" t="s">
        <v>33</v>
      </c>
      <c r="H1394" t="s">
        <v>254</v>
      </c>
      <c r="I1394" t="s">
        <v>196</v>
      </c>
      <c r="J1394" t="s">
        <v>197</v>
      </c>
      <c r="K1394">
        <v>1</v>
      </c>
      <c r="M1394">
        <v>1</v>
      </c>
      <c r="N1394">
        <v>1</v>
      </c>
    </row>
    <row r="1395" spans="1:14" x14ac:dyDescent="0.45">
      <c r="A1395" t="s">
        <v>2163</v>
      </c>
      <c r="B1395" t="s">
        <v>2164</v>
      </c>
      <c r="C1395" t="s">
        <v>2153</v>
      </c>
      <c r="D1395" t="s">
        <v>2154</v>
      </c>
      <c r="E1395" t="s">
        <v>2111</v>
      </c>
      <c r="F1395" t="s">
        <v>2112</v>
      </c>
      <c r="G1395" t="s">
        <v>33</v>
      </c>
      <c r="H1395" t="s">
        <v>254</v>
      </c>
      <c r="I1395" t="s">
        <v>196</v>
      </c>
      <c r="J1395" t="s">
        <v>197</v>
      </c>
      <c r="K1395">
        <v>1</v>
      </c>
      <c r="M1395">
        <v>1</v>
      </c>
      <c r="N1395">
        <v>1</v>
      </c>
    </row>
    <row r="1396" spans="1:14" x14ac:dyDescent="0.45">
      <c r="A1396" t="s">
        <v>2181</v>
      </c>
      <c r="B1396" t="s">
        <v>2182</v>
      </c>
      <c r="C1396" t="s">
        <v>2167</v>
      </c>
      <c r="D1396" t="s">
        <v>2168</v>
      </c>
      <c r="E1396" t="s">
        <v>2111</v>
      </c>
      <c r="F1396" t="s">
        <v>2112</v>
      </c>
      <c r="G1396" t="s">
        <v>33</v>
      </c>
      <c r="H1396" t="s">
        <v>254</v>
      </c>
      <c r="I1396" t="s">
        <v>196</v>
      </c>
      <c r="J1396" t="s">
        <v>197</v>
      </c>
      <c r="K1396">
        <v>1</v>
      </c>
      <c r="M1396">
        <v>1</v>
      </c>
      <c r="N1396">
        <v>1</v>
      </c>
    </row>
    <row r="1397" spans="1:14" x14ac:dyDescent="0.45">
      <c r="A1397" t="s">
        <v>3236</v>
      </c>
      <c r="B1397" t="s">
        <v>3237</v>
      </c>
      <c r="C1397" t="s">
        <v>3233</v>
      </c>
      <c r="D1397" t="s">
        <v>3234</v>
      </c>
      <c r="E1397" t="s">
        <v>324</v>
      </c>
      <c r="F1397" t="s">
        <v>325</v>
      </c>
      <c r="G1397" t="s">
        <v>33</v>
      </c>
      <c r="H1397" t="s">
        <v>254</v>
      </c>
      <c r="I1397" t="s">
        <v>196</v>
      </c>
      <c r="J1397" t="s">
        <v>197</v>
      </c>
      <c r="K1397">
        <v>1</v>
      </c>
      <c r="M1397">
        <v>1</v>
      </c>
      <c r="N1397">
        <v>1</v>
      </c>
    </row>
    <row r="1398" spans="1:14" x14ac:dyDescent="0.45">
      <c r="A1398" t="s">
        <v>3240</v>
      </c>
      <c r="B1398" t="s">
        <v>3241</v>
      </c>
      <c r="C1398" t="s">
        <v>3242</v>
      </c>
      <c r="D1398" t="s">
        <v>3243</v>
      </c>
      <c r="E1398" t="s">
        <v>324</v>
      </c>
      <c r="F1398" t="s">
        <v>325</v>
      </c>
      <c r="G1398" t="s">
        <v>33</v>
      </c>
      <c r="H1398" t="s">
        <v>254</v>
      </c>
      <c r="I1398" t="s">
        <v>196</v>
      </c>
      <c r="J1398" t="s">
        <v>197</v>
      </c>
      <c r="K1398">
        <v>1</v>
      </c>
      <c r="M1398">
        <v>1</v>
      </c>
      <c r="N1398">
        <v>1</v>
      </c>
    </row>
    <row r="1399" spans="1:14" x14ac:dyDescent="0.45">
      <c r="A1399" t="s">
        <v>3260</v>
      </c>
      <c r="B1399" t="s">
        <v>3261</v>
      </c>
      <c r="C1399" t="s">
        <v>3242</v>
      </c>
      <c r="D1399" t="s">
        <v>3243</v>
      </c>
      <c r="E1399" t="s">
        <v>324</v>
      </c>
      <c r="F1399" t="s">
        <v>325</v>
      </c>
      <c r="G1399" t="s">
        <v>33</v>
      </c>
      <c r="H1399" t="s">
        <v>254</v>
      </c>
      <c r="I1399" t="s">
        <v>196</v>
      </c>
      <c r="J1399" t="s">
        <v>197</v>
      </c>
      <c r="K1399">
        <v>1</v>
      </c>
      <c r="M1399">
        <v>1</v>
      </c>
      <c r="N1399">
        <v>1</v>
      </c>
    </row>
    <row r="1400" spans="1:14" x14ac:dyDescent="0.45">
      <c r="A1400" t="s">
        <v>3262</v>
      </c>
      <c r="B1400" t="s">
        <v>3263</v>
      </c>
      <c r="C1400" t="s">
        <v>3242</v>
      </c>
      <c r="D1400" t="s">
        <v>3243</v>
      </c>
      <c r="E1400" t="s">
        <v>324</v>
      </c>
      <c r="F1400" t="s">
        <v>325</v>
      </c>
      <c r="G1400" t="s">
        <v>33</v>
      </c>
      <c r="H1400" t="s">
        <v>254</v>
      </c>
      <c r="I1400" t="s">
        <v>196</v>
      </c>
      <c r="J1400" t="s">
        <v>197</v>
      </c>
      <c r="K1400">
        <v>1</v>
      </c>
      <c r="M1400">
        <v>1</v>
      </c>
      <c r="N1400">
        <v>1</v>
      </c>
    </row>
    <row r="1401" spans="1:14" x14ac:dyDescent="0.45">
      <c r="A1401" t="s">
        <v>1225</v>
      </c>
      <c r="B1401" t="s">
        <v>3265</v>
      </c>
      <c r="C1401" t="s">
        <v>3242</v>
      </c>
      <c r="D1401" t="s">
        <v>3243</v>
      </c>
      <c r="E1401" t="s">
        <v>324</v>
      </c>
      <c r="F1401" t="s">
        <v>325</v>
      </c>
      <c r="G1401" t="s">
        <v>33</v>
      </c>
      <c r="H1401" t="s">
        <v>254</v>
      </c>
      <c r="I1401" t="s">
        <v>196</v>
      </c>
      <c r="J1401" t="s">
        <v>197</v>
      </c>
      <c r="K1401">
        <v>1</v>
      </c>
      <c r="M1401">
        <v>1</v>
      </c>
      <c r="N1401">
        <v>1</v>
      </c>
    </row>
    <row r="1402" spans="1:14" x14ac:dyDescent="0.45">
      <c r="A1402" t="s">
        <v>3266</v>
      </c>
      <c r="B1402" t="s">
        <v>3267</v>
      </c>
      <c r="C1402" t="s">
        <v>3242</v>
      </c>
      <c r="D1402" t="s">
        <v>3243</v>
      </c>
      <c r="E1402" t="s">
        <v>324</v>
      </c>
      <c r="F1402" t="s">
        <v>325</v>
      </c>
      <c r="G1402" t="s">
        <v>33</v>
      </c>
      <c r="H1402" t="s">
        <v>254</v>
      </c>
      <c r="I1402" t="s">
        <v>196</v>
      </c>
      <c r="J1402" t="s">
        <v>197</v>
      </c>
      <c r="K1402">
        <v>1</v>
      </c>
      <c r="M1402">
        <v>1</v>
      </c>
      <c r="N1402">
        <v>1</v>
      </c>
    </row>
    <row r="1403" spans="1:14" x14ac:dyDescent="0.45">
      <c r="A1403" t="s">
        <v>3268</v>
      </c>
      <c r="B1403" t="s">
        <v>3269</v>
      </c>
      <c r="C1403" t="s">
        <v>3270</v>
      </c>
      <c r="D1403" t="s">
        <v>3271</v>
      </c>
      <c r="E1403" t="s">
        <v>324</v>
      </c>
      <c r="F1403" t="s">
        <v>325</v>
      </c>
      <c r="G1403" t="s">
        <v>33</v>
      </c>
      <c r="H1403" t="s">
        <v>254</v>
      </c>
      <c r="I1403" t="s">
        <v>196</v>
      </c>
      <c r="J1403" t="s">
        <v>197</v>
      </c>
      <c r="K1403">
        <v>1</v>
      </c>
      <c r="M1403">
        <v>1</v>
      </c>
      <c r="N1403">
        <v>1</v>
      </c>
    </row>
    <row r="1404" spans="1:14" x14ac:dyDescent="0.45">
      <c r="A1404" t="s">
        <v>3274</v>
      </c>
      <c r="B1404" t="s">
        <v>3275</v>
      </c>
      <c r="C1404" t="s">
        <v>3270</v>
      </c>
      <c r="D1404" t="s">
        <v>3271</v>
      </c>
      <c r="E1404" t="s">
        <v>324</v>
      </c>
      <c r="F1404" t="s">
        <v>325</v>
      </c>
      <c r="G1404" t="s">
        <v>33</v>
      </c>
      <c r="H1404" t="s">
        <v>254</v>
      </c>
      <c r="I1404" t="s">
        <v>196</v>
      </c>
      <c r="J1404" t="s">
        <v>197</v>
      </c>
      <c r="K1404">
        <v>1</v>
      </c>
      <c r="M1404">
        <v>1</v>
      </c>
      <c r="N1404">
        <v>1</v>
      </c>
    </row>
    <row r="1405" spans="1:14" x14ac:dyDescent="0.45">
      <c r="A1405" t="s">
        <v>3278</v>
      </c>
      <c r="B1405" t="s">
        <v>3279</v>
      </c>
      <c r="C1405" t="s">
        <v>3270</v>
      </c>
      <c r="D1405" t="s">
        <v>3271</v>
      </c>
      <c r="E1405" t="s">
        <v>324</v>
      </c>
      <c r="F1405" t="s">
        <v>325</v>
      </c>
      <c r="G1405" t="s">
        <v>33</v>
      </c>
      <c r="H1405" t="s">
        <v>254</v>
      </c>
      <c r="I1405" t="s">
        <v>196</v>
      </c>
      <c r="J1405" t="s">
        <v>197</v>
      </c>
      <c r="K1405">
        <v>1</v>
      </c>
      <c r="M1405">
        <v>1</v>
      </c>
      <c r="N1405">
        <v>1</v>
      </c>
    </row>
    <row r="1406" spans="1:14" x14ac:dyDescent="0.45">
      <c r="A1406" t="s">
        <v>1654</v>
      </c>
      <c r="B1406" t="s">
        <v>3281</v>
      </c>
      <c r="C1406" t="s">
        <v>3270</v>
      </c>
      <c r="D1406" t="s">
        <v>3271</v>
      </c>
      <c r="E1406" t="s">
        <v>324</v>
      </c>
      <c r="F1406" t="s">
        <v>325</v>
      </c>
      <c r="G1406" t="s">
        <v>33</v>
      </c>
      <c r="H1406" t="s">
        <v>254</v>
      </c>
      <c r="I1406" t="s">
        <v>196</v>
      </c>
      <c r="J1406" t="s">
        <v>197</v>
      </c>
      <c r="K1406">
        <v>1</v>
      </c>
      <c r="M1406">
        <v>1</v>
      </c>
      <c r="N1406">
        <v>1</v>
      </c>
    </row>
    <row r="1407" spans="1:14" x14ac:dyDescent="0.45">
      <c r="A1407" t="s">
        <v>3282</v>
      </c>
      <c r="B1407" t="s">
        <v>3283</v>
      </c>
      <c r="C1407" t="s">
        <v>3270</v>
      </c>
      <c r="D1407" t="s">
        <v>3271</v>
      </c>
      <c r="E1407" t="s">
        <v>324</v>
      </c>
      <c r="F1407" t="s">
        <v>325</v>
      </c>
      <c r="G1407" t="s">
        <v>33</v>
      </c>
      <c r="H1407" t="s">
        <v>254</v>
      </c>
      <c r="I1407" t="s">
        <v>196</v>
      </c>
      <c r="J1407" t="s">
        <v>197</v>
      </c>
      <c r="K1407">
        <v>1</v>
      </c>
      <c r="M1407">
        <v>1</v>
      </c>
      <c r="N1407">
        <v>1</v>
      </c>
    </row>
    <row r="1408" spans="1:14" x14ac:dyDescent="0.45">
      <c r="A1408" t="s">
        <v>3289</v>
      </c>
      <c r="B1408" t="s">
        <v>3290</v>
      </c>
      <c r="C1408" t="s">
        <v>3287</v>
      </c>
      <c r="D1408" t="s">
        <v>3288</v>
      </c>
      <c r="E1408" t="s">
        <v>324</v>
      </c>
      <c r="F1408" t="s">
        <v>325</v>
      </c>
      <c r="G1408" t="s">
        <v>33</v>
      </c>
      <c r="H1408" t="s">
        <v>254</v>
      </c>
      <c r="I1408" t="s">
        <v>196</v>
      </c>
      <c r="J1408" t="s">
        <v>197</v>
      </c>
      <c r="K1408">
        <v>1</v>
      </c>
      <c r="M1408">
        <v>1</v>
      </c>
      <c r="N1408">
        <v>1</v>
      </c>
    </row>
    <row r="1409" spans="1:14" x14ac:dyDescent="0.45">
      <c r="A1409" t="s">
        <v>1468</v>
      </c>
      <c r="B1409" t="s">
        <v>3291</v>
      </c>
      <c r="C1409" t="s">
        <v>3287</v>
      </c>
      <c r="D1409" t="s">
        <v>3288</v>
      </c>
      <c r="E1409" t="s">
        <v>324</v>
      </c>
      <c r="F1409" t="s">
        <v>325</v>
      </c>
      <c r="G1409" t="s">
        <v>33</v>
      </c>
      <c r="H1409" t="s">
        <v>254</v>
      </c>
      <c r="I1409" t="s">
        <v>196</v>
      </c>
      <c r="J1409" t="s">
        <v>197</v>
      </c>
      <c r="K1409">
        <v>1</v>
      </c>
      <c r="M1409">
        <v>1</v>
      </c>
      <c r="N1409">
        <v>1</v>
      </c>
    </row>
    <row r="1410" spans="1:14" x14ac:dyDescent="0.45">
      <c r="A1410" t="s">
        <v>1198</v>
      </c>
      <c r="B1410" t="s">
        <v>1199</v>
      </c>
      <c r="C1410" t="s">
        <v>1196</v>
      </c>
      <c r="D1410" t="s">
        <v>1197</v>
      </c>
      <c r="E1410" t="s">
        <v>258</v>
      </c>
      <c r="F1410" t="s">
        <v>259</v>
      </c>
      <c r="G1410" t="s">
        <v>33</v>
      </c>
      <c r="H1410" t="s">
        <v>198</v>
      </c>
      <c r="I1410" t="s">
        <v>199</v>
      </c>
      <c r="J1410" t="s">
        <v>200</v>
      </c>
      <c r="M1410">
        <v>1</v>
      </c>
      <c r="N1410">
        <v>1</v>
      </c>
    </row>
    <row r="1411" spans="1:14" x14ac:dyDescent="0.45">
      <c r="A1411" t="s">
        <v>1204</v>
      </c>
      <c r="B1411" t="s">
        <v>1205</v>
      </c>
      <c r="C1411" t="s">
        <v>1196</v>
      </c>
      <c r="D1411" t="s">
        <v>1197</v>
      </c>
      <c r="E1411" t="s">
        <v>258</v>
      </c>
      <c r="F1411" t="s">
        <v>259</v>
      </c>
      <c r="G1411" t="s">
        <v>33</v>
      </c>
      <c r="H1411" t="s">
        <v>198</v>
      </c>
      <c r="I1411" t="s">
        <v>199</v>
      </c>
      <c r="J1411" t="s">
        <v>200</v>
      </c>
      <c r="M1411">
        <v>1</v>
      </c>
      <c r="N1411">
        <v>1</v>
      </c>
    </row>
    <row r="1412" spans="1:14" x14ac:dyDescent="0.45">
      <c r="A1412" t="s">
        <v>1206</v>
      </c>
      <c r="B1412" t="s">
        <v>1207</v>
      </c>
      <c r="C1412" t="s">
        <v>1196</v>
      </c>
      <c r="D1412" t="s">
        <v>1197</v>
      </c>
      <c r="E1412" t="s">
        <v>258</v>
      </c>
      <c r="F1412" t="s">
        <v>259</v>
      </c>
      <c r="G1412" t="s">
        <v>33</v>
      </c>
      <c r="H1412" t="s">
        <v>198</v>
      </c>
      <c r="I1412" t="s">
        <v>199</v>
      </c>
      <c r="J1412" t="s">
        <v>200</v>
      </c>
      <c r="M1412">
        <v>1</v>
      </c>
      <c r="N1412">
        <v>1</v>
      </c>
    </row>
    <row r="1413" spans="1:14" x14ac:dyDescent="0.45">
      <c r="A1413" t="s">
        <v>1210</v>
      </c>
      <c r="B1413" t="s">
        <v>1211</v>
      </c>
      <c r="C1413" t="s">
        <v>1196</v>
      </c>
      <c r="D1413" t="s">
        <v>1197</v>
      </c>
      <c r="E1413" t="s">
        <v>258</v>
      </c>
      <c r="F1413" t="s">
        <v>259</v>
      </c>
      <c r="G1413" t="s">
        <v>33</v>
      </c>
      <c r="H1413" t="s">
        <v>198</v>
      </c>
      <c r="I1413" t="s">
        <v>199</v>
      </c>
      <c r="J1413" t="s">
        <v>200</v>
      </c>
      <c r="M1413">
        <v>1</v>
      </c>
      <c r="N1413">
        <v>1</v>
      </c>
    </row>
    <row r="1414" spans="1:14" x14ac:dyDescent="0.45">
      <c r="A1414" t="s">
        <v>1278</v>
      </c>
      <c r="B1414" t="s">
        <v>1279</v>
      </c>
      <c r="C1414" t="s">
        <v>1280</v>
      </c>
      <c r="D1414" t="s">
        <v>1281</v>
      </c>
      <c r="E1414" t="s">
        <v>258</v>
      </c>
      <c r="F1414" t="s">
        <v>259</v>
      </c>
      <c r="G1414" t="s">
        <v>33</v>
      </c>
      <c r="H1414" t="s">
        <v>198</v>
      </c>
      <c r="I1414" t="s">
        <v>199</v>
      </c>
      <c r="J1414" t="s">
        <v>200</v>
      </c>
      <c r="M1414">
        <v>1</v>
      </c>
      <c r="N1414">
        <v>1</v>
      </c>
    </row>
    <row r="1415" spans="1:14" x14ac:dyDescent="0.45">
      <c r="A1415" t="s">
        <v>1282</v>
      </c>
      <c r="B1415" t="s">
        <v>1283</v>
      </c>
      <c r="C1415" t="s">
        <v>1280</v>
      </c>
      <c r="D1415" t="s">
        <v>1281</v>
      </c>
      <c r="E1415" t="s">
        <v>258</v>
      </c>
      <c r="F1415" t="s">
        <v>259</v>
      </c>
      <c r="G1415" t="s">
        <v>33</v>
      </c>
      <c r="H1415" t="s">
        <v>198</v>
      </c>
      <c r="I1415" t="s">
        <v>199</v>
      </c>
      <c r="J1415" t="s">
        <v>200</v>
      </c>
      <c r="M1415">
        <v>1</v>
      </c>
      <c r="N1415">
        <v>1</v>
      </c>
    </row>
    <row r="1416" spans="1:14" x14ac:dyDescent="0.45">
      <c r="A1416" t="s">
        <v>1284</v>
      </c>
      <c r="B1416" t="s">
        <v>1285</v>
      </c>
      <c r="C1416" t="s">
        <v>1280</v>
      </c>
      <c r="D1416" t="s">
        <v>1281</v>
      </c>
      <c r="E1416" t="s">
        <v>258</v>
      </c>
      <c r="F1416" t="s">
        <v>259</v>
      </c>
      <c r="G1416" t="s">
        <v>33</v>
      </c>
      <c r="H1416" t="s">
        <v>198</v>
      </c>
      <c r="I1416" t="s">
        <v>199</v>
      </c>
      <c r="J1416" t="s">
        <v>200</v>
      </c>
      <c r="M1416">
        <v>1</v>
      </c>
      <c r="N1416">
        <v>1</v>
      </c>
    </row>
    <row r="1417" spans="1:14" x14ac:dyDescent="0.45">
      <c r="A1417" t="s">
        <v>1286</v>
      </c>
      <c r="B1417" t="s">
        <v>1287</v>
      </c>
      <c r="C1417" t="s">
        <v>1280</v>
      </c>
      <c r="D1417" t="s">
        <v>1281</v>
      </c>
      <c r="E1417" t="s">
        <v>258</v>
      </c>
      <c r="F1417" t="s">
        <v>259</v>
      </c>
      <c r="G1417" t="s">
        <v>33</v>
      </c>
      <c r="H1417" t="s">
        <v>198</v>
      </c>
      <c r="I1417" t="s">
        <v>199</v>
      </c>
      <c r="J1417" t="s">
        <v>200</v>
      </c>
      <c r="M1417">
        <v>1</v>
      </c>
      <c r="N1417">
        <v>1</v>
      </c>
    </row>
    <row r="1418" spans="1:14" x14ac:dyDescent="0.45">
      <c r="A1418" t="s">
        <v>1288</v>
      </c>
      <c r="B1418" t="s">
        <v>1289</v>
      </c>
      <c r="C1418" t="s">
        <v>1280</v>
      </c>
      <c r="D1418" t="s">
        <v>1281</v>
      </c>
      <c r="E1418" t="s">
        <v>258</v>
      </c>
      <c r="F1418" t="s">
        <v>259</v>
      </c>
      <c r="G1418" t="s">
        <v>33</v>
      </c>
      <c r="H1418" t="s">
        <v>198</v>
      </c>
      <c r="I1418" t="s">
        <v>199</v>
      </c>
      <c r="J1418" t="s">
        <v>200</v>
      </c>
      <c r="M1418">
        <v>1</v>
      </c>
      <c r="N1418">
        <v>1</v>
      </c>
    </row>
    <row r="1419" spans="1:14" x14ac:dyDescent="0.45">
      <c r="A1419" t="s">
        <v>1594</v>
      </c>
      <c r="B1419" t="s">
        <v>1595</v>
      </c>
      <c r="C1419" t="s">
        <v>1596</v>
      </c>
      <c r="D1419" t="s">
        <v>1597</v>
      </c>
      <c r="E1419" t="s">
        <v>268</v>
      </c>
      <c r="F1419" t="s">
        <v>269</v>
      </c>
      <c r="G1419" t="s">
        <v>33</v>
      </c>
      <c r="H1419" t="s">
        <v>198</v>
      </c>
      <c r="I1419" t="s">
        <v>199</v>
      </c>
      <c r="J1419" t="s">
        <v>200</v>
      </c>
      <c r="M1419">
        <v>1</v>
      </c>
      <c r="N1419">
        <v>1</v>
      </c>
    </row>
    <row r="1420" spans="1:14" x14ac:dyDescent="0.45">
      <c r="A1420" t="s">
        <v>1255</v>
      </c>
      <c r="B1420" t="s">
        <v>1598</v>
      </c>
      <c r="C1420" t="s">
        <v>1596</v>
      </c>
      <c r="D1420" t="s">
        <v>1597</v>
      </c>
      <c r="E1420" t="s">
        <v>268</v>
      </c>
      <c r="F1420" t="s">
        <v>269</v>
      </c>
      <c r="G1420" t="s">
        <v>33</v>
      </c>
      <c r="H1420" t="s">
        <v>198</v>
      </c>
      <c r="I1420" t="s">
        <v>199</v>
      </c>
      <c r="J1420" t="s">
        <v>200</v>
      </c>
      <c r="M1420">
        <v>1</v>
      </c>
      <c r="N1420">
        <v>1</v>
      </c>
    </row>
    <row r="1421" spans="1:14" x14ac:dyDescent="0.45">
      <c r="A1421" t="s">
        <v>1599</v>
      </c>
      <c r="B1421" t="s">
        <v>1600</v>
      </c>
      <c r="C1421" t="s">
        <v>1596</v>
      </c>
      <c r="D1421" t="s">
        <v>1597</v>
      </c>
      <c r="E1421" t="s">
        <v>268</v>
      </c>
      <c r="F1421" t="s">
        <v>269</v>
      </c>
      <c r="G1421" t="s">
        <v>33</v>
      </c>
      <c r="H1421" t="s">
        <v>198</v>
      </c>
      <c r="I1421" t="s">
        <v>199</v>
      </c>
      <c r="J1421" t="s">
        <v>200</v>
      </c>
      <c r="M1421">
        <v>1</v>
      </c>
      <c r="N1421">
        <v>1</v>
      </c>
    </row>
    <row r="1422" spans="1:14" x14ac:dyDescent="0.45">
      <c r="A1422" t="s">
        <v>1601</v>
      </c>
      <c r="B1422" t="s">
        <v>1602</v>
      </c>
      <c r="C1422" t="s">
        <v>1596</v>
      </c>
      <c r="D1422" t="s">
        <v>1597</v>
      </c>
      <c r="E1422" t="s">
        <v>268</v>
      </c>
      <c r="F1422" t="s">
        <v>269</v>
      </c>
      <c r="G1422" t="s">
        <v>33</v>
      </c>
      <c r="H1422" t="s">
        <v>198</v>
      </c>
      <c r="I1422" t="s">
        <v>199</v>
      </c>
      <c r="J1422" t="s">
        <v>200</v>
      </c>
      <c r="M1422">
        <v>1</v>
      </c>
      <c r="N1422">
        <v>1</v>
      </c>
    </row>
    <row r="1423" spans="1:14" x14ac:dyDescent="0.45">
      <c r="A1423" t="s">
        <v>1603</v>
      </c>
      <c r="B1423" t="s">
        <v>1604</v>
      </c>
      <c r="C1423" t="s">
        <v>1596</v>
      </c>
      <c r="D1423" t="s">
        <v>1597</v>
      </c>
      <c r="E1423" t="s">
        <v>268</v>
      </c>
      <c r="F1423" t="s">
        <v>269</v>
      </c>
      <c r="G1423" t="s">
        <v>33</v>
      </c>
      <c r="H1423" t="s">
        <v>198</v>
      </c>
      <c r="I1423" t="s">
        <v>199</v>
      </c>
      <c r="J1423" t="s">
        <v>200</v>
      </c>
      <c r="M1423">
        <v>1</v>
      </c>
      <c r="N1423">
        <v>1</v>
      </c>
    </row>
    <row r="1424" spans="1:14" x14ac:dyDescent="0.45">
      <c r="A1424" t="s">
        <v>1605</v>
      </c>
      <c r="B1424" t="s">
        <v>1606</v>
      </c>
      <c r="C1424" t="s">
        <v>1596</v>
      </c>
      <c r="D1424" t="s">
        <v>1597</v>
      </c>
      <c r="E1424" t="s">
        <v>268</v>
      </c>
      <c r="F1424" t="s">
        <v>269</v>
      </c>
      <c r="G1424" t="s">
        <v>33</v>
      </c>
      <c r="H1424" t="s">
        <v>198</v>
      </c>
      <c r="I1424" t="s">
        <v>199</v>
      </c>
      <c r="J1424" t="s">
        <v>200</v>
      </c>
      <c r="M1424">
        <v>1</v>
      </c>
      <c r="N1424">
        <v>1</v>
      </c>
    </row>
    <row r="1425" spans="1:14" x14ac:dyDescent="0.45">
      <c r="A1425" t="s">
        <v>1607</v>
      </c>
      <c r="B1425" t="s">
        <v>1608</v>
      </c>
      <c r="C1425" t="s">
        <v>1596</v>
      </c>
      <c r="D1425" t="s">
        <v>1597</v>
      </c>
      <c r="E1425" t="s">
        <v>268</v>
      </c>
      <c r="F1425" t="s">
        <v>269</v>
      </c>
      <c r="G1425" t="s">
        <v>33</v>
      </c>
      <c r="H1425" t="s">
        <v>198</v>
      </c>
      <c r="I1425" t="s">
        <v>199</v>
      </c>
      <c r="J1425" t="s">
        <v>200</v>
      </c>
      <c r="M1425">
        <v>1</v>
      </c>
      <c r="N1425">
        <v>1</v>
      </c>
    </row>
    <row r="1426" spans="1:14" x14ac:dyDescent="0.45">
      <c r="A1426" t="s">
        <v>1671</v>
      </c>
      <c r="B1426" t="s">
        <v>1672</v>
      </c>
      <c r="C1426" t="s">
        <v>1669</v>
      </c>
      <c r="D1426" t="s">
        <v>1670</v>
      </c>
      <c r="E1426" t="s">
        <v>268</v>
      </c>
      <c r="F1426" t="s">
        <v>269</v>
      </c>
      <c r="G1426" t="s">
        <v>33</v>
      </c>
      <c r="H1426" t="s">
        <v>198</v>
      </c>
      <c r="I1426" t="s">
        <v>199</v>
      </c>
      <c r="J1426" t="s">
        <v>200</v>
      </c>
      <c r="M1426">
        <v>1</v>
      </c>
      <c r="N1426">
        <v>1</v>
      </c>
    </row>
    <row r="1427" spans="1:14" x14ac:dyDescent="0.45">
      <c r="A1427" t="s">
        <v>1263</v>
      </c>
      <c r="B1427" t="s">
        <v>1673</v>
      </c>
      <c r="C1427" t="s">
        <v>1669</v>
      </c>
      <c r="D1427" t="s">
        <v>1670</v>
      </c>
      <c r="E1427" t="s">
        <v>268</v>
      </c>
      <c r="F1427" t="s">
        <v>269</v>
      </c>
      <c r="G1427" t="s">
        <v>33</v>
      </c>
      <c r="H1427" t="s">
        <v>198</v>
      </c>
      <c r="I1427" t="s">
        <v>199</v>
      </c>
      <c r="J1427" t="s">
        <v>200</v>
      </c>
      <c r="M1427">
        <v>1</v>
      </c>
      <c r="N1427">
        <v>1</v>
      </c>
    </row>
    <row r="1428" spans="1:14" x14ac:dyDescent="0.45">
      <c r="A1428" t="s">
        <v>1674</v>
      </c>
      <c r="B1428" t="s">
        <v>1675</v>
      </c>
      <c r="C1428" t="s">
        <v>1669</v>
      </c>
      <c r="D1428" t="s">
        <v>1670</v>
      </c>
      <c r="E1428" t="s">
        <v>268</v>
      </c>
      <c r="F1428" t="s">
        <v>269</v>
      </c>
      <c r="G1428" t="s">
        <v>33</v>
      </c>
      <c r="H1428" t="s">
        <v>198</v>
      </c>
      <c r="I1428" t="s">
        <v>199</v>
      </c>
      <c r="J1428" t="s">
        <v>200</v>
      </c>
      <c r="M1428">
        <v>1</v>
      </c>
      <c r="N1428">
        <v>1</v>
      </c>
    </row>
    <row r="1429" spans="1:14" x14ac:dyDescent="0.45">
      <c r="A1429" t="s">
        <v>1204</v>
      </c>
      <c r="B1429" t="s">
        <v>1676</v>
      </c>
      <c r="C1429" t="s">
        <v>1669</v>
      </c>
      <c r="D1429" t="s">
        <v>1670</v>
      </c>
      <c r="E1429" t="s">
        <v>268</v>
      </c>
      <c r="F1429" t="s">
        <v>269</v>
      </c>
      <c r="G1429" t="s">
        <v>33</v>
      </c>
      <c r="H1429" t="s">
        <v>198</v>
      </c>
      <c r="I1429" t="s">
        <v>199</v>
      </c>
      <c r="J1429" t="s">
        <v>200</v>
      </c>
      <c r="M1429">
        <v>1</v>
      </c>
      <c r="N1429">
        <v>1</v>
      </c>
    </row>
    <row r="1430" spans="1:14" x14ac:dyDescent="0.45">
      <c r="A1430" t="s">
        <v>1677</v>
      </c>
      <c r="B1430" t="s">
        <v>1678</v>
      </c>
      <c r="C1430" t="s">
        <v>1669</v>
      </c>
      <c r="D1430" t="s">
        <v>1670</v>
      </c>
      <c r="E1430" t="s">
        <v>268</v>
      </c>
      <c r="F1430" t="s">
        <v>269</v>
      </c>
      <c r="G1430" t="s">
        <v>33</v>
      </c>
      <c r="H1430" t="s">
        <v>198</v>
      </c>
      <c r="I1430" t="s">
        <v>199</v>
      </c>
      <c r="J1430" t="s">
        <v>200</v>
      </c>
      <c r="M1430">
        <v>1</v>
      </c>
      <c r="N1430">
        <v>1</v>
      </c>
    </row>
    <row r="1431" spans="1:14" x14ac:dyDescent="0.45">
      <c r="A1431" t="s">
        <v>1681</v>
      </c>
      <c r="B1431" t="s">
        <v>1682</v>
      </c>
      <c r="C1431" t="s">
        <v>1669</v>
      </c>
      <c r="D1431" t="s">
        <v>1670</v>
      </c>
      <c r="E1431" t="s">
        <v>268</v>
      </c>
      <c r="F1431" t="s">
        <v>269</v>
      </c>
      <c r="G1431" t="s">
        <v>33</v>
      </c>
      <c r="H1431" t="s">
        <v>198</v>
      </c>
      <c r="I1431" t="s">
        <v>199</v>
      </c>
      <c r="J1431" t="s">
        <v>200</v>
      </c>
      <c r="M1431">
        <v>1</v>
      </c>
      <c r="N1431">
        <v>1</v>
      </c>
    </row>
    <row r="1432" spans="1:14" x14ac:dyDescent="0.45">
      <c r="A1432" t="s">
        <v>1272</v>
      </c>
      <c r="B1432" t="s">
        <v>1685</v>
      </c>
      <c r="C1432" t="s">
        <v>1669</v>
      </c>
      <c r="D1432" t="s">
        <v>1670</v>
      </c>
      <c r="E1432" t="s">
        <v>268</v>
      </c>
      <c r="F1432" t="s">
        <v>269</v>
      </c>
      <c r="G1432" t="s">
        <v>33</v>
      </c>
      <c r="H1432" t="s">
        <v>198</v>
      </c>
      <c r="I1432" t="s">
        <v>199</v>
      </c>
      <c r="J1432" t="s">
        <v>200</v>
      </c>
      <c r="M1432">
        <v>1</v>
      </c>
      <c r="N1432">
        <v>1</v>
      </c>
    </row>
    <row r="1433" spans="1:14" x14ac:dyDescent="0.45">
      <c r="A1433" t="s">
        <v>1688</v>
      </c>
      <c r="B1433" t="s">
        <v>1689</v>
      </c>
      <c r="C1433" t="s">
        <v>1669</v>
      </c>
      <c r="D1433" t="s">
        <v>1670</v>
      </c>
      <c r="E1433" t="s">
        <v>268</v>
      </c>
      <c r="F1433" t="s">
        <v>269</v>
      </c>
      <c r="G1433" t="s">
        <v>33</v>
      </c>
      <c r="H1433" t="s">
        <v>198</v>
      </c>
      <c r="I1433" t="s">
        <v>199</v>
      </c>
      <c r="J1433" t="s">
        <v>200</v>
      </c>
      <c r="M1433">
        <v>1</v>
      </c>
      <c r="N1433">
        <v>1</v>
      </c>
    </row>
    <row r="1434" spans="1:14" x14ac:dyDescent="0.45">
      <c r="A1434" t="s">
        <v>1333</v>
      </c>
      <c r="B1434" t="s">
        <v>1690</v>
      </c>
      <c r="C1434" t="s">
        <v>1669</v>
      </c>
      <c r="D1434" t="s">
        <v>1670</v>
      </c>
      <c r="E1434" t="s">
        <v>268</v>
      </c>
      <c r="F1434" t="s">
        <v>269</v>
      </c>
      <c r="G1434" t="s">
        <v>33</v>
      </c>
      <c r="H1434" t="s">
        <v>198</v>
      </c>
      <c r="I1434" t="s">
        <v>199</v>
      </c>
      <c r="J1434" t="s">
        <v>200</v>
      </c>
      <c r="M1434">
        <v>1</v>
      </c>
      <c r="N1434">
        <v>1</v>
      </c>
    </row>
    <row r="1435" spans="1:14" x14ac:dyDescent="0.45">
      <c r="A1435" t="s">
        <v>1695</v>
      </c>
      <c r="B1435" t="s">
        <v>1696</v>
      </c>
      <c r="C1435" t="s">
        <v>1669</v>
      </c>
      <c r="D1435" t="s">
        <v>1670</v>
      </c>
      <c r="E1435" t="s">
        <v>268</v>
      </c>
      <c r="F1435" t="s">
        <v>269</v>
      </c>
      <c r="G1435" t="s">
        <v>33</v>
      </c>
      <c r="H1435" t="s">
        <v>198</v>
      </c>
      <c r="I1435" t="s">
        <v>199</v>
      </c>
      <c r="J1435" t="s">
        <v>200</v>
      </c>
      <c r="M1435">
        <v>1</v>
      </c>
      <c r="N1435">
        <v>1</v>
      </c>
    </row>
    <row r="1436" spans="1:14" x14ac:dyDescent="0.45">
      <c r="A1436" t="s">
        <v>2137</v>
      </c>
      <c r="B1436" t="s">
        <v>2138</v>
      </c>
      <c r="C1436" t="s">
        <v>2139</v>
      </c>
      <c r="D1436" t="s">
        <v>2140</v>
      </c>
      <c r="E1436" t="s">
        <v>2111</v>
      </c>
      <c r="F1436" t="s">
        <v>2112</v>
      </c>
      <c r="G1436" t="s">
        <v>33</v>
      </c>
      <c r="H1436" t="s">
        <v>198</v>
      </c>
      <c r="I1436" t="s">
        <v>199</v>
      </c>
      <c r="J1436" t="s">
        <v>200</v>
      </c>
      <c r="M1436">
        <v>1</v>
      </c>
      <c r="N1436">
        <v>1</v>
      </c>
    </row>
    <row r="1437" spans="1:14" x14ac:dyDescent="0.45">
      <c r="A1437" t="s">
        <v>2145</v>
      </c>
      <c r="B1437" t="s">
        <v>2146</v>
      </c>
      <c r="C1437" t="s">
        <v>2139</v>
      </c>
      <c r="D1437" t="s">
        <v>2140</v>
      </c>
      <c r="E1437" t="s">
        <v>2111</v>
      </c>
      <c r="F1437" t="s">
        <v>2112</v>
      </c>
      <c r="G1437" t="s">
        <v>33</v>
      </c>
      <c r="H1437" t="s">
        <v>198</v>
      </c>
      <c r="I1437" t="s">
        <v>199</v>
      </c>
      <c r="J1437" t="s">
        <v>200</v>
      </c>
      <c r="M1437">
        <v>1</v>
      </c>
      <c r="N1437">
        <v>1</v>
      </c>
    </row>
    <row r="1438" spans="1:14" x14ac:dyDescent="0.45">
      <c r="A1438" t="s">
        <v>2165</v>
      </c>
      <c r="B1438" t="s">
        <v>2166</v>
      </c>
      <c r="C1438" t="s">
        <v>2167</v>
      </c>
      <c r="D1438" t="s">
        <v>2168</v>
      </c>
      <c r="E1438" t="s">
        <v>2111</v>
      </c>
      <c r="F1438" t="s">
        <v>2112</v>
      </c>
      <c r="G1438" t="s">
        <v>33</v>
      </c>
      <c r="H1438" t="s">
        <v>198</v>
      </c>
      <c r="I1438" t="s">
        <v>199</v>
      </c>
      <c r="J1438" t="s">
        <v>200</v>
      </c>
      <c r="M1438">
        <v>1</v>
      </c>
      <c r="N1438">
        <v>1</v>
      </c>
    </row>
    <row r="1439" spans="1:14" x14ac:dyDescent="0.45">
      <c r="A1439" t="s">
        <v>2169</v>
      </c>
      <c r="B1439" t="s">
        <v>2170</v>
      </c>
      <c r="C1439" t="s">
        <v>2167</v>
      </c>
      <c r="D1439" t="s">
        <v>2168</v>
      </c>
      <c r="E1439" t="s">
        <v>2111</v>
      </c>
      <c r="F1439" t="s">
        <v>2112</v>
      </c>
      <c r="G1439" t="s">
        <v>33</v>
      </c>
      <c r="H1439" t="s">
        <v>198</v>
      </c>
      <c r="I1439" t="s">
        <v>199</v>
      </c>
      <c r="J1439" t="s">
        <v>200</v>
      </c>
      <c r="M1439">
        <v>1</v>
      </c>
      <c r="N1439">
        <v>1</v>
      </c>
    </row>
    <row r="1440" spans="1:14" x14ac:dyDescent="0.45">
      <c r="A1440" t="s">
        <v>2171</v>
      </c>
      <c r="B1440" t="s">
        <v>2172</v>
      </c>
      <c r="C1440" t="s">
        <v>2167</v>
      </c>
      <c r="D1440" t="s">
        <v>2168</v>
      </c>
      <c r="E1440" t="s">
        <v>2111</v>
      </c>
      <c r="F1440" t="s">
        <v>2112</v>
      </c>
      <c r="G1440" t="s">
        <v>33</v>
      </c>
      <c r="H1440" t="s">
        <v>198</v>
      </c>
      <c r="I1440" t="s">
        <v>199</v>
      </c>
      <c r="J1440" t="s">
        <v>200</v>
      </c>
      <c r="M1440">
        <v>1</v>
      </c>
      <c r="N1440">
        <v>1</v>
      </c>
    </row>
    <row r="1441" spans="1:14" x14ac:dyDescent="0.45">
      <c r="A1441" t="s">
        <v>2173</v>
      </c>
      <c r="B1441" t="s">
        <v>2174</v>
      </c>
      <c r="C1441" t="s">
        <v>2167</v>
      </c>
      <c r="D1441" t="s">
        <v>2168</v>
      </c>
      <c r="E1441" t="s">
        <v>2111</v>
      </c>
      <c r="F1441" t="s">
        <v>2112</v>
      </c>
      <c r="G1441" t="s">
        <v>33</v>
      </c>
      <c r="H1441" t="s">
        <v>198</v>
      </c>
      <c r="I1441" t="s">
        <v>199</v>
      </c>
      <c r="J1441" t="s">
        <v>200</v>
      </c>
      <c r="M1441">
        <v>1</v>
      </c>
      <c r="N1441">
        <v>1</v>
      </c>
    </row>
    <row r="1442" spans="1:14" x14ac:dyDescent="0.45">
      <c r="A1442" t="s">
        <v>2175</v>
      </c>
      <c r="B1442" t="s">
        <v>2176</v>
      </c>
      <c r="C1442" t="s">
        <v>2167</v>
      </c>
      <c r="D1442" t="s">
        <v>2168</v>
      </c>
      <c r="E1442" t="s">
        <v>2111</v>
      </c>
      <c r="F1442" t="s">
        <v>2112</v>
      </c>
      <c r="G1442" t="s">
        <v>33</v>
      </c>
      <c r="H1442" t="s">
        <v>198</v>
      </c>
      <c r="I1442" t="s">
        <v>199</v>
      </c>
      <c r="J1442" t="s">
        <v>200</v>
      </c>
      <c r="M1442">
        <v>1</v>
      </c>
      <c r="N1442">
        <v>1</v>
      </c>
    </row>
    <row r="1443" spans="1:14" x14ac:dyDescent="0.45">
      <c r="A1443" t="s">
        <v>2177</v>
      </c>
      <c r="B1443" t="s">
        <v>2178</v>
      </c>
      <c r="C1443" t="s">
        <v>2167</v>
      </c>
      <c r="D1443" t="s">
        <v>2168</v>
      </c>
      <c r="E1443" t="s">
        <v>2111</v>
      </c>
      <c r="F1443" t="s">
        <v>2112</v>
      </c>
      <c r="G1443" t="s">
        <v>33</v>
      </c>
      <c r="H1443" t="s">
        <v>198</v>
      </c>
      <c r="I1443" t="s">
        <v>199</v>
      </c>
      <c r="J1443" t="s">
        <v>200</v>
      </c>
      <c r="M1443">
        <v>1</v>
      </c>
      <c r="N1443">
        <v>1</v>
      </c>
    </row>
    <row r="1444" spans="1:14" x14ac:dyDescent="0.45">
      <c r="A1444" t="s">
        <v>2179</v>
      </c>
      <c r="B1444" t="s">
        <v>2180</v>
      </c>
      <c r="C1444" t="s">
        <v>2167</v>
      </c>
      <c r="D1444" t="s">
        <v>2168</v>
      </c>
      <c r="E1444" t="s">
        <v>2111</v>
      </c>
      <c r="F1444" t="s">
        <v>2112</v>
      </c>
      <c r="G1444" t="s">
        <v>33</v>
      </c>
      <c r="H1444" t="s">
        <v>198</v>
      </c>
      <c r="I1444" t="s">
        <v>199</v>
      </c>
      <c r="J1444" t="s">
        <v>200</v>
      </c>
      <c r="M1444">
        <v>1</v>
      </c>
      <c r="N1444">
        <v>1</v>
      </c>
    </row>
    <row r="1445" spans="1:14" x14ac:dyDescent="0.45">
      <c r="A1445" t="s">
        <v>2183</v>
      </c>
      <c r="B1445" t="s">
        <v>2184</v>
      </c>
      <c r="C1445" t="s">
        <v>2185</v>
      </c>
      <c r="D1445" t="s">
        <v>2186</v>
      </c>
      <c r="E1445" t="s">
        <v>2111</v>
      </c>
      <c r="F1445" t="s">
        <v>2112</v>
      </c>
      <c r="G1445" t="s">
        <v>33</v>
      </c>
      <c r="H1445" t="s">
        <v>198</v>
      </c>
      <c r="I1445" t="s">
        <v>199</v>
      </c>
      <c r="J1445" t="s">
        <v>200</v>
      </c>
      <c r="M1445">
        <v>1</v>
      </c>
      <c r="N1445">
        <v>1</v>
      </c>
    </row>
    <row r="1446" spans="1:14" x14ac:dyDescent="0.45">
      <c r="A1446" t="s">
        <v>2187</v>
      </c>
      <c r="B1446" t="s">
        <v>2188</v>
      </c>
      <c r="C1446" t="s">
        <v>2185</v>
      </c>
      <c r="D1446" t="s">
        <v>2186</v>
      </c>
      <c r="E1446" t="s">
        <v>2111</v>
      </c>
      <c r="F1446" t="s">
        <v>2112</v>
      </c>
      <c r="G1446" t="s">
        <v>33</v>
      </c>
      <c r="H1446" t="s">
        <v>198</v>
      </c>
      <c r="I1446" t="s">
        <v>199</v>
      </c>
      <c r="J1446" t="s">
        <v>200</v>
      </c>
      <c r="M1446">
        <v>1</v>
      </c>
      <c r="N1446">
        <v>1</v>
      </c>
    </row>
    <row r="1447" spans="1:14" x14ac:dyDescent="0.45">
      <c r="A1447" t="s">
        <v>2189</v>
      </c>
      <c r="B1447" t="s">
        <v>2190</v>
      </c>
      <c r="C1447" t="s">
        <v>2185</v>
      </c>
      <c r="D1447" t="s">
        <v>2186</v>
      </c>
      <c r="E1447" t="s">
        <v>2111</v>
      </c>
      <c r="F1447" t="s">
        <v>2112</v>
      </c>
      <c r="G1447" t="s">
        <v>33</v>
      </c>
      <c r="H1447" t="s">
        <v>198</v>
      </c>
      <c r="I1447" t="s">
        <v>199</v>
      </c>
      <c r="J1447" t="s">
        <v>200</v>
      </c>
      <c r="M1447">
        <v>1</v>
      </c>
      <c r="N1447">
        <v>1</v>
      </c>
    </row>
    <row r="1448" spans="1:14" x14ac:dyDescent="0.45">
      <c r="A1448" t="s">
        <v>1090</v>
      </c>
      <c r="B1448" t="s">
        <v>2191</v>
      </c>
      <c r="C1448" t="s">
        <v>2185</v>
      </c>
      <c r="D1448" t="s">
        <v>2186</v>
      </c>
      <c r="E1448" t="s">
        <v>2111</v>
      </c>
      <c r="F1448" t="s">
        <v>2112</v>
      </c>
      <c r="G1448" t="s">
        <v>33</v>
      </c>
      <c r="H1448" t="s">
        <v>198</v>
      </c>
      <c r="I1448" t="s">
        <v>199</v>
      </c>
      <c r="J1448" t="s">
        <v>200</v>
      </c>
      <c r="M1448">
        <v>1</v>
      </c>
      <c r="N1448">
        <v>1</v>
      </c>
    </row>
    <row r="1449" spans="1:14" x14ac:dyDescent="0.45">
      <c r="A1449" t="s">
        <v>2192</v>
      </c>
      <c r="B1449" t="s">
        <v>2193</v>
      </c>
      <c r="C1449" t="s">
        <v>2185</v>
      </c>
      <c r="D1449" t="s">
        <v>2186</v>
      </c>
      <c r="E1449" t="s">
        <v>2111</v>
      </c>
      <c r="F1449" t="s">
        <v>2112</v>
      </c>
      <c r="G1449" t="s">
        <v>33</v>
      </c>
      <c r="H1449" t="s">
        <v>198</v>
      </c>
      <c r="I1449" t="s">
        <v>199</v>
      </c>
      <c r="J1449" t="s">
        <v>200</v>
      </c>
      <c r="M1449">
        <v>1</v>
      </c>
      <c r="N1449">
        <v>1</v>
      </c>
    </row>
    <row r="1450" spans="1:14" x14ac:dyDescent="0.45">
      <c r="A1450" t="s">
        <v>3231</v>
      </c>
      <c r="B1450" t="s">
        <v>3232</v>
      </c>
      <c r="C1450" t="s">
        <v>3233</v>
      </c>
      <c r="D1450" t="s">
        <v>3234</v>
      </c>
      <c r="E1450" t="s">
        <v>324</v>
      </c>
      <c r="F1450" t="s">
        <v>325</v>
      </c>
      <c r="G1450" t="s">
        <v>33</v>
      </c>
      <c r="H1450" t="s">
        <v>198</v>
      </c>
      <c r="I1450" t="s">
        <v>199</v>
      </c>
      <c r="J1450" t="s">
        <v>200</v>
      </c>
      <c r="M1450">
        <v>1</v>
      </c>
      <c r="N1450">
        <v>1</v>
      </c>
    </row>
    <row r="1451" spans="1:14" x14ac:dyDescent="0.45">
      <c r="A1451" t="s">
        <v>870</v>
      </c>
      <c r="B1451" t="s">
        <v>3235</v>
      </c>
      <c r="C1451" t="s">
        <v>3233</v>
      </c>
      <c r="D1451" t="s">
        <v>3234</v>
      </c>
      <c r="E1451" t="s">
        <v>324</v>
      </c>
      <c r="F1451" t="s">
        <v>325</v>
      </c>
      <c r="G1451" t="s">
        <v>33</v>
      </c>
      <c r="H1451" t="s">
        <v>198</v>
      </c>
      <c r="I1451" t="s">
        <v>199</v>
      </c>
      <c r="J1451" t="s">
        <v>200</v>
      </c>
      <c r="M1451">
        <v>1</v>
      </c>
      <c r="N1451">
        <v>1</v>
      </c>
    </row>
    <row r="1452" spans="1:14" x14ac:dyDescent="0.45">
      <c r="A1452" t="s">
        <v>3238</v>
      </c>
      <c r="B1452" t="s">
        <v>3239</v>
      </c>
      <c r="C1452" t="s">
        <v>3233</v>
      </c>
      <c r="D1452" t="s">
        <v>3234</v>
      </c>
      <c r="E1452" t="s">
        <v>324</v>
      </c>
      <c r="F1452" t="s">
        <v>325</v>
      </c>
      <c r="G1452" t="s">
        <v>33</v>
      </c>
      <c r="H1452" t="s">
        <v>198</v>
      </c>
      <c r="I1452" t="s">
        <v>199</v>
      </c>
      <c r="J1452" t="s">
        <v>200</v>
      </c>
      <c r="M1452">
        <v>1</v>
      </c>
      <c r="N1452">
        <v>1</v>
      </c>
    </row>
    <row r="1453" spans="1:14" x14ac:dyDescent="0.45">
      <c r="A1453" t="s">
        <v>3258</v>
      </c>
      <c r="B1453" t="s">
        <v>3259</v>
      </c>
      <c r="C1453" t="s">
        <v>3242</v>
      </c>
      <c r="D1453" t="s">
        <v>3243</v>
      </c>
      <c r="E1453" t="s">
        <v>324</v>
      </c>
      <c r="F1453" t="s">
        <v>325</v>
      </c>
      <c r="G1453" t="s">
        <v>33</v>
      </c>
      <c r="H1453" t="s">
        <v>198</v>
      </c>
      <c r="I1453" t="s">
        <v>199</v>
      </c>
      <c r="J1453" t="s">
        <v>200</v>
      </c>
      <c r="M1453">
        <v>1</v>
      </c>
      <c r="N1453">
        <v>1</v>
      </c>
    </row>
    <row r="1454" spans="1:14" x14ac:dyDescent="0.45">
      <c r="A1454" t="s">
        <v>3276</v>
      </c>
      <c r="B1454" t="s">
        <v>3277</v>
      </c>
      <c r="C1454" t="s">
        <v>3270</v>
      </c>
      <c r="D1454" t="s">
        <v>3271</v>
      </c>
      <c r="E1454" t="s">
        <v>324</v>
      </c>
      <c r="F1454" t="s">
        <v>325</v>
      </c>
      <c r="G1454" t="s">
        <v>33</v>
      </c>
      <c r="H1454" t="s">
        <v>198</v>
      </c>
      <c r="I1454" t="s">
        <v>199</v>
      </c>
      <c r="J1454" t="s">
        <v>200</v>
      </c>
      <c r="M1454">
        <v>1</v>
      </c>
      <c r="N1454">
        <v>1</v>
      </c>
    </row>
    <row r="1455" spans="1:14" x14ac:dyDescent="0.45">
      <c r="A1455" t="s">
        <v>1204</v>
      </c>
      <c r="B1455" t="s">
        <v>3280</v>
      </c>
      <c r="C1455" t="s">
        <v>3270</v>
      </c>
      <c r="D1455" t="s">
        <v>3271</v>
      </c>
      <c r="E1455" t="s">
        <v>324</v>
      </c>
      <c r="F1455" t="s">
        <v>325</v>
      </c>
      <c r="G1455" t="s">
        <v>33</v>
      </c>
      <c r="H1455" t="s">
        <v>198</v>
      </c>
      <c r="I1455" t="s">
        <v>199</v>
      </c>
      <c r="J1455" t="s">
        <v>200</v>
      </c>
      <c r="M1455">
        <v>1</v>
      </c>
      <c r="N1455">
        <v>1</v>
      </c>
    </row>
    <row r="1456" spans="1:14" x14ac:dyDescent="0.45">
      <c r="A1456" t="s">
        <v>1223</v>
      </c>
      <c r="B1456" t="s">
        <v>1224</v>
      </c>
      <c r="C1456" t="s">
        <v>1214</v>
      </c>
      <c r="D1456" t="s">
        <v>1215</v>
      </c>
      <c r="E1456" t="s">
        <v>258</v>
      </c>
      <c r="F1456" t="s">
        <v>259</v>
      </c>
      <c r="G1456" t="s">
        <v>33</v>
      </c>
      <c r="H1456" t="s">
        <v>201</v>
      </c>
      <c r="I1456" t="s">
        <v>199</v>
      </c>
      <c r="J1456" t="s">
        <v>202</v>
      </c>
      <c r="M1456">
        <v>1</v>
      </c>
      <c r="N1456">
        <v>1</v>
      </c>
    </row>
    <row r="1457" spans="1:14" x14ac:dyDescent="0.45">
      <c r="A1457" t="s">
        <v>1225</v>
      </c>
      <c r="B1457" t="s">
        <v>1226</v>
      </c>
      <c r="C1457" t="s">
        <v>1214</v>
      </c>
      <c r="D1457" t="s">
        <v>1215</v>
      </c>
      <c r="E1457" t="s">
        <v>258</v>
      </c>
      <c r="F1457" t="s">
        <v>259</v>
      </c>
      <c r="G1457" t="s">
        <v>33</v>
      </c>
      <c r="H1457" t="s">
        <v>201</v>
      </c>
      <c r="I1457" t="s">
        <v>199</v>
      </c>
      <c r="J1457" t="s">
        <v>202</v>
      </c>
      <c r="M1457">
        <v>1</v>
      </c>
      <c r="N1457">
        <v>1</v>
      </c>
    </row>
    <row r="1458" spans="1:14" x14ac:dyDescent="0.45">
      <c r="A1458" t="s">
        <v>1227</v>
      </c>
      <c r="B1458" t="s">
        <v>1228</v>
      </c>
      <c r="C1458" t="s">
        <v>1214</v>
      </c>
      <c r="D1458" t="s">
        <v>1215</v>
      </c>
      <c r="E1458" t="s">
        <v>258</v>
      </c>
      <c r="F1458" t="s">
        <v>259</v>
      </c>
      <c r="G1458" t="s">
        <v>33</v>
      </c>
      <c r="H1458" t="s">
        <v>201</v>
      </c>
      <c r="I1458" t="s">
        <v>199</v>
      </c>
      <c r="J1458" t="s">
        <v>202</v>
      </c>
      <c r="M1458">
        <v>1</v>
      </c>
      <c r="N1458">
        <v>1</v>
      </c>
    </row>
    <row r="1459" spans="1:14" x14ac:dyDescent="0.45">
      <c r="A1459" t="s">
        <v>1161</v>
      </c>
      <c r="B1459" t="s">
        <v>1229</v>
      </c>
      <c r="C1459" t="s">
        <v>1214</v>
      </c>
      <c r="D1459" t="s">
        <v>1215</v>
      </c>
      <c r="E1459" t="s">
        <v>258</v>
      </c>
      <c r="F1459" t="s">
        <v>259</v>
      </c>
      <c r="G1459" t="s">
        <v>33</v>
      </c>
      <c r="H1459" t="s">
        <v>201</v>
      </c>
      <c r="I1459" t="s">
        <v>199</v>
      </c>
      <c r="J1459" t="s">
        <v>202</v>
      </c>
      <c r="M1459">
        <v>1</v>
      </c>
      <c r="N1459">
        <v>1</v>
      </c>
    </row>
    <row r="1460" spans="1:14" x14ac:dyDescent="0.45">
      <c r="A1460" t="s">
        <v>1230</v>
      </c>
      <c r="B1460" t="s">
        <v>1231</v>
      </c>
      <c r="C1460" t="s">
        <v>1232</v>
      </c>
      <c r="D1460" t="s">
        <v>1233</v>
      </c>
      <c r="E1460" t="s">
        <v>258</v>
      </c>
      <c r="F1460" t="s">
        <v>259</v>
      </c>
      <c r="G1460" t="s">
        <v>33</v>
      </c>
      <c r="H1460" t="s">
        <v>201</v>
      </c>
      <c r="I1460" t="s">
        <v>199</v>
      </c>
      <c r="J1460" t="s">
        <v>202</v>
      </c>
      <c r="M1460">
        <v>1</v>
      </c>
      <c r="N1460">
        <v>1</v>
      </c>
    </row>
    <row r="1461" spans="1:14" x14ac:dyDescent="0.45">
      <c r="A1461" t="s">
        <v>1235</v>
      </c>
      <c r="B1461" t="s">
        <v>1236</v>
      </c>
      <c r="C1461" t="s">
        <v>1232</v>
      </c>
      <c r="D1461" t="s">
        <v>1233</v>
      </c>
      <c r="E1461" t="s">
        <v>258</v>
      </c>
      <c r="F1461" t="s">
        <v>259</v>
      </c>
      <c r="G1461" t="s">
        <v>33</v>
      </c>
      <c r="H1461" t="s">
        <v>201</v>
      </c>
      <c r="I1461" t="s">
        <v>199</v>
      </c>
      <c r="J1461" t="s">
        <v>202</v>
      </c>
      <c r="M1461">
        <v>1</v>
      </c>
      <c r="N1461">
        <v>1</v>
      </c>
    </row>
    <row r="1462" spans="1:14" x14ac:dyDescent="0.45">
      <c r="A1462" t="s">
        <v>1243</v>
      </c>
      <c r="B1462" t="s">
        <v>1244</v>
      </c>
      <c r="C1462" t="s">
        <v>1245</v>
      </c>
      <c r="D1462" t="s">
        <v>1246</v>
      </c>
      <c r="E1462" t="s">
        <v>258</v>
      </c>
      <c r="F1462" t="s">
        <v>259</v>
      </c>
      <c r="G1462" t="s">
        <v>33</v>
      </c>
      <c r="H1462" t="s">
        <v>201</v>
      </c>
      <c r="I1462" t="s">
        <v>199</v>
      </c>
      <c r="J1462" t="s">
        <v>202</v>
      </c>
      <c r="M1462">
        <v>1</v>
      </c>
      <c r="N1462">
        <v>1</v>
      </c>
    </row>
    <row r="1463" spans="1:14" x14ac:dyDescent="0.45">
      <c r="A1463" t="s">
        <v>1247</v>
      </c>
      <c r="B1463" t="s">
        <v>1248</v>
      </c>
      <c r="C1463" t="s">
        <v>1245</v>
      </c>
      <c r="D1463" t="s">
        <v>1246</v>
      </c>
      <c r="E1463" t="s">
        <v>258</v>
      </c>
      <c r="F1463" t="s">
        <v>259</v>
      </c>
      <c r="G1463" t="s">
        <v>33</v>
      </c>
      <c r="H1463" t="s">
        <v>201</v>
      </c>
      <c r="I1463" t="s">
        <v>199</v>
      </c>
      <c r="J1463" t="s">
        <v>202</v>
      </c>
      <c r="M1463">
        <v>1</v>
      </c>
      <c r="N1463">
        <v>1</v>
      </c>
    </row>
    <row r="1464" spans="1:14" x14ac:dyDescent="0.45">
      <c r="A1464" t="s">
        <v>1249</v>
      </c>
      <c r="B1464" t="s">
        <v>1250</v>
      </c>
      <c r="C1464" t="s">
        <v>1245</v>
      </c>
      <c r="D1464" t="s">
        <v>1246</v>
      </c>
      <c r="E1464" t="s">
        <v>258</v>
      </c>
      <c r="F1464" t="s">
        <v>259</v>
      </c>
      <c r="G1464" t="s">
        <v>33</v>
      </c>
      <c r="H1464" t="s">
        <v>201</v>
      </c>
      <c r="I1464" t="s">
        <v>199</v>
      </c>
      <c r="J1464" t="s">
        <v>202</v>
      </c>
      <c r="M1464">
        <v>1</v>
      </c>
      <c r="N1464">
        <v>1</v>
      </c>
    </row>
    <row r="1465" spans="1:14" x14ac:dyDescent="0.45">
      <c r="A1465" t="s">
        <v>1251</v>
      </c>
      <c r="B1465" t="s">
        <v>1252</v>
      </c>
      <c r="C1465" t="s">
        <v>1245</v>
      </c>
      <c r="D1465" t="s">
        <v>1246</v>
      </c>
      <c r="E1465" t="s">
        <v>258</v>
      </c>
      <c r="F1465" t="s">
        <v>259</v>
      </c>
      <c r="G1465" t="s">
        <v>33</v>
      </c>
      <c r="H1465" t="s">
        <v>201</v>
      </c>
      <c r="I1465" t="s">
        <v>199</v>
      </c>
      <c r="J1465" t="s">
        <v>202</v>
      </c>
      <c r="M1465">
        <v>1</v>
      </c>
      <c r="N1465">
        <v>1</v>
      </c>
    </row>
    <row r="1466" spans="1:14" x14ac:dyDescent="0.45">
      <c r="A1466" t="s">
        <v>1253</v>
      </c>
      <c r="B1466" t="s">
        <v>1254</v>
      </c>
      <c r="C1466" t="s">
        <v>1245</v>
      </c>
      <c r="D1466" t="s">
        <v>1246</v>
      </c>
      <c r="E1466" t="s">
        <v>258</v>
      </c>
      <c r="F1466" t="s">
        <v>259</v>
      </c>
      <c r="G1466" t="s">
        <v>33</v>
      </c>
      <c r="H1466" t="s">
        <v>201</v>
      </c>
      <c r="I1466" t="s">
        <v>199</v>
      </c>
      <c r="J1466" t="s">
        <v>202</v>
      </c>
      <c r="M1466">
        <v>1</v>
      </c>
      <c r="N1466">
        <v>1</v>
      </c>
    </row>
    <row r="1467" spans="1:14" x14ac:dyDescent="0.45">
      <c r="A1467" t="s">
        <v>2107</v>
      </c>
      <c r="B1467" t="s">
        <v>2108</v>
      </c>
      <c r="C1467" t="s">
        <v>2109</v>
      </c>
      <c r="D1467" t="s">
        <v>2110</v>
      </c>
      <c r="E1467" t="s">
        <v>2111</v>
      </c>
      <c r="F1467" t="s">
        <v>2112</v>
      </c>
      <c r="G1467" t="s">
        <v>33</v>
      </c>
      <c r="H1467" t="s">
        <v>201</v>
      </c>
      <c r="I1467" t="s">
        <v>199</v>
      </c>
      <c r="J1467" t="s">
        <v>202</v>
      </c>
      <c r="M1467">
        <v>1</v>
      </c>
      <c r="N1467">
        <v>1</v>
      </c>
    </row>
    <row r="1468" spans="1:14" x14ac:dyDescent="0.45">
      <c r="A1468" t="s">
        <v>2113</v>
      </c>
      <c r="B1468" t="s">
        <v>2114</v>
      </c>
      <c r="C1468" t="s">
        <v>2109</v>
      </c>
      <c r="D1468" t="s">
        <v>2110</v>
      </c>
      <c r="E1468" t="s">
        <v>2111</v>
      </c>
      <c r="F1468" t="s">
        <v>2112</v>
      </c>
      <c r="G1468" t="s">
        <v>33</v>
      </c>
      <c r="H1468" t="s">
        <v>201</v>
      </c>
      <c r="I1468" t="s">
        <v>199</v>
      </c>
      <c r="J1468" t="s">
        <v>202</v>
      </c>
      <c r="M1468">
        <v>1</v>
      </c>
      <c r="N1468">
        <v>1</v>
      </c>
    </row>
    <row r="1469" spans="1:14" x14ac:dyDescent="0.45">
      <c r="A1469" t="s">
        <v>1574</v>
      </c>
      <c r="B1469" t="s">
        <v>2117</v>
      </c>
      <c r="C1469" t="s">
        <v>2118</v>
      </c>
      <c r="D1469" t="s">
        <v>2119</v>
      </c>
      <c r="E1469" t="s">
        <v>2111</v>
      </c>
      <c r="F1469" t="s">
        <v>2112</v>
      </c>
      <c r="G1469" t="s">
        <v>33</v>
      </c>
      <c r="H1469" t="s">
        <v>201</v>
      </c>
      <c r="I1469" t="s">
        <v>199</v>
      </c>
      <c r="J1469" t="s">
        <v>202</v>
      </c>
      <c r="M1469">
        <v>1</v>
      </c>
      <c r="N1469">
        <v>1</v>
      </c>
    </row>
    <row r="1470" spans="1:14" x14ac:dyDescent="0.45">
      <c r="A1470" t="s">
        <v>2120</v>
      </c>
      <c r="B1470" t="s">
        <v>2121</v>
      </c>
      <c r="C1470" t="s">
        <v>2118</v>
      </c>
      <c r="D1470" t="s">
        <v>2119</v>
      </c>
      <c r="E1470" t="s">
        <v>2111</v>
      </c>
      <c r="F1470" t="s">
        <v>2112</v>
      </c>
      <c r="G1470" t="s">
        <v>33</v>
      </c>
      <c r="H1470" t="s">
        <v>201</v>
      </c>
      <c r="I1470" t="s">
        <v>199</v>
      </c>
      <c r="J1470" t="s">
        <v>202</v>
      </c>
      <c r="M1470">
        <v>1</v>
      </c>
      <c r="N1470">
        <v>1</v>
      </c>
    </row>
    <row r="1471" spans="1:14" x14ac:dyDescent="0.45">
      <c r="A1471" t="s">
        <v>2111</v>
      </c>
      <c r="B1471" t="s">
        <v>2122</v>
      </c>
      <c r="C1471" t="s">
        <v>2123</v>
      </c>
      <c r="D1471" t="s">
        <v>2124</v>
      </c>
      <c r="E1471" t="s">
        <v>2111</v>
      </c>
      <c r="F1471" t="s">
        <v>2112</v>
      </c>
      <c r="G1471" t="s">
        <v>33</v>
      </c>
      <c r="H1471" t="s">
        <v>201</v>
      </c>
      <c r="I1471" t="s">
        <v>199</v>
      </c>
      <c r="J1471" t="s">
        <v>202</v>
      </c>
      <c r="M1471">
        <v>1</v>
      </c>
      <c r="N1471">
        <v>1</v>
      </c>
    </row>
    <row r="1472" spans="1:14" x14ac:dyDescent="0.45">
      <c r="A1472" t="s">
        <v>2125</v>
      </c>
      <c r="B1472" t="s">
        <v>2126</v>
      </c>
      <c r="C1472" t="s">
        <v>2123</v>
      </c>
      <c r="D1472" t="s">
        <v>2124</v>
      </c>
      <c r="E1472" t="s">
        <v>2111</v>
      </c>
      <c r="F1472" t="s">
        <v>2112</v>
      </c>
      <c r="G1472" t="s">
        <v>33</v>
      </c>
      <c r="H1472" t="s">
        <v>201</v>
      </c>
      <c r="I1472" t="s">
        <v>199</v>
      </c>
      <c r="J1472" t="s">
        <v>202</v>
      </c>
      <c r="M1472">
        <v>1</v>
      </c>
      <c r="N1472">
        <v>1</v>
      </c>
    </row>
    <row r="1473" spans="1:14" x14ac:dyDescent="0.45">
      <c r="A1473" t="s">
        <v>2127</v>
      </c>
      <c r="B1473" t="s">
        <v>2128</v>
      </c>
      <c r="C1473" t="s">
        <v>2123</v>
      </c>
      <c r="D1473" t="s">
        <v>2124</v>
      </c>
      <c r="E1473" t="s">
        <v>2111</v>
      </c>
      <c r="F1473" t="s">
        <v>2112</v>
      </c>
      <c r="G1473" t="s">
        <v>33</v>
      </c>
      <c r="H1473" t="s">
        <v>201</v>
      </c>
      <c r="I1473" t="s">
        <v>199</v>
      </c>
      <c r="J1473" t="s">
        <v>202</v>
      </c>
      <c r="M1473">
        <v>1</v>
      </c>
      <c r="N1473">
        <v>1</v>
      </c>
    </row>
    <row r="1474" spans="1:14" x14ac:dyDescent="0.45">
      <c r="A1474" t="s">
        <v>2129</v>
      </c>
      <c r="B1474" t="s">
        <v>2130</v>
      </c>
      <c r="C1474" t="s">
        <v>2131</v>
      </c>
      <c r="D1474" t="s">
        <v>2132</v>
      </c>
      <c r="E1474" t="s">
        <v>2111</v>
      </c>
      <c r="F1474" t="s">
        <v>2112</v>
      </c>
      <c r="G1474" t="s">
        <v>33</v>
      </c>
      <c r="H1474" t="s">
        <v>201</v>
      </c>
      <c r="I1474" t="s">
        <v>199</v>
      </c>
      <c r="J1474" t="s">
        <v>202</v>
      </c>
      <c r="M1474">
        <v>1</v>
      </c>
      <c r="N1474">
        <v>1</v>
      </c>
    </row>
    <row r="1475" spans="1:14" x14ac:dyDescent="0.45">
      <c r="A1475" t="s">
        <v>2133</v>
      </c>
      <c r="B1475" t="s">
        <v>2134</v>
      </c>
      <c r="C1475" t="s">
        <v>2131</v>
      </c>
      <c r="D1475" t="s">
        <v>2132</v>
      </c>
      <c r="E1475" t="s">
        <v>2111</v>
      </c>
      <c r="F1475" t="s">
        <v>2112</v>
      </c>
      <c r="G1475" t="s">
        <v>33</v>
      </c>
      <c r="H1475" t="s">
        <v>201</v>
      </c>
      <c r="I1475" t="s">
        <v>199</v>
      </c>
      <c r="J1475" t="s">
        <v>202</v>
      </c>
      <c r="M1475">
        <v>1</v>
      </c>
      <c r="N1475">
        <v>1</v>
      </c>
    </row>
    <row r="1476" spans="1:14" x14ac:dyDescent="0.45">
      <c r="A1476" t="s">
        <v>2135</v>
      </c>
      <c r="B1476" t="s">
        <v>2136</v>
      </c>
      <c r="C1476" t="s">
        <v>2131</v>
      </c>
      <c r="D1476" t="s">
        <v>2132</v>
      </c>
      <c r="E1476" t="s">
        <v>2111</v>
      </c>
      <c r="F1476" t="s">
        <v>2112</v>
      </c>
      <c r="G1476" t="s">
        <v>33</v>
      </c>
      <c r="H1476" t="s">
        <v>201</v>
      </c>
      <c r="I1476" t="s">
        <v>199</v>
      </c>
      <c r="J1476" t="s">
        <v>202</v>
      </c>
      <c r="M1476">
        <v>1</v>
      </c>
      <c r="N1476">
        <v>1</v>
      </c>
    </row>
    <row r="1477" spans="1:14" x14ac:dyDescent="0.45">
      <c r="A1477" t="s">
        <v>141</v>
      </c>
    </row>
  </sheetData>
  <phoneticPr fontId="2"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B1AADD617334364D923E3F35486C6928" ma:contentTypeVersion="19" ma:contentTypeDescription="Create a new document." ma:contentTypeScope="" ma:versionID="4f82155ac35bbab094c42392635877af">
  <xsd:schema xmlns:xsd="http://www.w3.org/2001/XMLSchema" xmlns:xs="http://www.w3.org/2001/XMLSchema" xmlns:p="http://schemas.microsoft.com/office/2006/metadata/properties" xmlns:ns2="50cac24a-879f-42e7-aae3-17e88add8e14" xmlns:ns3="936bef49-1e20-4c97-af0d-3a16566d2817" xmlns:ns4="985ec44e-1bab-4c0b-9df0-6ba128686fc9" targetNamespace="http://schemas.microsoft.com/office/2006/metadata/properties" ma:root="true" ma:fieldsID="ee6eeb554faea458dc1f5ee4eb257e38" ns2:_="" ns3:_="" ns4:_="">
    <xsd:import namespace="50cac24a-879f-42e7-aae3-17e88add8e14"/>
    <xsd:import namespace="936bef49-1e20-4c97-af0d-3a16566d2817"/>
    <xsd:import namespace="985ec44e-1bab-4c0b-9df0-6ba128686fc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4:TaxCatchAll" minOccurs="0"/>
                <xsd:element ref="ns2:MediaServiceDateTaken" minOccurs="0"/>
                <xsd:element ref="ns2:MediaServiceLocation" minOccurs="0"/>
                <xsd:element ref="ns2:MediaServiceObjectDetectorVersions" minOccurs="0"/>
                <xsd:element ref="ns2:MediaLengthInSecond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0cac24a-879f-42e7-aae3-17e88add8e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Location" ma:index="22" nillable="true" ma:displayName="Location" ma:indexed="true"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36bef49-1e20-4c97-af0d-3a16566d281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85ec44e-1bab-4c0b-9df0-6ba128686fc9"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d72478bd-baf6-4d14-b083-773e238bde84}" ma:internalName="TaxCatchAll" ma:showField="CatchAllData" ma:web="936bef49-1e20-4c97-af0d-3a16566d281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985ec44e-1bab-4c0b-9df0-6ba128686fc9" xsi:nil="true"/>
    <lcf76f155ced4ddcb4097134ff3c332f xmlns="50cac24a-879f-42e7-aae3-17e88add8e1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4EB8A02-DFA1-4B4B-90AE-FDC7AFBC38DC}">
  <ds:schemaRefs>
    <ds:schemaRef ds:uri="http://schemas.microsoft.com/DataMashup"/>
  </ds:schemaRefs>
</ds:datastoreItem>
</file>

<file path=customXml/itemProps2.xml><?xml version="1.0" encoding="utf-8"?>
<ds:datastoreItem xmlns:ds="http://schemas.openxmlformats.org/officeDocument/2006/customXml" ds:itemID="{96827162-D9A0-4FF6-B827-F11B14CC7D4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0cac24a-879f-42e7-aae3-17e88add8e14"/>
    <ds:schemaRef ds:uri="936bef49-1e20-4c97-af0d-3a16566d2817"/>
    <ds:schemaRef ds:uri="985ec44e-1bab-4c0b-9df0-6ba128686fc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BC88414-7419-40C9-9A88-15F796BA96F9}">
  <ds:schemaRefs>
    <ds:schemaRef ds:uri="http://schemas.microsoft.com/sharepoint/v3/contenttype/forms"/>
  </ds:schemaRefs>
</ds:datastoreItem>
</file>

<file path=customXml/itemProps4.xml><?xml version="1.0" encoding="utf-8"?>
<ds:datastoreItem xmlns:ds="http://schemas.openxmlformats.org/officeDocument/2006/customXml" ds:itemID="{E0845B42-7BD5-4189-A358-DA59C9DA94C8}">
  <ds:schemaRefs>
    <ds:schemaRef ds:uri="http://schemas.openxmlformats.org/package/2006/metadata/core-properties"/>
    <ds:schemaRef ds:uri="http://schemas.microsoft.com/office/2006/metadata/properties"/>
    <ds:schemaRef ds:uri="http://purl.org/dc/dcmitype/"/>
    <ds:schemaRef ds:uri="http://schemas.microsoft.com/office/2006/documentManagement/types"/>
    <ds:schemaRef ds:uri="http://purl.org/dc/terms/"/>
    <ds:schemaRef ds:uri="985ec44e-1bab-4c0b-9df0-6ba128686fc9"/>
    <ds:schemaRef ds:uri="http://schemas.microsoft.com/office/infopath/2007/PartnerControls"/>
    <ds:schemaRef ds:uri="http://www.w3.org/XML/1998/namespace"/>
    <ds:schemaRef ds:uri="http://purl.org/dc/elements/1.1/"/>
    <ds:schemaRef ds:uri="50cac24a-879f-42e7-aae3-17e88add8e14"/>
    <ds:schemaRef ds:uri="936bef49-1e20-4c97-af0d-3a16566d2817"/>
  </ds:schemaRefs>
</ds:datastoreItem>
</file>

<file path=docMetadata/LabelInfo.xml><?xml version="1.0" encoding="utf-8"?>
<clbl:labelList xmlns:clbl="http://schemas.microsoft.com/office/2020/mipLabelMetadata">
  <clbl:label id="{8b77875e-5908-45a0-9cb4-dec9ae074618}" enabled="1" method="Privileged" siteId="{0f9e35db-544f-4f60-bdcc-5ea416e6dc7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ReadMe</vt:lpstr>
      <vt:lpstr>ActivityList</vt:lpstr>
      <vt:lpstr>Overall by Cluster</vt:lpstr>
      <vt:lpstr>Overall by SP and UoA</vt:lpstr>
      <vt:lpstr>IDPs</vt:lpstr>
      <vt:lpstr>WAND</vt:lpstr>
      <vt:lpstr>SP#1 Overall</vt:lpstr>
      <vt:lpstr>SP#1 IDPs</vt:lpstr>
      <vt:lpstr>SP#1 WAND</vt:lpstr>
      <vt:lpstr>SP#2</vt:lpstr>
      <vt:lpstr>SP#3</vt:lpstr>
      <vt:lpstr>SP#4 Overall</vt:lpstr>
      <vt:lpstr>SP#4 IDPs</vt:lpstr>
      <vt:lpstr>SP#4 WAND</vt:lpstr>
      <vt:lpstr>SADD for Prioritization</vt:lpstr>
      <vt:lpstr>SAD Baseline</vt:lpstr>
      <vt:lpstr>Household Size</vt:lpstr>
      <vt:lpstr>Ref ADM3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Ramon Shinkfield</dc:creator>
  <cp:keywords/>
  <dc:description/>
  <cp:lastModifiedBy>Oleksandr Shcheglov</cp:lastModifiedBy>
  <cp:revision/>
  <dcterms:created xsi:type="dcterms:W3CDTF">2015-06-05T18:17:20Z</dcterms:created>
  <dcterms:modified xsi:type="dcterms:W3CDTF">2026-01-29T10:16:02Z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0x010100B1AADD617334364D923E3F35486C6928</vt:lpwstr>
  </property>
  <property fmtid="{D5CDD505-2E9C-101B-9397-08002B2CF9AE}" pid="3" name="MediaServiceImageTags">
    <vt:lpwstr/>
  </property>
</Properties>
</file>